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सारांश" sheetId="1" state="visible" r:id="rId3"/>
    <sheet name="मासिक योजना" sheetId="2" state="visible" r:id="rId4"/>
    <sheet name="साप्ताहिक योजना" sheetId="3" state="visible" r:id="rId5"/>
    <sheet name="दैनिक योजना" sheetId="4" state="visible" r:id="rId6"/>
    <sheet name="विषय सूची" sheetId="5" state="visible" r:id="rId7"/>
    <sheet name="संसाधन" sheetId="6" state="visible" r:id="rId8"/>
  </sheets>
  <definedNames>
    <definedName function="false" hidden="true" localSheetId="3" name="_xlnm._FilterDatabase" vbProcedure="false">'दैनिक योजना'!$A$5:$Y$552</definedName>
    <definedName function="false" hidden="true" localSheetId="4" name="_xlnm._FilterDatabase" vbProcedure="false">'विषय सूची'!$A$5:$M$95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<sst xmlns="http://schemas.openxmlformats.org/spreadsheetml/2006/main" count="11364" uniqueCount="1578">
  <si>
    <t xml:space="preserve">BPSC 1.5 वर्षीय अध्ययन योजना (15 नवंबर 2026 → 14 मई 2028)</t>
  </si>
  <si>
    <t xml:space="preserve">प्रारंभिक + मुख्य परीक्षा की तैयारी • दिन-वार, सप्ताह-वार व माह-वार • हर विषय के लिए सैद्धांतिक रूपरेखा, नोट्स स्रोत व YouTube लिंक</t>
  </si>
  <si>
    <t xml:space="preserve">योजना आरंभ तिथि (आवश्यकता हो तो बदलें)</t>
  </si>
  <si>
    <t xml:space="preserve">← 15 नवंबर 2026 रविवार है = दिन 1 (शुभारंभ)। सप्ताह 16 नवंबर से सोम–रवि चलते हैं। तिथि बदलें तो रविवार ही रखें।</t>
  </si>
  <si>
    <t xml:space="preserve">योजना समाप्ति तिथि</t>
  </si>
  <si>
    <t xml:space="preserve">कुल दिन / सप्ताह / माह</t>
  </si>
  <si>
    <t xml:space="preserve">प्रगति डैशबोर्ड</t>
  </si>
  <si>
    <t xml:space="preserve">चरण</t>
  </si>
  <si>
    <t xml:space="preserve">सप्ताह</t>
  </si>
  <si>
    <t xml:space="preserve">आरंभ तिथि</t>
  </si>
  <si>
    <t xml:space="preserve">समाप्ति तिथि</t>
  </si>
  <si>
    <t xml:space="preserve">नियोजित दिन</t>
  </si>
  <si>
    <t xml:space="preserve">पूर्ण दिन</t>
  </si>
  <si>
    <t xml:space="preserve">पूर्णता %</t>
  </si>
  <si>
    <t xml:space="preserve">शुभारंभ दिवस</t>
  </si>
  <si>
    <t xml:space="preserve">दिन 1</t>
  </si>
  <si>
    <t xml:space="preserve">चरण 1: आधार निर्माण (प्रथम अध्ययन)</t>
  </si>
  <si>
    <t xml:space="preserve">1–26</t>
  </si>
  <si>
    <t xml:space="preserve">चरण 2: उन्नत अध्ययन + मुख्य परीक्षा कौशल (द्वितीय अध्ययन)</t>
  </si>
  <si>
    <t xml:space="preserve">27–52</t>
  </si>
  <si>
    <t xml:space="preserve">चरण 3A: पुनरावृत्ति चक्र + PYQ</t>
  </si>
  <si>
    <t xml:space="preserve">53–66</t>
  </si>
  <si>
    <t xml:space="preserve">चरण 3B: टेस्ट सीरीज़ एवं कमज़ोर क्षेत्र सुधार</t>
  </si>
  <si>
    <t xml:space="preserve">67–74</t>
  </si>
  <si>
    <t xml:space="preserve">चरण 3C: अंतिम मॉक एवं पुनरावृत्ति</t>
  </si>
  <si>
    <t xml:space="preserve">75–78</t>
  </si>
  <si>
    <t xml:space="preserve">कुल</t>
  </si>
  <si>
    <t xml:space="preserve">बीते दिन (आज तक)</t>
  </si>
  <si>
    <t xml:space="preserve">आज तक अपेक्षित पूर्णता</t>
  </si>
  <si>
    <t xml:space="preserve">आपकी वास्तविक पूर्णता</t>
  </si>
  <si>
    <t xml:space="preserve">आगे / (पीछे) – दिनों में</t>
  </si>
  <si>
    <t xml:space="preserve">18 माह की योजना कैसे बनी है</t>
  </si>
  <si>
    <t xml:space="preserve">• चरण 1 (सप्ताह 1–26, नवंबर 2026–मई 2027): सभी सामान्य अध्ययन विषयों का प्रथम अध्ययन – इतिहास, भूगोल, राजव्यवस्था, अर्थव्यवस्था, पर्यावरण (प्राथमिक 3 घंटे) तथा बिहार विशेष, विज्ञान, गणित-तर्कशक्ति व हिंदी (द्वितीयक 2 घंटे)। पहले NCERT, फिर मानक पुस्तक/कोचिंग नोट्स।</t>
  </si>
  <si>
    <t xml:space="preserve">• चरण 2 (सप्ताह 27–52, मई–नवंबर 2027): उन्हीं विषयों का द्वितीय, उन्नत अध्ययन + PYQ; बिहार गहन अध्ययन; गणित-तर्कशक्ति की गति का अभ्यास; मुख्य परीक्षा उत्तर लेखन, निबंध व बिहार के समसामयिक मुद्दे।</t>
  </si>
  <si>
    <t xml:space="preserve">• चरण 3A (सप्ताह 53–66): विषय-वार पुनरावृत्ति चक्र, प्रतिदिन 60 PYQ MCQ। चरण 3B (सप्ताह 67–74): सोम–शुक्र सेक्शनल टेस्ट, हर शनिवार पूर्ण मॉक, कमज़ोर क्षेत्र सुधार। चरण 3C (सप्ताह 75–78): प्रतिदिन पूर्ण मॉक / मुख्य परीक्षा टेस्ट, अंतिम संक्षिप्त नोट्स पुनरावृत्ति, अंतिम सप्ताह हल्का व विश्राम।</t>
  </si>
  <si>
    <t xml:space="preserve">• प्रतिदिन: 1 घंटा करेंट अफेयर्स (घूमता विषय) + 1 घंटा अभ्यास + 0.5 घंटा पुनरावृत्ति। प्रत्येक रविवार: टेस्ट + साप्ताहिक पुनरावृत्ति। हर चौथा रविवार: 150 प्रश्नों का मासिक टेस्ट।</t>
  </si>
  <si>
    <t xml:space="preserve">• घंटे: अपनी दिनचर्या अलग हो तो 'दैनिक योजना' में 'अध्ययन घंटे' कॉलम बदलें। दैनिक योजना (कॉलम W) में 'स्थिति' भरें – साप्ताहिक, मासिक व यह डैशबोर्ड अपने-आप अपडेट होंगे।</t>
  </si>
  <si>
    <t xml:space="preserve">महत्वपूर्ण मान्यताएँ एवं टिप्पणियाँ</t>
  </si>
  <si>
    <t xml:space="preserve">• पाठ्यक्रम व पैटर्न: योजना में प्रारंभिक परीक्षा के सामान्य अध्ययन (इतिहास, भूगोल, राजव्यवस्था, अर्थव्यवस्था, विज्ञान, पर्यावरण, बिहार विशेष, गणित/मानसिक योग्यता, करेंट अफेयर्स) तथा मुख्य परीक्षा के सामान्य अध्ययन/हिंदी/निबंध कौशल शामिल हैं। BPSC का पैटर्न हर अधिसूचना में बदल सकता है – bpsc.bihar.gov.in पर नवीनतम पाठ्यक्रम से मिलान अवश्य करें।</t>
  </si>
  <si>
    <t xml:space="preserve">• परीक्षा तिथि: योजना मानती है कि परीक्षा 14 मई 2028 के कुछ ही बाद होगी। अधिसूचना पहले आए तो चरण 2/3 छोटे करें; बाद में आए तो चरण 3B/3C के मॉक बढ़ाएँ।</t>
  </si>
  <si>
    <t xml:space="preserve">• YouTube लिंक: हर लिंक 'विषय + कोचिंग चैनल' की YouTube खोज है (दृष्टि IAS, BPSC वाला, विजन IAS, EduTeria)। अलग-अलग वीडियो के URL की पुष्टि संभव नहीं थी, इसलिए गलत/टूटे लिंक से बचने के लिए खोज लिंक दिए गए हैं – खोलकर नवीनतम पूर्ण व्याख्यान या प्लेलिस्ट चुनें।</t>
  </si>
  <si>
    <t xml:space="preserve">• सैद्धांतिक नोट्स: कोचिंग (दृष्टि, विजन IAS, BPSC वाला आदि) के नोट्स सशुल्क/कॉपीराइट वाले हैं, इसलिए यहाँ कॉपी नहीं किए गए। हर विषय के लिए 'सैद्धांतिक मुख्य बिंदु' (क्या पढ़ना है) + उन्हें पढ़ने के सटीक नोट्स/पुस्तकें दी गई हैं (विषय सूची शीट व दैनिक योजना के नोट्स कॉलम)।</t>
  </si>
  <si>
    <t xml:space="preserve">• करेंट अफेयर्स: पिछले 12 महीनों के मासिक संकलन (दृष्टि IAS / विजन IAS) नियमित दोहराएँ – यह दैनिक 1 घंटे के CA स्लॉट व रविवार के संकलन में शामिल है।</t>
  </si>
  <si>
    <t xml:space="preserve">रंग संकेत: पीला सेल = इनपुट • नीला/हरा/पीला/नारंगी/बैंगनी पट्टियाँ = चरण • दैनिक योजना में नारंगी पंक्ति = रविवार टेस्ट दिवस • हरी पंक्ति = पूर्ण।</t>
  </si>
  <si>
    <t xml:space="preserve">मासिक योजना – 18 माह</t>
  </si>
  <si>
    <t xml:space="preserve">प्रत्येक माह 15 तारीख से अगले माह की 14 तारीख तक चलता है। पूर्णता दैनिक योजना की 'स्थिति' से स्वतः गणना होती है।</t>
  </si>
  <si>
    <t xml:space="preserve">माह #</t>
  </si>
  <si>
    <t xml:space="preserve">से</t>
  </si>
  <si>
    <t xml:space="preserve">तक</t>
  </si>
  <si>
    <t xml:space="preserve">प्राथमिक फोकस (विषय)</t>
  </si>
  <si>
    <t xml:space="preserve">द्वितीयक फोकस (विषय)</t>
  </si>
  <si>
    <t xml:space="preserve">मासिक लक्ष्य एवं उपलब्धियाँ</t>
  </si>
  <si>
    <t xml:space="preserve">मासिक टेस्ट</t>
  </si>
  <si>
    <t xml:space="preserve">शुभारंभ दिवस
चरण 1: आधार निर्माण (प्रथम अध्ययन)</t>
  </si>
  <si>
    <t xml:space="preserve">प्रारंभिक दिशा-निर्देश; प्रागैतिहास एवं सिंधु घाटी सभ्यता; वैदिक काल एवं महाजनपद; जैन, बौद्ध एवं अन्य नास्तिक संप्रदाय; मौर्य साम्राज्य; मौर्योत्तर काल (शुंग, कुषाण, सातवाहन, संगम); गुप्त साम्राज्य, हर्षवर्धन एवं पाल वंश; पूर्व मध्यकालीन भारत (राजपूत, चोल, चालुक्य, पल्लव); दिल्ली सल्तनत; भक्ति एवं सूफी आंदोलन; मुगल साम्राज्य</t>
  </si>
  <si>
    <t xml:space="preserve">योजना; बिहार – प्राचीन इतिहास; बिहार – मध्यकालीन एवं औपनिवेशिक इतिहास; बिहार – स्वतंत्रता संग्राम एवं आधुनिक राजनीति; बिहार – भूगोल: भौतिक स्वरूप, नदियाँ एवं जलवायु; बिहार – कृषि, सिंचाई एवं उद्योग</t>
  </si>
  <si>
    <t xml:space="preserve">सप्ताह 1–5। सूचीबद्ध हर विषय नोट्स + 50 MCQ के साथ पूरा करें; त्रुटि-लॉग रखें; मासिक टेस्ट ≥ 55%।</t>
  </si>
  <si>
    <t xml:space="preserve">मासिक टेस्ट: 150 प्रश्न, प्रारंभिक परीक्षा पैटर्न (माह का अंतिम रविवार) + विश्लेषण</t>
  </si>
  <si>
    <t xml:space="preserve">मुगल साम्राज्य; मराठा एवं क्षेत्रीय शक्तियाँ (18वीं शताब्दी); यूरोपीय आगमन एवं ब्रिटिश विस्तार; 1857 का विद्रोह; सामाजिक-धार्मिक सुधार आंदोलन; प्रारंभिक राष्ट्रवाद: कांग्रेस, नरमपंथी, गरमपंथी, स्वदेशी; गांधी युग: चंपारण से भारत छोड़ो तक; क्रांतिकारी आंदोलन, संवैधानिक विकास एवं विभाजन; स्वातंत्र्योत्तर भारत (1947 के बाद); भारतीय कला एवं स्थापत्य; प्रदर्शन कलाएँ, साहित्य, त्योहार एवं यूनेस्को स्थल; ब्रह्मांड, सौरमंडल एवं पृथ्वी</t>
  </si>
  <si>
    <t xml:space="preserve">बिहार – कृषि, सिंचाई एवं उद्योग; बिहार – अर्थव्यवस्था, बजट एवं सरकारी योजनाएँ; बिहार – राजव्यवस्था एवं प्रशासन; बिहार – कला, संस्कृति, साहित्य एवं पर्यटन; बिहार – जनसांख्यिकी, शिक्षा एवं स्वास्थ्य; भौतिकी I: गति, बल, कार्य एवं गुरुत्वाकर्षण</t>
  </si>
  <si>
    <t xml:space="preserve">सप्ताह 5–9। सूचीबद्ध हर विषय नोट्स + 50 MCQ के साथ पूरा करें; त्रुटि-लॉग रखें; मासिक टेस्ट ≥ 55%।</t>
  </si>
  <si>
    <t xml:space="preserve">ब्रह्मांड, सौरमंडल एवं पृथ्वी; भू-आकृति विज्ञान: पृथ्वी का आंतरिक भाग, चट्टानें एवं स्थलरूप; जलवायु विज्ञान: वायुमंडल, पवनें एवं जलवायु; समुद्र विज्ञान; भारत का भौतिक स्वरूप; भारतीय अपवाह तंत्र; भारत की जलवायु, मानसून, मृदा एवं वनस्पति; भारतीय कृषि; खनिज, ऊर्जा एवं उद्योग</t>
  </si>
  <si>
    <t xml:space="preserve">भौतिकी I: गति, बल, कार्य एवं गुरुत्वाकर्षण; भौतिकी II: ऊष्मा, प्रकाश, ध्वनि, विद्युत एवं आधुनिक भौतिकी; रसायन I: पदार्थ, परमाणु, आवर्त सारणी एवं अम्ल-क्षार; रसायन II: धातु, कार्बन यौगिक एवं दैनिक जीवन में रसायन; जीव विज्ञान I: कोशिका, पादप एवं जंतु जगत</t>
  </si>
  <si>
    <t xml:space="preserve">सप्ताह 9–13। सूचीबद्ध हर विषय नोट्स + 50 MCQ के साथ पूरा करें; त्रुटि-लॉग रखें; मासिक टेस्ट ≥ 55%।</t>
  </si>
  <si>
    <t xml:space="preserve">खनिज, ऊर्जा एवं उद्योग; परिवहन, जनसंख्या, जनगणना एवं नगरीकरण; विश्व भूगोल; संविधान निर्माण, प्रस्तावना एवं विशेषताएँ; संघ, नागरिकता एवं मौलिक अधिकार; नीति निदेशक तत्व, मौलिक कर्तव्य एवं संविधान संशोधन; संघ की कार्यपालिका; संसद</t>
  </si>
  <si>
    <t xml:space="preserve">जीव विज्ञान II: मानव शरीर, पोषण एवं रोग; विज्ञान एवं प्रौद्योगिकी: अंतरिक्ष, रक्षा, IT एवं उभरती तकनीकें; गणित I: संख्या पद्धति, म.स.-ल.स. एवं सरलीकरण; गणित II: प्रतिशत, लाभ-हानि, अनुपात एवं औसत</t>
  </si>
  <si>
    <t xml:space="preserve">सप्ताह 14–17। सूचीबद्ध हर विषय नोट्स + 50 MCQ के साथ पूरा करें; त्रुटि-लॉग रखें; मासिक टेस्ट ≥ 55%।</t>
  </si>
  <si>
    <t xml:space="preserve">संसद; न्यायपालिका; संघवाद: केंद्र–राज्य संबंध एवं आपातकाल; राज्य सरकार, पंचायती राज एवं नगरपालिकाएँ; संवैधानिक एवं गैर-संवैधानिक निकाय; शासन, अधिकार एवं सामाजिक न्याय; मूल अवधारणाएँ, राष्ट्रीय आय एवं मुद्रास्फीति; नियोजन, गरीबी एवं बेरोज़गारी; मुद्रा, बैंकिंग एवं मौद्रिक नीति</t>
  </si>
  <si>
    <t xml:space="preserve">गणित II: प्रतिशत, लाभ-हानि, अनुपात एवं औसत; गणित III: समय-कार्य, समय-चाल-दूरी एवं ब्याज; गणित IV: बीजगणित, ज्यामिति, क्षेत्रमिति एवं त्रिकोणमिति; गणित V: आँकड़ा व्याख्या एवं सांख्यिकी; तर्कशक्ति I: श्रेणी, कोडिंग-डिकोडिंग एवं सादृश्य</t>
  </si>
  <si>
    <t xml:space="preserve">सप्ताह 18–22। सूचीबद्ध हर विषय नोट्स + 50 MCQ के साथ पूरा करें; त्रुटि-लॉग रखें; मासिक टेस्ट ≥ 55%।</t>
  </si>
  <si>
    <t xml:space="preserve">मुद्रा, बैंकिंग एवं मौद्रिक नीति; सार्वजनिक वित्त: बजट, कराधान एवं GST; कृषि अर्थव्यवस्था; उद्योग, सेवाएँ एवं अवसंरचना; बाह्य क्षेत्र एवं अंतर्राष्ट्रीय संस्थाएँ; पूँजी बाज़ार, बीमा, आर्थिक सर्वेक्षण एवं बजट; पारिस्थितिकी एवं पारितंत्र; जैव विविधता एवं संरक्षण; जलवायु परिवर्तन, प्रदूषण एवं पर्यावरण कानून</t>
  </si>
  <si>
    <t xml:space="preserve">तर्कशक्ति I: श्रेणी, कोडिंग-डिकोडिंग एवं सादृश्य; तर्कशक्ति II: दिशा, रक्त संबंध, न्यायवाक्य एवं पहेलियाँ; हिंदी व्याकरण I: वर्ण, संधि, समास, उपसर्ग-प्रत्यय; हिंदी व्याकरण II: वाक्य शुद्धि, मुहावरे, पर्यायवाची; हिंदी लेखन: गद्यांश, पत्र, निबंध एवं अनुवाद</t>
  </si>
  <si>
    <t xml:space="preserve">सप्ताह 22–26। सूचीबद्ध हर विषय नोट्स + 50 MCQ के साथ पूरा करें; त्रुटि-लॉग रखें; मासिक टेस्ट ≥ 55%।</t>
  </si>
  <si>
    <t xml:space="preserve">चरण 1: आधार निर्माण (प्रथम अध्ययन)
चरण 2: उन्नत अध्ययन + मुख्य परीक्षा कौशल (द्वितीय अध्ययन)</t>
  </si>
  <si>
    <t xml:space="preserve">जलवायु परिवर्तन, प्रदूषण एवं पर्यावरण कानून; प्रागैतिहास एवं सिंधु घाटी सभ्यता; वैदिक काल एवं महाजनपद; जैन, बौद्ध एवं अन्य नास्तिक संप्रदाय; मौर्य साम्राज्य; मौर्योत्तर काल (शुंग, कुषाण, सातवाहन, संगम); गुप्त साम्राज्य, हर्षवर्धन एवं पाल वंश; पूर्व मध्यकालीन भारत (राजपूत, चोल, चालुक्य, पल्लव); दिल्ली सल्तनत; भक्ति एवं सूफी आंदोलन; मुगल साम्राज्य</t>
  </si>
  <si>
    <t xml:space="preserve">हिंदी लेखन: गद्यांश, पत्र, निबंध एवं अनुवाद; बिहार – प्राचीन इतिहास; बिहार – मध्यकालीन एवं औपनिवेशिक इतिहास; बिहार – स्वतंत्रता संग्राम एवं आधुनिक राजनीति; बिहार – भूगोल: भौतिक स्वरूप, नदियाँ एवं जलवायु; बिहार – कृषि, सिंचाई एवं उद्योग; बिहार – अर्थव्यवस्था, बजट एवं सरकारी योजनाएँ</t>
  </si>
  <si>
    <t xml:space="preserve">सप्ताह 26–31। सूचीबद्ध हर विषय नोट्स + 50 MCQ के साथ पूरा करें; त्रुटि-लॉग रखें; मासिक टेस्ट ≥ 65%।</t>
  </si>
  <si>
    <t xml:space="preserve">मुगल साम्राज्य; मराठा एवं क्षेत्रीय शक्तियाँ (18वीं शताब्दी); यूरोपीय आगमन एवं ब्रिटिश विस्तार; 1857 का विद्रोह; सामाजिक-धार्मिक सुधार आंदोलन; प्रारंभिक राष्ट्रवाद: कांग्रेस, नरमपंथी, गरमपंथी, स्वदेशी; गांधी युग: चंपारण से भारत छोड़ो तक; क्रांतिकारी आंदोलन, संवैधानिक विकास एवं विभाजन; स्वातंत्र्योत्तर भारत (1947 के बाद); भारतीय कला एवं स्थापत्य; प्रदर्शन कलाएँ, साहित्य, त्योहार एवं यूनेस्को स्थल</t>
  </si>
  <si>
    <t xml:space="preserve">बिहार – अर्थव्यवस्था, बजट एवं सरकारी योजनाएँ; बिहार – राजव्यवस्था एवं प्रशासन; बिहार – कला, संस्कृति, साहित्य एवं पर्यटन; बिहार – जनसांख्यिकी, शिक्षा एवं स्वास्थ्य; गणित I: संख्या पद्धति, म.स.-ल.स. एवं सरलीकरण; गणित II: प्रतिशत, लाभ-हानि, अनुपात एवं औसत; गणित III: समय-कार्य, समय-चाल-दूरी एवं ब्याज</t>
  </si>
  <si>
    <t xml:space="preserve">सप्ताह 31–35। सूचीबद्ध हर विषय नोट्स + 50 MCQ के साथ पूरा करें; त्रुटि-लॉग रखें; मासिक टेस्ट ≥ 65%।</t>
  </si>
  <si>
    <t xml:space="preserve">गणित III: समय-कार्य, समय-चाल-दूरी एवं ब्याज; गणित IV: बीजगणित, ज्यामिति, क्षेत्रमिति एवं त्रिकोणमिति; गणित V: आँकड़ा व्याख्या एवं सांख्यिकी; तर्कशक्ति I: श्रेणी, कोडिंग-डिकोडिंग एवं सादृश्य; तर्कशक्ति II: दिशा, रक्त संबंध, न्यायवाक्य एवं पहेलियाँ; उत्तर लेखन की मूल बातें: संरचना, भूमिका-मुख्य भाग-निष्कर्ष</t>
  </si>
  <si>
    <t xml:space="preserve">सप्ताह 35–39। सूचीबद्ध हर विषय नोट्स + 50 MCQ के साथ पूरा करें; त्रुटि-लॉग रखें; मासिक टेस्ट ≥ 65%।</t>
  </si>
  <si>
    <t xml:space="preserve">खनिज, ऊर्जा एवं उद्योग; परिवहन, जनसंख्या, जनगणना एवं नगरीकरण; विश्व भूगोल; संविधान निर्माण, प्रस्तावना एवं विशेषताएँ; संघ, नागरिकता एवं मौलिक अधिकार; नीति निदेशक तत्व, मौलिक कर्तव्य एवं संविधान संशोधन; संघ की कार्यपालिका; संसद; न्यायपालिका</t>
  </si>
  <si>
    <t xml:space="preserve">उत्तर लेखन की मूल बातें: संरचना, भूमिका-मुख्य भाग-निष्कर्ष; उत्तर लेखन – इतिहास एवं संस्कृति; उत्तर लेखन – भूगोल एवं आपदा प्रबंधन; उत्तर लेखन – राजव्यवस्था, शासन एवं सामाजिक न्याय; उत्तर लेखन – अर्थव्यवस्था एवं बिहार की अर्थव्यवस्था</t>
  </si>
  <si>
    <t xml:space="preserve">सप्ताह 39–44। सूचीबद्ध हर विषय नोट्स + 50 MCQ के साथ पूरा करें; त्रुटि-लॉग रखें; मासिक टेस्ट ≥ 65%।</t>
  </si>
  <si>
    <t xml:space="preserve">न्यायपालिका; संघवाद: केंद्र–राज्य संबंध एवं आपातकाल; राज्य सरकार, पंचायती राज एवं नगरपालिकाएँ; संवैधानिक एवं गैर-संवैधानिक निकाय; शासन, अधिकार एवं सामाजिक न्याय; मूल अवधारणाएँ, राष्ट्रीय आय एवं मुद्रास्फीति; नियोजन, गरीबी एवं बेरोज़गारी; मुद्रा, बैंकिंग एवं मौद्रिक नीति</t>
  </si>
  <si>
    <t xml:space="preserve">उत्तर लेखन – अर्थव्यवस्था एवं बिहार की अर्थव्यवस्था; उत्तर लेखन – विज्ञान, प्रौद्योगिकी एवं पर्यावरण; बिहार के समसामयिक मुद्दे: बाढ़, प्रवासन, शिक्षा, स्वास्थ्य, औद्योगीकरण; सामाजिक मुद्दे एवं समसामयिक विषय</t>
  </si>
  <si>
    <t xml:space="preserve">सप्ताह 44–48। सूचीबद्ध हर विषय नोट्स + 50 MCQ के साथ पूरा करें; त्रुटि-लॉग रखें; मासिक टेस्ट ≥ 65%।</t>
  </si>
  <si>
    <t xml:space="preserve">सामाजिक मुद्दे एवं समसामयिक विषय; अंतर्राष्ट्रीय संबंध एवं आंतरिक सुरक्षा; निबंध लेखन अभ्यास (हिंदी/अंग्रेज़ी); हिंदी मुख्य परीक्षा: संक्षेपण, पत्र, अनुवाद एवं व्याकरण; केस स्टडी, नैतिकता एवं ईमानदारी की मूल बातें</t>
  </si>
  <si>
    <t xml:space="preserve">सप्ताह 48–52। सूचीबद्ध हर विषय नोट्स + 50 MCQ के साथ पूरा करें; त्रुटि-लॉग रखें; मासिक टेस्ट ≥ 65%।</t>
  </si>
  <si>
    <t xml:space="preserve">प्रागैतिहास एवं सिंधु घाटी सभ्यता; वैदिक काल एवं महाजनपद; जैन, बौद्ध एवं अन्य नास्तिक संप्रदाय; मौर्य साम्राज्य; मौर्योत्तर काल (शुंग, कुषाण, सातवाहन, संगम); गुप्त साम्राज्य, हर्षवर्धन एवं पाल वंश; पूर्व मध्यकालीन भारत (राजपूत, चोल, चालुक्य, पल्लव); दिल्ली सल्तनत; भक्ति एवं सूफी आंदोलन; मुगल साम्राज्य; मराठा एवं क्षेत्रीय शक्तियाँ (18वीं शताब्दी); यूरोपीय आगमन एवं ब्रिटिश विस्तार; 1857 का विद्रोह; सामाजिक-धार्मिक सुधार आंदोलन; प्रारंभिक राष्ट्रवाद: कांग्रेस, नरमपंथी, गरमपंथी, स्वदेशी; गांधी युग: चंपारण से भारत छोड़ो तक; क्रांतिकारी आंदोलन, संवैधानिक विकास एवं विभाजन; स्वातंत्र्योत्तर भारत (1947 के बाद); भारतीय कला एवं स्थापत्य</t>
  </si>
  <si>
    <t xml:space="preserve">बिहार – प्राचीन इतिहास; बिहार – मध्यकालीन एवं औपनिवेशिक इतिहास; बिहार – स्वतंत्रता संग्राम एवं आधुनिक राजनीति; बिहार – भूगोल: भौतिक स्वरूप, नदियाँ एवं जलवायु; बिहार – कृषि, सिंचाई एवं उद्योग; बिहार – अर्थव्यवस्था, बजट एवं सरकारी योजनाएँ; बिहार – राजव्यवस्था एवं प्रशासन; बिहार – कला, संस्कृति, साहित्य एवं पर्यटन; बिहार – जनसांख्यिकी, शिक्षा एवं स्वास्थ्य</t>
  </si>
  <si>
    <t xml:space="preserve">सप्ताह 53–57। सूचीबद्ध हर विषय नोट्स + 50 MCQ के साथ पूरा करें; त्रुटि-लॉग रखें; मासिक टेस्ट ≥ 72%।</t>
  </si>
  <si>
    <t xml:space="preserve">प्रदर्शन कलाएँ, साहित्य, त्योहार एवं यूनेस्को स्थल; ब्रह्मांड, सौरमंडल एवं पृथ्वी; भू-आकृति विज्ञान: पृथ्वी का आंतरिक भाग, चट्टानें एवं स्थलरूप; जलवायु विज्ञान: वायुमंडल, पवनें एवं जलवायु; समुद्र विज्ञान; भारत का भौतिक स्वरूप; भारतीय अपवाह तंत्र; भारत की जलवायु, मानसून, मृदा एवं वनस्पति; भारतीय कृषि; खनिज, ऊर्जा एवं उद्योग; परिवहन, जनसंख्या, जनगणना एवं नगरीकरण; विश्व भूगोल; संविधान निर्माण, प्रस्तावना एवं विशेषताएँ; संघ, नागरिकता एवं मौलिक अधिकार; नीति निदेशक तत्व, मौलिक कर्तव्य एवं संविधान संशोधन; संघ की कार्यपालिका</t>
  </si>
  <si>
    <t xml:space="preserve">बिहार – जनसांख्यिकी, शिक्षा एवं स्वास्थ्य; भौतिकी I: गति, बल, कार्य एवं गुरुत्वाकर्षण; भौतिकी II: ऊष्मा, प्रकाश, ध्वनि, विद्युत एवं आधुनिक भौतिकी; रसायन I: पदार्थ, परमाणु, आवर्त सारणी एवं अम्ल-क्षार; रसायन II: धातु, कार्बन यौगिक एवं दैनिक जीवन में रसायन; जीव विज्ञान I: कोशिका, पादप एवं जंतु जगत; जीव विज्ञान II: मानव शरीर, पोषण एवं रोग; विज्ञान एवं प्रौद्योगिकी: अंतरिक्ष, रक्षा, IT एवं उभरती तकनीकें; गणित I: संख्या पद्धति, म.स.-ल.स. एवं सरलीकरण</t>
  </si>
  <si>
    <t xml:space="preserve">सप्ताह 57–61। सूचीबद्ध हर विषय नोट्स + 50 MCQ के साथ पूरा करें; त्रुटि-लॉग रखें; मासिक टेस्ट ≥ 72%।</t>
  </si>
  <si>
    <t xml:space="preserve">संसद; न्यायपालिका; संघवाद: केंद्र–राज्य संबंध एवं आपातकाल; राज्य सरकार, पंचायती राज एवं नगरपालिकाएँ; संवैधानिक एवं गैर-संवैधानिक निकाय; शासन, अधिकार एवं सामाजिक न्याय; मूल अवधारणाएँ, राष्ट्रीय आय एवं मुद्रास्फीति; नियोजन, गरीबी एवं बेरोज़गारी; मुद्रा, बैंकिंग एवं मौद्रिक नीति; सार्वजनिक वित्त: बजट, कराधान एवं GST; कृषि अर्थव्यवस्था; उद्योग, सेवाएँ एवं अवसंरचना; बाह्य क्षेत्र एवं अंतर्राष्ट्रीय संस्थाएँ; पूँजी बाज़ार, बीमा, आर्थिक सर्वेक्षण एवं बजट</t>
  </si>
  <si>
    <t xml:space="preserve">गणित II: प्रतिशत, लाभ-हानि, अनुपात एवं औसत; गणित III: समय-कार्य, समय-चाल-दूरी एवं ब्याज; गणित IV: बीजगणित, ज्यामिति, क्षेत्रमिति एवं त्रिकोणमिति; गणित V: आँकड़ा व्याख्या एवं सांख्यिकी; तर्कशक्ति I: श्रेणी, कोडिंग-डिकोडिंग एवं सादृश्य; तर्कशक्ति II: दिशा, रक्त संबंध, न्यायवाक्य एवं पहेलियाँ; हिंदी व्याकरण I: वर्ण, संधि, समास, उपसर्ग-प्रत्यय; हिंदी व्याकरण II: वाक्य शुद्धि, मुहावरे, पर्यायवाची</t>
  </si>
  <si>
    <t xml:space="preserve">सप्ताह 61–66। सूचीबद्ध हर विषय नोट्स + 50 MCQ के साथ पूरा करें; त्रुटि-लॉग रखें; मासिक टेस्ट ≥ 72%।</t>
  </si>
  <si>
    <t xml:space="preserve">चरण 3A: पुनरावृत्ति चक्र + PYQ
चरण 3B: टेस्ट सीरीज़ एवं कमज़ोर क्षेत्र सुधार</t>
  </si>
  <si>
    <t xml:space="preserve">पारिस्थितिकी एवं पारितंत्र; जैव विविधता एवं संरक्षण; जलवायु परिवर्तन, प्रदूषण एवं पर्यावरण कानून; टेस्ट सीरीज़</t>
  </si>
  <si>
    <t xml:space="preserve">हिंदी व्याकरण II: वाक्य शुद्धि, मुहावरे, पर्यायवाची; हिंदी लेखन: गद्यांश, पत्र, निबंध एवं अनुवाद; कमज़ोर क्षेत्र सुधार</t>
  </si>
  <si>
    <t xml:space="preserve">सप्ताह 66–70। सूचीबद्ध हर विषय नोट्स + 50 MCQ के साथ पूरा करें; त्रुटि-लॉग रखें; मासिक टेस्ट ≥ 78%।</t>
  </si>
  <si>
    <t xml:space="preserve">टेस्ट सीरीज़</t>
  </si>
  <si>
    <t xml:space="preserve">कमज़ोर क्षेत्र सुधार</t>
  </si>
  <si>
    <t xml:space="preserve">सप्ताह 70–74। सूचीबद्ध हर विषय नोट्स + 50 MCQ के साथ पूरा करें; त्रुटि-लॉग रखें; मासिक टेस्ट ≥ 78%।</t>
  </si>
  <si>
    <t xml:space="preserve">चरण 3B: टेस्ट सीरीज़ एवं कमज़ोर क्षेत्र सुधार
चरण 3C: अंतिम मॉक एवं पुनरावृत्ति</t>
  </si>
  <si>
    <t xml:space="preserve">टेस्ट सीरीज़; अंतिम पुनरावृत्ति</t>
  </si>
  <si>
    <t xml:space="preserve">कमज़ोर क्षेत्र सुधार; अंतिम पुनरावृत्ति</t>
  </si>
  <si>
    <t xml:space="preserve">सप्ताह 74–78। सूचीबद्ध हर विषय नोट्स + 50 MCQ के साथ पूरा करें; त्रुटि-लॉग रखें; मासिक टेस्ट ≥ 85%।</t>
  </si>
  <si>
    <t xml:space="preserve">साप्ताहिक योजना – 78 सप्ताह (+ शुभारंभ दिवस)</t>
  </si>
  <si>
    <t xml:space="preserve">तिथियाँ 'सारांश' शीट की आरंभ तिथि से अपने-आप बनती हैं। अपना साप्ताहिक टेस्ट स्कोर कॉलम L में दर्ज करें।</t>
  </si>
  <si>
    <t xml:space="preserve">सप्ताह #</t>
  </si>
  <si>
    <t xml:space="preserve">आरंभ (सोम)</t>
  </si>
  <si>
    <t xml:space="preserve">समाप्त (रवि)</t>
  </si>
  <si>
    <t xml:space="preserve">प्राथमिक विषय (सोम–शनि)</t>
  </si>
  <si>
    <t xml:space="preserve">द्वितीयक विषय (सोम–शनि)</t>
  </si>
  <si>
    <t xml:space="preserve">रविवार टेस्ट</t>
  </si>
  <si>
    <t xml:space="preserve">साप्ताहिक लक्ष्य</t>
  </si>
  <si>
    <t xml:space="preserve">टेस्ट स्कोर %</t>
  </si>
  <si>
    <t xml:space="preserve">टिप्पणी</t>
  </si>
  <si>
    <t xml:space="preserve">शुभारंभ: पाठ्यक्रम, PYQ, डायग्नोस्टिक टेस्ट, नोट्स की व्यवस्था</t>
  </si>
  <si>
    <t xml:space="preserve">योजना व ट्रैकर की स्थापना</t>
  </si>
  <si>
    <t xml:space="preserve">— (डायग्नोस्टिक टेस्ट उसी दिन)</t>
  </si>
  <si>
    <t xml:space="preserve">पैटर्न समझें; कमज़ोर विषय पहचानें</t>
  </si>
  <si>
    <t xml:space="preserve">प्रागैतिहास एवं सिंधु घाटी सभ्यता; वैदिक काल एवं महाजनपद</t>
  </si>
  <si>
    <t xml:space="preserve">बिहार – प्राचीन इतिहास; बिहार – मध्यकालीन एवं औपनिवेशिक इतिहास</t>
  </si>
  <si>
    <t xml:space="preserve">साप्ताहिक टेस्ट (100 MCQ, 90 मिनट) + विश्लेषण</t>
  </si>
  <si>
    <t xml:space="preserve">सूचीबद्ध सभी विषय पूरे करें; ~300 MCQ; साप्ताहिक टेस्ट ≥ 55%</t>
  </si>
  <si>
    <t xml:space="preserve">जैन, बौद्ध एवं अन्य नास्तिक संप्रदाय; मौर्य साम्राज्य; मौर्योत्तर काल (शुंग, कुषाण, सातवाहन, संगम)</t>
  </si>
  <si>
    <t xml:space="preserve">बिहार – मध्यकालीन एवं औपनिवेशिक इतिहास; बिहार – स्वतंत्रता संग्राम एवं आधुनिक राजनीति</t>
  </si>
  <si>
    <t xml:space="preserve">गुप्त साम्राज्य, हर्षवर्धन एवं पाल वंश; पूर्व मध्यकालीन भारत (राजपूत, चोल, चालुक्य, पल्लव); दिल्ली सल्तनत</t>
  </si>
  <si>
    <t xml:space="preserve">बिहार – स्वतंत्रता संग्राम एवं आधुनिक राजनीति; बिहार – भूगोल: भौतिक स्वरूप, नदियाँ एवं जलवायु</t>
  </si>
  <si>
    <t xml:space="preserve">दिल्ली सल्तनत; भक्ति एवं सूफी आंदोलन; मुगल साम्राज्य</t>
  </si>
  <si>
    <t xml:space="preserve">बिहार – भूगोल: भौतिक स्वरूप, नदियाँ एवं जलवायु; बिहार – कृषि, सिंचाई एवं उद्योग</t>
  </si>
  <si>
    <t xml:space="preserve">मासिक टेस्ट (150 प्रश्न, 2 घंटे, प्रारंभिक परीक्षा पैटर्न) + विश्लेषण + आधे दिन का विश्राम</t>
  </si>
  <si>
    <t xml:space="preserve">मुगल साम्राज्य; मराठा एवं क्षेत्रीय शक्तियाँ (18वीं शताब्दी); यूरोपीय आगमन एवं ब्रिटिश विस्तार</t>
  </si>
  <si>
    <t xml:space="preserve">बिहार – कृषि, सिंचाई एवं उद्योग; बिहार – अर्थव्यवस्था, बजट एवं सरकारी योजनाएँ</t>
  </si>
  <si>
    <t xml:space="preserve">1857 का विद्रोह; सामाजिक-धार्मिक सुधार आंदोलन; प्रारंभिक राष्ट्रवाद: कांग्रेस, नरमपंथी, गरमपंथी, स्वदेशी</t>
  </si>
  <si>
    <t xml:space="preserve">बिहार – अर्थव्यवस्था, बजट एवं सरकारी योजनाएँ; बिहार – राजव्यवस्था एवं प्रशासन</t>
  </si>
  <si>
    <t xml:space="preserve">गांधी युग: चंपारण से भारत छोड़ो तक; क्रांतिकारी आंदोलन, संवैधानिक विकास एवं विभाजन</t>
  </si>
  <si>
    <t xml:space="preserve">बिहार – राजव्यवस्था एवं प्रशासन; बिहार – कला, संस्कृति, साहित्य एवं पर्यटन</t>
  </si>
  <si>
    <t xml:space="preserve">क्रांतिकारी आंदोलन, संवैधानिक विकास एवं विभाजन; स्वातंत्र्योत्तर भारत (1947 के बाद); भारतीय कला एवं स्थापत्य</t>
  </si>
  <si>
    <t xml:space="preserve">बिहार – कला, संस्कृति, साहित्य एवं पर्यटन; बिहार – जनसांख्यिकी, शिक्षा एवं स्वास्थ्य</t>
  </si>
  <si>
    <t xml:space="preserve">प्रदर्शन कलाएँ, साहित्य, त्योहार एवं यूनेस्को स्थल; ब्रह्मांड, सौरमंडल एवं पृथ्वी</t>
  </si>
  <si>
    <t xml:space="preserve">बिहार – जनसांख्यिकी, शिक्षा एवं स्वास्थ्य; भौतिकी I: गति, बल, कार्य एवं गुरुत्वाकर्षण</t>
  </si>
  <si>
    <t xml:space="preserve">ब्रह्मांड, सौरमंडल एवं पृथ्वी; भू-आकृति विज्ञान: पृथ्वी का आंतरिक भाग, चट्टानें एवं स्थलरूप; जलवायु विज्ञान: वायुमंडल, पवनें एवं जलवायु</t>
  </si>
  <si>
    <t xml:space="preserve">भौतिकी I: गति, बल, कार्य एवं गुरुत्वाकर्षण; भौतिकी II: ऊष्मा, प्रकाश, ध्वनि, विद्युत एवं आधुनिक भौतिकी</t>
  </si>
  <si>
    <t xml:space="preserve">जलवायु विज्ञान: वायुमंडल, पवनें एवं जलवायु; समुद्र विज्ञान; भारत का भौतिक स्वरूप</t>
  </si>
  <si>
    <t xml:space="preserve">भौतिकी II: ऊष्मा, प्रकाश, ध्वनि, विद्युत एवं आधुनिक भौतिकी; रसायन I: पदार्थ, परमाणु, आवर्त सारणी एवं अम्ल-क्षार</t>
  </si>
  <si>
    <t xml:space="preserve">भारत का भौतिक स्वरूप; भारतीय अपवाह तंत्र; भारत की जलवायु, मानसून, मृदा एवं वनस्पति</t>
  </si>
  <si>
    <t xml:space="preserve">रसायन I: पदार्थ, परमाणु, आवर्त सारणी एवं अम्ल-क्षार; रसायन II: धातु, कार्बन यौगिक एवं दैनिक जीवन में रसायन</t>
  </si>
  <si>
    <t xml:space="preserve">भारत की जलवायु, मानसून, मृदा एवं वनस्पति; भारतीय कृषि; खनिज, ऊर्जा एवं उद्योग</t>
  </si>
  <si>
    <t xml:space="preserve">रसायन II: धातु, कार्बन यौगिक एवं दैनिक जीवन में रसायन; जीव विज्ञान I: कोशिका, पादप एवं जंतु जगत</t>
  </si>
  <si>
    <t xml:space="preserve">खनिज, ऊर्जा एवं उद्योग; परिवहन, जनसंख्या, जनगणना एवं नगरीकरण; विश्व भूगोल</t>
  </si>
  <si>
    <t xml:space="preserve">जीव विज्ञान II: मानव शरीर, पोषण एवं रोग</t>
  </si>
  <si>
    <t xml:space="preserve">विश्व भूगोल; संविधान निर्माण, प्रस्तावना एवं विशेषताएँ; संघ, नागरिकता एवं मौलिक अधिकार</t>
  </si>
  <si>
    <t xml:space="preserve">जीव विज्ञान II: मानव शरीर, पोषण एवं रोग; विज्ञान एवं प्रौद्योगिकी: अंतरिक्ष, रक्षा, IT एवं उभरती तकनीकें</t>
  </si>
  <si>
    <t xml:space="preserve">संघ, नागरिकता एवं मौलिक अधिकार; नीति निदेशक तत्व, मौलिक कर्तव्य एवं संविधान संशोधन; संघ की कार्यपालिका</t>
  </si>
  <si>
    <t xml:space="preserve">विज्ञान एवं प्रौद्योगिकी: अंतरिक्ष, रक्षा, IT एवं उभरती तकनीकें; गणित I: संख्या पद्धति, म.स.-ल.स. एवं सरलीकरण</t>
  </si>
  <si>
    <t xml:space="preserve">संघ की कार्यपालिका; संसद</t>
  </si>
  <si>
    <t xml:space="preserve">गणित I: संख्या पद्धति, म.स.-ल.स. एवं सरलीकरण; गणित II: प्रतिशत, लाभ-हानि, अनुपात एवं औसत</t>
  </si>
  <si>
    <t xml:space="preserve">संसद; न्यायपालिका; संघवाद: केंद्र–राज्य संबंध एवं आपातकाल</t>
  </si>
  <si>
    <t xml:space="preserve">गणित II: प्रतिशत, लाभ-हानि, अनुपात एवं औसत; गणित III: समय-कार्य, समय-चाल-दूरी एवं ब्याज</t>
  </si>
  <si>
    <t xml:space="preserve">संघवाद: केंद्र–राज्य संबंध एवं आपातकाल; राज्य सरकार, पंचायती राज एवं नगरपालिकाएँ</t>
  </si>
  <si>
    <t xml:space="preserve">गणित III: समय-कार्य, समय-चाल-दूरी एवं ब्याज; गणित IV: बीजगणित, ज्यामिति, क्षेत्रमिति एवं त्रिकोणमिति</t>
  </si>
  <si>
    <t xml:space="preserve">संवैधानिक एवं गैर-संवैधानिक निकाय; शासन, अधिकार एवं सामाजिक न्याय</t>
  </si>
  <si>
    <t xml:space="preserve">गणित IV: बीजगणित, ज्यामिति, क्षेत्रमिति एवं त्रिकोणमिति</t>
  </si>
  <si>
    <t xml:space="preserve">मूल अवधारणाएँ, राष्ट्रीय आय एवं मुद्रास्फीति; नियोजन, गरीबी एवं बेरोज़गारी</t>
  </si>
  <si>
    <t xml:space="preserve">गणित IV: बीजगणित, ज्यामिति, क्षेत्रमिति एवं त्रिकोणमिति; गणित V: आँकड़ा व्याख्या एवं सांख्यिकी</t>
  </si>
  <si>
    <t xml:space="preserve">नियोजन, गरीबी एवं बेरोज़गारी; मुद्रा, बैंकिंग एवं मौद्रिक नीति</t>
  </si>
  <si>
    <t xml:space="preserve">तर्कशक्ति I: श्रेणी, कोडिंग-डिकोडिंग एवं सादृश्य; तर्कशक्ति II: दिशा, रक्त संबंध, न्यायवाक्य एवं पहेलियाँ</t>
  </si>
  <si>
    <t xml:space="preserve">सार्वजनिक वित्त: बजट, कराधान एवं GST; कृषि अर्थव्यवस्था</t>
  </si>
  <si>
    <t xml:space="preserve">तर्कशक्ति II: दिशा, रक्त संबंध, न्यायवाक्य एवं पहेलियाँ</t>
  </si>
  <si>
    <t xml:space="preserve">उद्योग, सेवाएँ एवं अवसंरचना; बाह्य क्षेत्र एवं अंतर्राष्ट्रीय संस्थाएँ</t>
  </si>
  <si>
    <t xml:space="preserve">हिंदी व्याकरण I: वर्ण, संधि, समास, उपसर्ग-प्रत्यय; हिंदी व्याकरण II: वाक्य शुद्धि, मुहावरे, पर्यायवाची</t>
  </si>
  <si>
    <t xml:space="preserve">पूँजी बाज़ार, बीमा, आर्थिक सर्वेक्षण एवं बजट; पारिस्थितिकी एवं पारितंत्र</t>
  </si>
  <si>
    <t xml:space="preserve">हिंदी व्याकरण II: वाक्य शुद्धि, मुहावरे, पर्यायवाची</t>
  </si>
  <si>
    <t xml:space="preserve">जैव विविधता एवं संरक्षण; जलवायु परिवर्तन, प्रदूषण एवं पर्यावरण कानून</t>
  </si>
  <si>
    <t xml:space="preserve">हिंदी व्याकरण II: वाक्य शुद्धि, मुहावरे, पर्यायवाची; हिंदी लेखन: गद्यांश, पत्र, निबंध एवं अनुवाद</t>
  </si>
  <si>
    <t xml:space="preserve">सूचीबद्ध सभी विषय पूरे करें; ~300 MCQ; साप्ताहिक टेस्ट ≥ 65%</t>
  </si>
  <si>
    <t xml:space="preserve">बिहार – भूगोल: भौतिक स्वरूप, नदियाँ एवं जलवायु</t>
  </si>
  <si>
    <t xml:space="preserve">बिहार – जनसांख्यिकी, शिक्षा एवं स्वास्थ्य; गणित I: संख्या पद्धति, म.स.-ल.स. एवं सरलीकरण</t>
  </si>
  <si>
    <t xml:space="preserve">तर्कशक्ति II: दिशा, रक्त संबंध, न्यायवाक्य एवं पहेलियाँ; उत्तर लेखन की मूल बातें: संरचना, भूमिका-मुख्य भाग-निष्कर्ष</t>
  </si>
  <si>
    <t xml:space="preserve">उत्तर लेखन की मूल बातें: संरचना, भूमिका-मुख्य भाग-निष्कर्ष; उत्तर लेखन – इतिहास एवं संस्कृति</t>
  </si>
  <si>
    <t xml:space="preserve">उत्तर लेखन – इतिहास एवं संस्कृति; उत्तर लेखन – भूगोल एवं आपदा प्रबंधन</t>
  </si>
  <si>
    <t xml:space="preserve">उत्तर लेखन – भूगोल एवं आपदा प्रबंधन; उत्तर लेखन – राजव्यवस्था, शासन एवं सामाजिक न्याय</t>
  </si>
  <si>
    <t xml:space="preserve">उत्तर लेखन – राजव्यवस्था, शासन एवं सामाजिक न्याय</t>
  </si>
  <si>
    <t xml:space="preserve">उत्तर लेखन – राजव्यवस्था, शासन एवं सामाजिक न्याय; उत्तर लेखन – अर्थव्यवस्था एवं बिहार की अर्थव्यवस्था</t>
  </si>
  <si>
    <t xml:space="preserve">उत्तर लेखन – अर्थव्यवस्था एवं बिहार की अर्थव्यवस्था; उत्तर लेखन – विज्ञान, प्रौद्योगिकी एवं पर्यावरण</t>
  </si>
  <si>
    <t xml:space="preserve">उत्तर लेखन – विज्ञान, प्रौद्योगिकी एवं पर्यावरण; बिहार के समसामयिक मुद्दे: बाढ़, प्रवासन, शिक्षा, स्वास्थ्य, औद्योगीकरण</t>
  </si>
  <si>
    <t xml:space="preserve">बिहार के समसामयिक मुद्दे: बाढ़, प्रवासन, शिक्षा, स्वास्थ्य, औद्योगीकरण</t>
  </si>
  <si>
    <t xml:space="preserve">सामाजिक मुद्दे एवं समसामयिक विषय</t>
  </si>
  <si>
    <t xml:space="preserve">सामाजिक मुद्दे एवं समसामयिक विषय; अंतर्राष्ट्रीय संबंध एवं आंतरिक सुरक्षा</t>
  </si>
  <si>
    <t xml:space="preserve">अंतर्राष्ट्रीय संबंध एवं आंतरिक सुरक्षा; निबंध लेखन अभ्यास (हिंदी/अंग्रेज़ी)</t>
  </si>
  <si>
    <t xml:space="preserve">निबंध लेखन अभ्यास (हिंदी/अंग्रेज़ी); हिंदी मुख्य परीक्षा: संक्षेपण, पत्र, अनुवाद एवं व्याकरण</t>
  </si>
  <si>
    <t xml:space="preserve">हिंदी मुख्य परीक्षा: संक्षेपण, पत्र, अनुवाद एवं व्याकरण; केस स्टडी, नैतिकता एवं ईमानदारी की मूल बातें</t>
  </si>
  <si>
    <t xml:space="preserve">प्रागैतिहास एवं सिंधु घाटी सभ्यता; वैदिक काल एवं महाजनपद; जैन, बौद्ध एवं अन्य नास्तिक संप्रदाय; मौर्य साम्राज्य</t>
  </si>
  <si>
    <t xml:space="preserve">बिहार – प्राचीन इतिहास; बिहार – मध्यकालीन एवं औपनिवेशिक इतिहास; बिहार – स्वतंत्रता संग्राम एवं आधुनिक राजनीति</t>
  </si>
  <si>
    <t xml:space="preserve">सूचीबद्ध सभी विषय पूरे करें; ~300 MCQ; साप्ताहिक टेस्ट ≥ 72%</t>
  </si>
  <si>
    <t xml:space="preserve">मौर्योत्तर काल (शुंग, कुषाण, सातवाहन, संगम); गुप्त साम्राज्य, हर्षवर्धन एवं पाल वंश; पूर्व मध्यकालीन भारत (राजपूत, चोल, चालुक्य, पल्लव); दिल्ली सल्तनत; भक्ति एवं सूफी आंदोलन</t>
  </si>
  <si>
    <t xml:space="preserve">मुगल साम्राज्य; मराठा एवं क्षेत्रीय शक्तियाँ (18वीं शताब्दी); यूरोपीय आगमन एवं ब्रिटिश विस्तार; 1857 का विद्रोह; सामाजिक-धार्मिक सुधार आंदोलन</t>
  </si>
  <si>
    <t xml:space="preserve">प्रारंभिक राष्ट्रवाद: कांग्रेस, नरमपंथी, गरमपंथी, स्वदेशी; गांधी युग: चंपारण से भारत छोड़ो तक; क्रांतिकारी आंदोलन, संवैधानिक विकास एवं विभाजन</t>
  </si>
  <si>
    <t xml:space="preserve">बिहार – अर्थव्यवस्था, बजट एवं सरकारी योजनाएँ; बिहार – राजव्यवस्था एवं प्रशासन; बिहार – कला, संस्कृति, साहित्य एवं पर्यटन</t>
  </si>
  <si>
    <t xml:space="preserve">स्वातंत्र्योत्तर भारत (1947 के बाद); भारतीय कला एवं स्थापत्य; प्रदर्शन कलाएँ, साहित्य, त्योहार एवं यूनेस्को स्थल; ब्रह्मांड, सौरमंडल एवं पृथ्वी; भू-आकृति विज्ञान: पृथ्वी का आंतरिक भाग, चट्टानें एवं स्थलरूप</t>
  </si>
  <si>
    <t xml:space="preserve">भू-आकृति विज्ञान: पृथ्वी का आंतरिक भाग, चट्टानें एवं स्थलरूप; जलवायु विज्ञान: वायुमंडल, पवनें एवं जलवायु; समुद्र विज्ञान; भारत का भौतिक स्वरूप</t>
  </si>
  <si>
    <t xml:space="preserve">भारतीय अपवाह तंत्र; भारत की जलवायु, मानसून, मृदा एवं वनस्पति; भारतीय कृषि; खनिज, ऊर्जा एवं उद्योग</t>
  </si>
  <si>
    <t xml:space="preserve">रसायन I: पदार्थ, परमाणु, आवर्त सारणी एवं अम्ल-क्षार; रसायन II: धातु, कार्बन यौगिक एवं दैनिक जीवन में रसायन; जीव विज्ञान I: कोशिका, पादप एवं जंतु जगत</t>
  </si>
  <si>
    <t xml:space="preserve">परिवहन, जनसंख्या, जनगणना एवं नगरीकरण; विश्व भूगोल; संविधान निर्माण, प्रस्तावना एवं विशेषताएँ</t>
  </si>
  <si>
    <t xml:space="preserve">संघ, नागरिकता एवं मौलिक अधिकार; नीति निदेशक तत्व, मौलिक कर्तव्य एवं संविधान संशोधन; संघ की कार्यपालिका; संसद</t>
  </si>
  <si>
    <t xml:space="preserve">विज्ञान एवं प्रौद्योगिकी: अंतरिक्ष, रक्षा, IT एवं उभरती तकनीकें; गणित I: संख्या पद्धति, म.स.-ल.स. एवं सरलीकरण; गणित II: प्रतिशत, लाभ-हानि, अनुपात एवं औसत</t>
  </si>
  <si>
    <t xml:space="preserve">संसद; न्यायपालिका; संघवाद: केंद्र–राज्य संबंध एवं आपातकाल; राज्य सरकार, पंचायती राज एवं नगरपालिकाएँ</t>
  </si>
  <si>
    <t xml:space="preserve">राज्य सरकार, पंचायती राज एवं नगरपालिकाएँ; संवैधानिक एवं गैर-संवैधानिक निकाय; शासन, अधिकार एवं सामाजिक न्याय; मूल अवधारणाएँ, राष्ट्रीय आय एवं मुद्रास्फीति</t>
  </si>
  <si>
    <t xml:space="preserve">गणित III: समय-कार्य, समय-चाल-दूरी एवं ब्याज; गणित IV: बीजगणित, ज्यामिति, क्षेत्रमिति एवं त्रिकोणमिति; गणित V: आँकड़ा व्याख्या एवं सांख्यिकी</t>
  </si>
  <si>
    <t xml:space="preserve">मूल अवधारणाएँ, राष्ट्रीय आय एवं मुद्रास्फीति; नियोजन, गरीबी एवं बेरोज़गारी; मुद्रा, बैंकिंग एवं मौद्रिक नीति; सार्वजनिक वित्त: बजट, कराधान एवं GST</t>
  </si>
  <si>
    <t xml:space="preserve">गणित V: आँकड़ा व्याख्या एवं सांख्यिकी; तर्कशक्ति I: श्रेणी, कोडिंग-डिकोडिंग एवं सादृश्य; तर्कशक्ति II: दिशा, रक्त संबंध, न्यायवाक्य एवं पहेलियाँ</t>
  </si>
  <si>
    <t xml:space="preserve">सार्वजनिक वित्त: बजट, कराधान एवं GST; कृषि अर्थव्यवस्था; उद्योग, सेवाएँ एवं अवसंरचना; बाह्य क्षेत्र एवं अंतर्राष्ट्रीय संस्थाएँ; पूँजी बाज़ार, बीमा, आर्थिक सर्वेक्षण एवं बजट</t>
  </si>
  <si>
    <t xml:space="preserve">तर्कशक्ति II: दिशा, रक्त संबंध, न्यायवाक्य एवं पहेलियाँ; हिंदी व्याकरण I: वर्ण, संधि, समास, उपसर्ग-प्रत्यय; हिंदी व्याकरण II: वाक्य शुद्धि, मुहावरे, पर्यायवाची</t>
  </si>
  <si>
    <t xml:space="preserve">पूँजी बाज़ार, बीमा, आर्थिक सर्वेक्षण एवं बजट; पारिस्थितिकी एवं पारितंत्र; जैव विविधता एवं संरक्षण; जलवायु परिवर्तन, प्रदूषण एवं पर्यावरण कानून</t>
  </si>
  <si>
    <t xml:space="preserve">सूचीबद्ध सभी विषय पूरे करें; ~300 MCQ; साप्ताहिक टेस्ट ≥ 78%</t>
  </si>
  <si>
    <t xml:space="preserve">अंतिम पुनरावृत्ति</t>
  </si>
  <si>
    <t xml:space="preserve">सूचीबद्ध सभी विषय पूरे करें; ~300 MCQ; साप्ताहिक टेस्ट ≥ 85%</t>
  </si>
  <si>
    <t xml:space="preserve">अंतिम विश्राम दिवस: संक्षिप्त नोट्स पर नज़र, परीक्षा-दिवस की तैयारी, जल्दी सोएँ</t>
  </si>
  <si>
    <t xml:space="preserve">दैनिक योजना – BPSC 1.5 वर्षीय अध्ययन कार्यक्रम</t>
  </si>
  <si>
    <t xml:space="preserve">सोम–शनि: 7.5 घंटे (प्राथमिक 3 • द्वितीयक 2 • करेंट अफेयर्स 1 • अभ्यास 1 • पुनरावृत्ति 0.5)। रविवार: टेस्ट + पुनरावृत्ति। प्रगति के लिए 'स्थिति' (कॉलम W) बदलें।</t>
  </si>
  <si>
    <t xml:space="preserve">दिन #</t>
  </si>
  <si>
    <t xml:space="preserve">दिनांक</t>
  </si>
  <si>
    <t xml:space="preserve">वार</t>
  </si>
  <si>
    <t xml:space="preserve">प्राथमिक विषय-क्षेत्र</t>
  </si>
  <si>
    <t xml:space="preserve">प्राथमिक विषय (3 घंटे)</t>
  </si>
  <si>
    <t xml:space="preserve">पढ़ने योग्य मुख्य सैद्धांतिक बिंदु (अध्ययन रूपरेखा)</t>
  </si>
  <si>
    <t xml:space="preserve">सैद्धांतिक अध्ययन एवं PDF नोट्स</t>
  </si>
  <si>
    <t xml:space="preserve">सैद्धांतिक अध्ययन – वेबसाइट लिंक</t>
  </si>
  <si>
    <t xml:space="preserve">द्वितीयक विषय-क्षेत्र</t>
  </si>
  <si>
    <t xml:space="preserve">द्वितीयक विषय (2 घंटे)</t>
  </si>
  <si>
    <t xml:space="preserve">करेंट अफेयर्स (1 घंटा)</t>
  </si>
  <si>
    <t xml:space="preserve">अभ्यास (1 घंटा)</t>
  </si>
  <si>
    <t xml:space="preserve">पुनरावृत्ति (0.5 घंटा)</t>
  </si>
  <si>
    <t xml:space="preserve">अध्ययन घंटे</t>
  </si>
  <si>
    <t xml:space="preserve">नोट्स / पुस्तकें – प्राथमिक</t>
  </si>
  <si>
    <t xml:space="preserve">नोट्स / पुस्तकें – द्वितीयक</t>
  </si>
  <si>
    <t xml:space="preserve">YouTube – प्राथमिक (दृष्टि IAS)</t>
  </si>
  <si>
    <t xml:space="preserve">YouTube – प्राथमिक (BPSC वाला)</t>
  </si>
  <si>
    <t xml:space="preserve">YouTube – द्वितीयक (BPSC वाला)</t>
  </si>
  <si>
    <t xml:space="preserve">स्थिति</t>
  </si>
  <si>
    <t xml:space="preserve">सैद्धांतिक अध्ययन – थ्योरी वेबसाइट लिंक (आज का प्राथमिक विषय)</t>
  </si>
  <si>
    <t xml:space="preserve">प्रारंभिक दिशा-निर्देश</t>
  </si>
  <si>
    <t xml:space="preserve">शुभारंभ: पाठ्यक्रम, PYQ विश्लेषण एवं डायग्नोस्टिक टेस्ट</t>
  </si>
  <si>
    <t xml:space="preserve">BPSC पाठ्यक्रम व पिछले 5 वर्षों के PYQ डाउनलोड करें; NCERT/पुस्तकें जुटाएँ; नोट्स प्रणाली (डिजिटल/कागज़) बनाएँ; 100 प्रश्नों का डायग्नोस्टिक टेस्ट दें; कमज़ोर विषय चिह्नित करें</t>
  </si>
  <si>
    <t xml:space="preserve">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</t>
  </si>
  <si>
    <t xml:space="preserve">वेबसाइट पर पढ़ें: bpsc.bihar.gov.in • drishtiias.com • visionias.in (क्लिक करें)</t>
  </si>
  <si>
    <t xml:space="preserve">योजना</t>
  </si>
  <si>
    <t xml:space="preserve">ट्रैकर, दैनिक समय-सारणी व नींद-पढ़ाई की दिनचर्या तय करें</t>
  </si>
  <si>
    <t xml:space="preserve">दैनिक समाचार पत्र + दृष्टि IAS करेंट अफेयर्स शुरू करें</t>
  </si>
  <si>
    <t xml:space="preserve">डायग्नोस्टिक टेस्ट (100 MCQ, 90 मिनट) + विश्लेषण</t>
  </si>
  <si>
    <t xml:space="preserve">—</t>
  </si>
  <si>
    <t xml:space="preserve">NCERT • मानक पुस्तकें</t>
  </si>
  <si>
    <t xml:space="preserve">स्वयं के संक्षिप्त नोट्स • त्रुटि-लॉग • साप्ताहिक करेंट अफेयर्स (दृष्टि / विजन IAS)</t>
  </si>
  <si>
    <t xml:space="preserve">▶ दृष्टि IAS</t>
  </si>
  <si>
    <t xml:space="preserve">▶ BPSC वाला</t>
  </si>
  <si>
    <t xml:space="preserve">शुरू नहीं हुआ</t>
  </si>
  <si>
    <t xml:space="preserve">इतिहास</t>
  </si>
  <si>
    <t xml:space="preserve">प्रागैतिहास एवं सिंधु घाटी सभ्यता (भाग 1/3)</t>
  </si>
  <si>
    <t xml:space="preserve">पाषाण–ताम्र युग; सिंधु सभ्यता के स्थल (हड़प्पा, मोहनजोदड़ो, लोथल, धौलावीरा, कालीबंगा); नगर नियोजन, व्यापार, धर्म, लिपि; पतन के कारण</t>
  </si>
  <si>
    <t xml:space="preserve">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</t>
  </si>
  <si>
    <t xml:space="preserve">वेबसाइट पर पढ़ें: drishtiias.com • visionias.in • ncert.nic.in (क्लिक करें)</t>
  </si>
  <si>
    <t xml:space="preserve">बिहार विशेष</t>
  </si>
  <si>
    <t xml:space="preserve">बिहार – प्राचीन इतिहास (भाग 1/5)</t>
  </si>
  <si>
    <t xml:space="preserve">बिहार समाचार (प्रभात खबर / दैनिक जागरण) + दृष्टि IAS दैनिक करेंट अफेयर्स</t>
  </si>
  <si>
    <t xml:space="preserve">आज के विषय पर 50 MCQ (+ उससे संबंधित BPSC PYQ)</t>
  </si>
  <si>
    <t xml:space="preserve">कल के नोट्स दोहराएँ (30 मिनट)</t>
  </si>
  <si>
    <t xml:space="preserve">NCERT इतिहास (कक्षा 6-12) • स्पेक्ट्रम आधुनिक भारत • दृष्टि IAS इतिहास नोट्स (हिंदी) • विजन IAS PT365/क्लास नोट्स • BPSC वाला क्लास नोट्स</t>
  </si>
  <si>
    <t xml:space="preserve">नवीनतम बिहार आर्थिक सर्वेक्षण व बजट • BPSC वाला बिहार विशेष • दृष्टि IAS बिहार विशेष (हिंदी) • राज्य सरकार के पोर्टल • बिहार सामान्य ज्ञान पुस्तक (लूसेंट/प्रभात)</t>
  </si>
  <si>
    <t xml:space="preserve">📖 पढ़ें: दृष्टि • विजन • NCERT • जागरण जोश • GKToday</t>
  </si>
  <si>
    <t xml:space="preserve">प्रागैतिहास एवं सिंधु घाटी सभ्यता (भाग 2/3)</t>
  </si>
  <si>
    <t xml:space="preserve">बिहार – प्राचीन इतिहास (भाग 2/5)</t>
  </si>
  <si>
    <t xml:space="preserve">राजव्यवस्था, शासन व अर्थव्यवस्था के समाचार (द हिंदू / दृष्टि IAS)</t>
  </si>
  <si>
    <t xml:space="preserve">प्रागैतिहास एवं सिंधु घाटी सभ्यता (भाग 3/3)</t>
  </si>
  <si>
    <t xml:space="preserve">बिहार – प्राचीन इतिहास (भाग 3/5)</t>
  </si>
  <si>
    <t xml:space="preserve">विज्ञान-प्रौद्योगिकी, अंतरिक्ष व रक्षा समाचार</t>
  </si>
  <si>
    <t xml:space="preserve">वैदिक काल एवं महाजनपद (भाग 1/3)</t>
  </si>
  <si>
    <t xml:space="preserve">पूर्व एवं उत्तर वैदिक समाज, राजनीति, अर्थव्यवस्था, धर्म; 16 महाजनपद; मगध का उत्कर्ष (बिम्बिसार, अजातशत्रु, नंद); लौह युग; द्वितीय नगरीकरण</t>
  </si>
  <si>
    <t xml:space="preserve">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</t>
  </si>
  <si>
    <t xml:space="preserve">बिहार – प्राचीन इतिहास (भाग 4/5)</t>
  </si>
  <si>
    <t xml:space="preserve">अंतर्राष्ट्रीय संबंध, शिखर सम्मेलन व भारत के पड़ोसी</t>
  </si>
  <si>
    <t xml:space="preserve">वैदिक काल एवं महाजनपद (भाग 2/3)</t>
  </si>
  <si>
    <t xml:space="preserve">बिहार – प्राचीन इतिहास (भाग 5/5)</t>
  </si>
  <si>
    <t xml:space="preserve">पर्यावरण, योजनाएँ, रिपोर्ट व सूचकांक</t>
  </si>
  <si>
    <t xml:space="preserve">वैदिक काल एवं महाजनपद (भाग 3/3)</t>
  </si>
  <si>
    <t xml:space="preserve">बिहार – मध्यकालीन एवं औपनिवेशिक इतिहास (भाग 1/5)</t>
  </si>
  <si>
    <t xml:space="preserve">साप्ताहिक करेंट अफेयर्स संकलन + 20 MCQ (दृष्टि / विजन IAS साप्ताहिक)</t>
  </si>
  <si>
    <t xml:space="preserve">टेस्ट एवं पुनरावृत्ति</t>
  </si>
  <si>
    <t xml:space="preserve">इस सप्ताह के विषय दोहराएँ: प्रागैतिहास एवं सिंधु घाटी सभ्यता; वैदिक काल एवं महाजनपद। त्रुटि-लॉग अद्यतन करें; 20 कमज़ोर बिंदु सूचीबद्ध करें; संक्षिप्त नोट्स दोबारा पढ़ें।</t>
  </si>
  <si>
    <t xml:space="preserve">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</t>
  </si>
  <si>
    <t xml:space="preserve">वेबसाइट पर पढ़ें: drishtiias.com • visionias.in • pib.gov.in (क्लिक करें)</t>
  </si>
  <si>
    <t xml:space="preserve">पुनरावृत्ति</t>
  </si>
  <si>
    <t xml:space="preserve">सप्ताह के द्वितीयक/बिहार विषय दोहराएँ + साप्ताहिक करेंट अफेयर्स संकलन</t>
  </si>
  <si>
    <t xml:space="preserve">साप्ताहिक करेंट अफेयर्स संकलन (दृष्टि IAS / विजन IAS साप्ताहिक) + 20 MCQ</t>
  </si>
  <si>
    <t xml:space="preserve">लक्ष्य अंक: 55%+ (साप्ताहिक शीट में अपना स्कोर दर्ज करें)</t>
  </si>
  <si>
    <t xml:space="preserve">पूरे सप्ताह की पुनरावृत्ति (2 घंटे)</t>
  </si>
  <si>
    <t xml:space="preserve">BPSC वाला / दृष्टि IAS / विजन IAS टेस्ट सीरीज़ • BPSC के PYQ (bpsc.bihar.gov.in)</t>
  </si>
  <si>
    <t xml:space="preserve">जैन, बौद्ध एवं अन्य नास्तिक संप्रदाय (भाग 1/2)</t>
  </si>
  <si>
    <t xml:space="preserve">महावीर एवं बुद्ध का जीवन व शिक्षाएँ; चार आर्य सत्य, अष्टांगिक मार्ग; बौद्ध संगीतियाँ (राजगृह, वैशाली, पाटलिपुत्र); संप्रदाय; बिहार से संबंध (बोधगया, राजगीर, वैशाली)</t>
  </si>
  <si>
    <t xml:space="preserve">पढ़ें: जैन, बौद्ध एवं अन्य नास्तिक संप्रदाय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('जैन, बौद्ध एवं अन्य नास्तिक.pdf')। तैयार PDF नोट्स खोजने हेतु क्लिक करें।</t>
  </si>
  <si>
    <t xml:space="preserve">बिहार – मध्यकालीन एवं औपनिवेशिक इतिहास (भाग 2/5)</t>
  </si>
  <si>
    <t xml:space="preserve">जैन, बौद्ध एवं अन्य नास्तिक संप्रदाय (भाग 2/2)</t>
  </si>
  <si>
    <t xml:space="preserve">बिहार – मध्यकालीन एवं औपनिवेशिक इतिहास (भाग 3/5)</t>
  </si>
  <si>
    <t xml:space="preserve">मौर्य साम्राज्य (भाग 1/3)</t>
  </si>
  <si>
    <t xml:space="preserve">चंद्रगुप्त, बिंदुसार, अशोक; कलिंग युद्ध व धम्म; अभिलेख; अर्थशास्त्र; मेगस्थनीज; प्रशासन, अर्थव्यवस्था, कला; पतन</t>
  </si>
  <si>
    <t xml:space="preserve">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</t>
  </si>
  <si>
    <t xml:space="preserve">बिहार – मध्यकालीन एवं औपनिवेशिक इतिहास (भाग 4/5)</t>
  </si>
  <si>
    <t xml:space="preserve">मौर्य साम्राज्य (भाग 2/3)</t>
  </si>
  <si>
    <t xml:space="preserve">बिहार – मध्यकालीन एवं औपनिवेशिक इतिहास (भाग 5/5)</t>
  </si>
  <si>
    <t xml:space="preserve">मौर्य साम्राज्य (भाग 3/3)</t>
  </si>
  <si>
    <t xml:space="preserve">बिहार – स्वतंत्रता संग्राम एवं आधुनिक राजनीति (भाग 1/5)</t>
  </si>
  <si>
    <t xml:space="preserve">मौर्योत्तर काल (शुंग, कुषाण, सातवाहन, संगम)</t>
  </si>
  <si>
    <t xml:space="preserve">शुंग व कण्व; हिंद-यूनानी, शक, कुषाण (कनिष्क); सातवाहन; संगम साहित्य व शासन; गांधार व मथुरा कला</t>
  </si>
  <si>
    <t xml:space="preserve">पढ़ें: मौर्योत्तर काल (शुंग, कुषाण, सातवाहन, संगम)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('मौर्योत्तर काल (शुंग, कुषाण,.pdf')। तैयार PDF नोट्स खोजने हेतु क्लिक करें।</t>
  </si>
  <si>
    <t xml:space="preserve">बिहार – स्वतंत्रता संग्राम एवं आधुनिक राजनीति (भाग 2/5)</t>
  </si>
  <si>
    <t xml:space="preserve">इस सप्ताह के विषय दोहराएँ: जैन, बौद्ध एवं अन्य नास्तिक संप्रदाय; मौर्य साम्राज्य; मौर्योत्तर काल (शुंग, कुषाण, सातवाहन, संगम)। त्रुटि-लॉग अद्यतन करें; 20 कमज़ोर बिंदु सूचीबद्ध करें; संक्षिप्त नोट्स दोबारा पढ़ें।</t>
  </si>
  <si>
    <t xml:space="preserve">गुप्त साम्राज्य, हर्षवर्धन एवं पाल वंश (भाग 1/3)</t>
  </si>
  <si>
    <t xml:space="preserve">समुद्रगुप्त, चंद्रगुप्त द्वितीय, स्कंदगुप्त; स्वर्ण युग (विज्ञान, कला, साहित्य); हर्षवर्धन व चीनी यात्री; पाल (धर्मपाल, नालंदा, विक्रमशिला)</t>
  </si>
  <si>
    <t xml:space="preserve">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</t>
  </si>
  <si>
    <t xml:space="preserve">बिहार – स्वतंत्रता संग्राम एवं आधुनिक राजनीति (भाग 3/5)</t>
  </si>
  <si>
    <t xml:space="preserve">गुप्त साम्राज्य, हर्षवर्धन एवं पाल वंश (भाग 2/3)</t>
  </si>
  <si>
    <t xml:space="preserve">बिहार – स्वतंत्रता संग्राम एवं आधुनिक राजनीति (भाग 4/5)</t>
  </si>
  <si>
    <t xml:space="preserve">गुप्त साम्राज्य, हर्षवर्धन एवं पाल वंश (भाग 3/3)</t>
  </si>
  <si>
    <t xml:space="preserve">बिहार – स्वतंत्रता संग्राम एवं आधुनिक राजनीति (भाग 5/5)</t>
  </si>
  <si>
    <t xml:space="preserve">पूर्व मध्यकालीन भारत (राजपूत, चोल, चालुक्य, पल्लव) (भाग 1/2)</t>
  </si>
  <si>
    <t xml:space="preserve">त्रिपक्षीय संघर्ष; चोल प्रशासन व कला; पल्लव/चालुक्य मंदिर शैली; सिंध पर अरब आक्रमण; गजनवी व गोरी आक्रमण; राजपूत राज्य</t>
  </si>
  <si>
    <t xml:space="preserve">पढ़ें: पूर्व मध्यकालीन भारत (राजपूत, चोल, चालुक्य, पल्लव)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('पूर्व मध्यकालीन भारत (राजपूत,.pdf')। तैयार PDF नोट्स खोजने हेतु क्लिक करें।</t>
  </si>
  <si>
    <t xml:space="preserve">बिहार – भूगोल: भौतिक स्वरूप, नदियाँ एवं जलवायु (भाग 1/8)</t>
  </si>
  <si>
    <t xml:space="preserve">पूर्व मध्यकालीन भारत (राजपूत, चोल, चालुक्य, पल्लव) (भाग 2/2)</t>
  </si>
  <si>
    <t xml:space="preserve">बिहार – भूगोल: भौतिक स्वरूप, नदियाँ एवं जलवायु (भाग 2/8)</t>
  </si>
  <si>
    <t xml:space="preserve">दिल्ली सल्तनत (भाग 1/3)</t>
  </si>
  <si>
    <t xml:space="preserve">गुलाम, खिलजी, तुगलक, सैयद, लोदी वंश; अलाउद्दीन व मुहम्मद बिन तुगलक के सुधार; प्रशासन, अर्थव्यवस्था, स्थापत्य; विजयनगर व बहमनी</t>
  </si>
  <si>
    <t xml:space="preserve">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</t>
  </si>
  <si>
    <t xml:space="preserve">बिहार – भूगोल: भौतिक स्वरूप, नदियाँ एवं जलवायु (भाग 3/8)</t>
  </si>
  <si>
    <t xml:space="preserve">इस सप्ताह के विषय दोहराएँ: गुप्त साम्राज्य, हर्षवर्धन एवं पाल वंश; पूर्व मध्यकालीन भारत (राजपूत, चोल, चालुक्य, पल्लव); दिल्ली सल्तनत। त्रुटि-लॉग अद्यतन करें; 20 कमज़ोर बिंदु सूचीबद्ध करें; संक्षिप्त नोट्स दोबारा पढ़ें।</t>
  </si>
  <si>
    <t xml:space="preserve">दिल्ली सल्तनत (भाग 2/3)</t>
  </si>
  <si>
    <t xml:space="preserve">बिहार – भूगोल: भौतिक स्वरूप, नदियाँ एवं जलवायु (भाग 4/8)</t>
  </si>
  <si>
    <t xml:space="preserve">दिल्ली सल्तनत (भाग 3/3)</t>
  </si>
  <si>
    <t xml:space="preserve">बिहार – भूगोल: भौतिक स्वरूप, नदियाँ एवं जलवायु (भाग 5/8)</t>
  </si>
  <si>
    <t xml:space="preserve">भक्ति एवं सूफी आंदोलन</t>
  </si>
  <si>
    <t xml:space="preserve">अलवार/नयनार, रामानंद, कबीर, नानक, चैतन्य, मीराबाई; सूफी सिलसिले (चिश्ती, सुहरावर्दी); समाज व भाषा पर प्रभाव</t>
  </si>
  <si>
    <t xml:space="preserve">पढ़ें: भक्ति एवं सूफी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('भक्ति एवं सूफी आंदोलन.pdf')। तैयार PDF नोट्स खोजने हेतु क्लिक करें।</t>
  </si>
  <si>
    <t xml:space="preserve">बिहार – भूगोल: भौतिक स्वरूप, नदियाँ एवं जलवायु (भाग 6/8)</t>
  </si>
  <si>
    <t xml:space="preserve">मुगल साम्राज्य (भाग 1/5)</t>
  </si>
  <si>
    <t xml:space="preserve">बाबर–औरंगज़ेब; शेरशाह सूरी (सासाराम, बिहार) व उसके सुधार; अकबर की नीतियाँ, मनसबदारी, भू-राजस्व; कला, स्थापत्य, साहित्य; पतन</t>
  </si>
  <si>
    <t xml:space="preserve">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</t>
  </si>
  <si>
    <t xml:space="preserve">बिहार – भूगोल: भौतिक स्वरूप, नदियाँ एवं जलवायु (भाग 7/8)</t>
  </si>
  <si>
    <t xml:space="preserve">मुगल साम्राज्य (भाग 2/5)</t>
  </si>
  <si>
    <t xml:space="preserve">बिहार – भूगोल: भौतिक स्वरूप, नदियाँ एवं जलवायु (भाग 8/8)</t>
  </si>
  <si>
    <t xml:space="preserve">मुगल साम्राज्य (भाग 3/5)</t>
  </si>
  <si>
    <t xml:space="preserve">बिहार – कृषि, सिंचाई एवं उद्योग (भाग 1/5)</t>
  </si>
  <si>
    <t xml:space="preserve">इस सप्ताह के विषय दोहराएँ: दिल्ली सल्तनत; भक्ति एवं सूफी आंदोलन; मुगल साम्राज्य। त्रुटि-लॉग अद्यतन करें; 20 कमज़ोर बिंदु सूचीबद्ध करें; संक्षिप्त नोट्स दोबारा पढ़ें।</t>
  </si>
  <si>
    <t xml:space="preserve">मुगल साम्राज्य (भाग 4/5)</t>
  </si>
  <si>
    <t xml:space="preserve">बिहार – कृषि, सिंचाई एवं उद्योग (भाग 2/5)</t>
  </si>
  <si>
    <t xml:space="preserve">मुगल साम्राज्य (भाग 5/5)</t>
  </si>
  <si>
    <t xml:space="preserve">बिहार – कृषि, सिंचाई एवं उद्योग (भाग 3/5)</t>
  </si>
  <si>
    <t xml:space="preserve">मराठा एवं क्षेत्रीय शक्तियाँ (18वीं शताब्दी)</t>
  </si>
  <si>
    <t xml:space="preserve">शिवाजी व प्रशासन, पेशवा, पानीपत 1761; सिख, राजपूत, अवध, बंगाल, हैदराबाद; मुगल पतन</t>
  </si>
  <si>
    <t xml:space="preserve">पढ़ें: मराठा एवं क्षेत्रीय शक्तियाँ (18वीं शताब्दी)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('मराठा एवं क्षेत्रीय शक्तियाँ.pdf')। तैयार PDF नोट्स खोजने हेतु क्लिक करें।</t>
  </si>
  <si>
    <t xml:space="preserve">बिहार – कृषि, सिंचाई एवं उद्योग (भाग 4/5)</t>
  </si>
  <si>
    <t xml:space="preserve">यूरोपीय आगमन एवं ब्रिटिश विस्तार (भाग 1/3)</t>
  </si>
  <si>
    <t xml:space="preserve">पुर्तगाली, डच, फ्रांसीसी, अंग्रेज़ कंपनियाँ; कर्नाटक युद्ध; प्लासी 1757 व बक्सर 1764 (बिहार संबंध); सहायक संधि, व्यपगत सिद्धांत; भू-राजस्व व्यवस्थाएँ; आर्थिक निकास</t>
  </si>
  <si>
    <t xml:space="preserve">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</t>
  </si>
  <si>
    <t xml:space="preserve">बिहार – कृषि, सिंचाई एवं उद्योग (भाग 5/5)</t>
  </si>
  <si>
    <t xml:space="preserve">यूरोपीय आगमन एवं ब्रिटिश विस्तार (भाग 2/3)</t>
  </si>
  <si>
    <t xml:space="preserve">बिहार – अर्थव्यवस्था, बजट एवं सरकारी योजनाएँ (भाग 1/7)</t>
  </si>
  <si>
    <t xml:space="preserve">यूरोपीय आगमन एवं ब्रिटिश विस्तार (भाग 3/3)</t>
  </si>
  <si>
    <t xml:space="preserve">बिहार – अर्थव्यवस्था, बजट एवं सरकारी योजनाएँ (भाग 2/7)</t>
  </si>
  <si>
    <t xml:space="preserve">इस सप्ताह के विषय दोहराएँ: मुगल साम्राज्य; मराठा एवं क्षेत्रीय शक्तियाँ (18वीं शताब्दी); यूरोपीय आगमन एवं ब्रिटिश विस्तार। त्रुटि-लॉग अद्यतन करें; 20 कमज़ोर बिंदु सूचीबद्ध करें; संक्षिप्त नोट्स दोबारा पढ़ें।</t>
  </si>
  <si>
    <t xml:space="preserve">1857 का विद्रोह (भाग 1/2)</t>
  </si>
  <si>
    <t xml:space="preserve">कारण, केंद्र व नेता (जगदीशपुर के कुँवर सिंह, रानी लक्ष्मीबाई, नाना साहब), दमन, स्वरूप, परिणाम; 1858 का अधिनियम</t>
  </si>
  <si>
    <t xml:space="preserve">पढ़ें: 1857 का विद्रोह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('1857 का विद्रोह.pdf')। तैयार PDF नोट्स खोजने हेतु क्लिक करें।</t>
  </si>
  <si>
    <t xml:space="preserve">बिहार – अर्थव्यवस्था, बजट एवं सरकारी योजनाएँ (भाग 3/7)</t>
  </si>
  <si>
    <t xml:space="preserve">1857 का विद्रोह (भाग 2/2)</t>
  </si>
  <si>
    <t xml:space="preserve">बिहार – अर्थव्यवस्था, बजट एवं सरकारी योजनाएँ (भाग 4/7)</t>
  </si>
  <si>
    <t xml:space="preserve">सामाजिक-धार्मिक सुधार आंदोलन</t>
  </si>
  <si>
    <t xml:space="preserve">ब्रह्म समाज, आर्य समाज, रामकृष्ण मिशन, अलीगढ़, सिंह सभा, थियोसोफी; फुले, अंबेडकर, पेरियार; महिला व जाति सुधार; प्रेस व शिक्षा</t>
  </si>
  <si>
    <t xml:space="preserve">पढ़ें: सामाजिक-धार्मिक सुधार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('सामाजिक-धार्मिक सुधार आंदोलन.pdf')। तैयार PDF नोट्स खोजने हेतु क्लिक करें।</t>
  </si>
  <si>
    <t xml:space="preserve">बिहार – अर्थव्यवस्था, बजट एवं सरकारी योजनाएँ (भाग 5/7)</t>
  </si>
  <si>
    <t xml:space="preserve">प्रारंभिक राष्ट्रवाद: कांग्रेस, नरमपंथी, गरमपंथी, स्वदेशी (भाग 1/3)</t>
  </si>
  <si>
    <t xml:space="preserve">1885 में कांग्रेस की स्थापना; नरमपंथी बनाम गरमपंथी; 1905 बंग-भंग व स्वदेशी; सूरत विभाजन; मॉर्ले-मिंटो; होमरूल; लखनऊ समझौता</t>
  </si>
  <si>
    <t xml:space="preserve">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</t>
  </si>
  <si>
    <t xml:space="preserve">बिहार – अर्थव्यवस्था, बजट एवं सरकारी योजनाएँ (भाग 6/7)</t>
  </si>
  <si>
    <t xml:space="preserve">प्रारंभिक राष्ट्रवाद: कांग्रेस, नरमपंथी, गरमपंथी, स्वदेशी (भाग 2/3)</t>
  </si>
  <si>
    <t xml:space="preserve">बिहार – अर्थव्यवस्था, बजट एवं सरकारी योजनाएँ (भाग 7/7)</t>
  </si>
  <si>
    <t xml:space="preserve">प्रारंभिक राष्ट्रवाद: कांग्रेस, नरमपंथी, गरमपंथी, स्वदेशी (भाग 3/3)</t>
  </si>
  <si>
    <t xml:space="preserve">बिहार – राजव्यवस्था एवं प्रशासन (भाग 1/5)</t>
  </si>
  <si>
    <t xml:space="preserve">इस सप्ताह के विषय दोहराएँ: 1857 का विद्रोह; सामाजिक-धार्मिक सुधार आंदोलन; प्रारंभिक राष्ट्रवाद: कांग्रेस, नरमपंथी, गरमपंथी, स्वदेशी। त्रुटि-लॉग अद्यतन करें; 20 कमज़ोर बिंदु सूचीबद्ध करें; संक्षिप्त नोट्स दोबारा पढ़ें।</t>
  </si>
  <si>
    <t xml:space="preserve">गांधी युग: चंपारण से भारत छोड़ो तक (भाग 1/5)</t>
  </si>
  <si>
    <t xml:space="preserve">चंपारण 1917 (बिहार), खेड़ा, अहमदाबाद; रॉलेट, असहयोग, सविनय अवज्ञा, दांडी; गोलमेज सम्मेलन; भारत छोड़ो 1942 (बिहार की भूमिका); आज़ाद हिंद फ़ौज</t>
  </si>
  <si>
    <t xml:space="preserve">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</t>
  </si>
  <si>
    <t xml:space="preserve">बिहार – राजव्यवस्था एवं प्रशासन (भाग 2/5)</t>
  </si>
  <si>
    <t xml:space="preserve">गांधी युग: चंपारण से भारत छोड़ो तक (भाग 2/5)</t>
  </si>
  <si>
    <t xml:space="preserve">बिहार – राजव्यवस्था एवं प्रशासन (भाग 3/5)</t>
  </si>
  <si>
    <t xml:space="preserve">गांधी युग: चंपारण से भारत छोड़ो तक (भाग 3/5)</t>
  </si>
  <si>
    <t xml:space="preserve">बिहार – राजव्यवस्था एवं प्रशासन (भाग 4/5)</t>
  </si>
  <si>
    <t xml:space="preserve">गांधी युग: चंपारण से भारत छोड़ो तक (भाग 4/5)</t>
  </si>
  <si>
    <t xml:space="preserve">बिहार – राजव्यवस्था एवं प्रशासन (भाग 5/5)</t>
  </si>
  <si>
    <t xml:space="preserve">गांधी युग: चंपारण से भारत छोड़ो तक (भाग 5/5)</t>
  </si>
  <si>
    <t xml:space="preserve">बिहार – कला, संस्कृति, साहित्य एवं पर्यटन (भाग 1/5)</t>
  </si>
  <si>
    <t xml:space="preserve">क्रांतिकारी आंदोलन, संवैधानिक विकास एवं विभाजन (भाग 1/3)</t>
  </si>
  <si>
    <t xml:space="preserve">क्रांतिकारी संगठन (HSRA, गदर); 1773–1935 के अधिनियम; क्रिप्स, कैबिनेट मिशन, माउंटबेटन योजना; विभाजन व स्वतंत्रता 1947</t>
  </si>
  <si>
    <t xml:space="preserve">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</t>
  </si>
  <si>
    <t xml:space="preserve">बिहार – कला, संस्कृति, साहित्य एवं पर्यटन (भाग 2/5)</t>
  </si>
  <si>
    <t xml:space="preserve">इस सप्ताह के विषय दोहराएँ: गांधी युग: चंपारण से भारत छोड़ो तक; क्रांतिकारी आंदोलन, संवैधानिक विकास एवं विभाजन। त्रुटि-लॉग अद्यतन करें; 20 कमज़ोर बिंदु सूचीबद्ध करें; संक्षिप्त नोट्स दोबारा पढ़ें।</t>
  </si>
  <si>
    <t xml:space="preserve">क्रांतिकारी आंदोलन, संवैधानिक विकास एवं विभाजन (भाग 2/3)</t>
  </si>
  <si>
    <t xml:space="preserve">बिहार – कला, संस्कृति, साहित्य एवं पर्यटन (भाग 3/5)</t>
  </si>
  <si>
    <t xml:space="preserve">क्रांतिकारी आंदोलन, संवैधानिक विकास एवं विभाजन (भाग 3/3)</t>
  </si>
  <si>
    <t xml:space="preserve">बिहार – कला, संस्कृति, साहित्य एवं पर्यटन (भाग 4/5)</t>
  </si>
  <si>
    <t xml:space="preserve">स्वातंत्र्योत्तर भारत (1947 के बाद)</t>
  </si>
  <si>
    <t xml:space="preserve">रियासतों का एकीकरण; राज्य पुनर्गठन; हरित क्रांति; युद्ध; आपातकाल 1975; जेपी आंदोलन; 1991 के आर्थिक सुधार</t>
  </si>
  <si>
    <t xml:space="preserve">पढ़ें: स्वातंत्र्योत्तर भारत (1947 के बाद)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('स्वातंत्र्योत्तर भारत (1947 के.pdf')। तैयार PDF नोट्स खोजने हेतु क्लिक करें।</t>
  </si>
  <si>
    <t xml:space="preserve">बिहार – कला, संस्कृति, साहित्य एवं पर्यटन (भाग 5/5)</t>
  </si>
  <si>
    <t xml:space="preserve">भारतीय कला एवं स्थापत्य (भाग 1/3)</t>
  </si>
  <si>
    <t xml:space="preserve">मंदिर शैलियाँ (नागर, द्रविड़, वेसर); बौद्ध स्तूप व गुफाएँ; भारतीय-इस्लामी स्थापत्य; मूर्तिकला शैलियाँ; चित्रकला (मधुबनी, पहाड़ी, मुगल)</t>
  </si>
  <si>
    <t xml:space="preserve">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</t>
  </si>
  <si>
    <t xml:space="preserve">बिहार – जनसांख्यिकी, शिक्षा एवं स्वास्थ्य (भाग 1/5)</t>
  </si>
  <si>
    <t xml:space="preserve">भारतीय कला एवं स्थापत्य (भाग 2/3)</t>
  </si>
  <si>
    <t xml:space="preserve">बिहार – जनसांख्यिकी, शिक्षा एवं स्वास्थ्य (भाग 2/5)</t>
  </si>
  <si>
    <t xml:space="preserve">भारतीय कला एवं स्थापत्य (भाग 3/3)</t>
  </si>
  <si>
    <t xml:space="preserve">बिहार – जनसांख्यिकी, शिक्षा एवं स्वास्थ्य (भाग 3/5)</t>
  </si>
  <si>
    <t xml:space="preserve">इस सप्ताह के विषय दोहराएँ: क्रांतिकारी आंदोलन, संवैधानिक विकास एवं विभाजन; स्वातंत्र्योत्तर भारत (1947 के बाद); भारतीय कला एवं स्थापत्य। त्रुटि-लॉग अद्यतन करें; 20 कमज़ोर बिंदु सूचीबद्ध करें; संक्षिप्त नोट्स दोबारा पढ़ें।</t>
  </si>
  <si>
    <t xml:space="preserve">प्रदर्शन कलाएँ, साहित्य, त्योहार एवं यूनेस्को स्थल (भाग 1/3)</t>
  </si>
  <si>
    <t xml:space="preserve">शास्त्रीय नृत्य व संगीत; लोक कलाएँ; भाषाएँ व शास्त्रीय साहित्य; धर्म व त्योहार; भारत में यूनेस्को विश्व धरोहर व अमूर्त विरासत</t>
  </si>
  <si>
    <t xml:space="preserve">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</t>
  </si>
  <si>
    <t xml:space="preserve">बिहार – जनसांख्यिकी, शिक्षा एवं स्वास्थ्य (भाग 4/5)</t>
  </si>
  <si>
    <t xml:space="preserve">प्रदर्शन कलाएँ, साहित्य, त्योहार एवं यूनेस्को स्थल (भाग 2/3)</t>
  </si>
  <si>
    <t xml:space="preserve">बिहार – जनसांख्यिकी, शिक्षा एवं स्वास्थ्य (भाग 5/5)</t>
  </si>
  <si>
    <t xml:space="preserve">प्रदर्शन कलाएँ, साहित्य, त्योहार एवं यूनेस्को स्थल (भाग 3/3)</t>
  </si>
  <si>
    <t xml:space="preserve">विज्ञान</t>
  </si>
  <si>
    <t xml:space="preserve">भौतिकी I: गति, बल, कार्य एवं गुरुत्वाकर्षण (भाग 1/5)</t>
  </si>
  <si>
    <t xml:space="preserve">NCERT विज्ञान (कक्षा 6-10) • लूसेंट सामान्य ज्ञान (विज्ञान) • दृष्टि IAS विज्ञान-प्रौद्योगिकी • BPSC वाला</t>
  </si>
  <si>
    <t xml:space="preserve">भूगोल</t>
  </si>
  <si>
    <t xml:space="preserve">ब्रह्मांड, सौरमंडल एवं पृथ्वी (भाग 1/4)</t>
  </si>
  <si>
    <t xml:space="preserve">बिग बैंग, आकाशगंगा, ग्रह, चंद्रमा; घूर्णन व परिक्रमण; अक्षांश-देशांतर, समय क्षेत्र; ग्रहण; ऋतुएँ</t>
  </si>
  <si>
    <t xml:space="preserve">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</t>
  </si>
  <si>
    <t xml:space="preserve">भौतिकी I: गति, बल, कार्य एवं गुरुत्वाकर्षण (भाग 2/5)</t>
  </si>
  <si>
    <t xml:space="preserve">NCERT भूगोल (कक्षा 6-12) • सविन्द्र सिंह / माजिद हुसैन • दृष्टि IAS भूगोल नोट्स • विजन IAS • BPSC वाला</t>
  </si>
  <si>
    <t xml:space="preserve">ब्रह्मांड, सौरमंडल एवं पृथ्वी (भाग 2/4)</t>
  </si>
  <si>
    <t xml:space="preserve">भौतिकी I: गति, बल, कार्य एवं गुरुत्वाकर्षण (भाग 3/5)</t>
  </si>
  <si>
    <t xml:space="preserve">ब्रह्मांड, सौरमंडल एवं पृथ्वी (भाग 3/4)</t>
  </si>
  <si>
    <t xml:space="preserve">भौतिकी I: गति, बल, कार्य एवं गुरुत्वाकर्षण (भाग 4/5)</t>
  </si>
  <si>
    <t xml:space="preserve">इस सप्ताह के विषय दोहराएँ: प्रदर्शन कलाएँ, साहित्य, त्योहार एवं यूनेस्को स्थल; ब्रह्मांड, सौरमंडल एवं पृथ्वी। त्रुटि-लॉग अद्यतन करें; 20 कमज़ोर बिंदु सूचीबद्ध करें; संक्षिप्त नोट्स दोबारा पढ़ें।</t>
  </si>
  <si>
    <t xml:space="preserve">ब्रह्मांड, सौरमंडल एवं पृथ्वी (भाग 4/4)</t>
  </si>
  <si>
    <t xml:space="preserve">भौतिकी I: गति, बल, कार्य एवं गुरुत्वाकर्षण (भाग 5/5)</t>
  </si>
  <si>
    <t xml:space="preserve">भू-आकृति विज्ञान: पृथ्वी का आंतरिक भाग, चट्टानें एवं स्थलरूप (भाग 1/3)</t>
  </si>
  <si>
    <t xml:space="preserve">पृथ्वी की परतें, चट्टानें, खनिज; प्लेट विवर्तनिकी; भूकंप व ज्वालामुखी; अपक्षय, अपरदन; नदी, हिमनद, पवन द्वारा निर्मित स्थलरूप</t>
  </si>
  <si>
    <t xml:space="preserve">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</t>
  </si>
  <si>
    <t xml:space="preserve">भौतिकी II: ऊष्मा, प्रकाश, ध्वनि, विद्युत एवं आधुनिक भौतिकी (भाग 1/8)</t>
  </si>
  <si>
    <t xml:space="preserve">भू-आकृति विज्ञान: पृथ्वी का आंतरिक भाग, चट्टानें एवं स्थलरूप (भाग 2/3)</t>
  </si>
  <si>
    <t xml:space="preserve">भौतिकी II: ऊष्मा, प्रकाश, ध्वनि, विद्युत एवं आधुनिक भौतिकी (भाग 2/8)</t>
  </si>
  <si>
    <t xml:space="preserve">भू-आकृति विज्ञान: पृथ्वी का आंतरिक भाग, चट्टानें एवं स्थलरूप (भाग 3/3)</t>
  </si>
  <si>
    <t xml:space="preserve">भौतिकी II: ऊष्मा, प्रकाश, ध्वनि, विद्युत एवं आधुनिक भौतिकी (भाग 3/8)</t>
  </si>
  <si>
    <t xml:space="preserve">जलवायु विज्ञान: वायुमंडल, पवनें एवं जलवायु (भाग 1/4)</t>
  </si>
  <si>
    <t xml:space="preserve">वायुमंडल की परतें; सूर्यातप, ऊष्मा बजट; दाब पेटियाँ, पवनें, जेट धाराएँ; चक्रवात; आर्द्रता व वर्षण; कोपेन जलवायु वर्गीकरण</t>
  </si>
  <si>
    <t xml:space="preserve">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</t>
  </si>
  <si>
    <t xml:space="preserve">भौतिकी II: ऊष्मा, प्रकाश, ध्वनि, विद्युत एवं आधुनिक भौतिकी (भाग 4/8)</t>
  </si>
  <si>
    <t xml:space="preserve">जलवायु विज्ञान: वायुमंडल, पवनें एवं जलवायु (भाग 2/4)</t>
  </si>
  <si>
    <t xml:space="preserve">भौतिकी II: ऊष्मा, प्रकाश, ध्वनि, विद्युत एवं आधुनिक भौतिकी (भाग 5/8)</t>
  </si>
  <si>
    <t xml:space="preserve">इस सप्ताह के विषय दोहराएँ: ब्रह्मांड, सौरमंडल एवं पृथ्वी; भू-आकृति विज्ञान: पृथ्वी का आंतरिक भाग, चट्टानें एवं स्थलरूप; जलवायु विज्ञान: वायुमंडल, पवनें एवं जलवायु। त्रुटि-लॉग अद्यतन करें; 20 कमज़ोर बिंदु सूचीबद्ध करें; संक्षिप्त नोट्स दोबारा पढ़ें।</t>
  </si>
  <si>
    <t xml:space="preserve">जलवायु विज्ञान: वायुमंडल, पवनें एवं जलवायु (भाग 3/4)</t>
  </si>
  <si>
    <t xml:space="preserve">भौतिकी II: ऊष्मा, प्रकाश, ध्वनि, विद्युत एवं आधुनिक भौतिकी (भाग 6/8)</t>
  </si>
  <si>
    <t xml:space="preserve">जलवायु विज्ञान: वायुमंडल, पवनें एवं जलवायु (भाग 4/4)</t>
  </si>
  <si>
    <t xml:space="preserve">भौतिकी II: ऊष्मा, प्रकाश, ध्वनि, विद्युत एवं आधुनिक भौतिकी (भाग 7/8)</t>
  </si>
  <si>
    <t xml:space="preserve">समुद्र विज्ञान (भाग 1/2)</t>
  </si>
  <si>
    <t xml:space="preserve">महासागरीय उच्चावच; तापमान व लवणता; महासागरीय धाराएँ; ज्वार-भाटा; प्रवाल भित्तियाँ; समुद्री संसाधन</t>
  </si>
  <si>
    <t xml:space="preserve">पढ़ें: समुद्र विज्ञान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('समुद्र विज्ञान.pdf')। तैयार PDF नोट्स खोजने हेतु क्लिक करें।</t>
  </si>
  <si>
    <t xml:space="preserve">भौतिकी II: ऊष्मा, प्रकाश, ध्वनि, विद्युत एवं आधुनिक भौतिकी (भाग 8/8)</t>
  </si>
  <si>
    <t xml:space="preserve">समुद्र विज्ञान (भाग 2/2)</t>
  </si>
  <si>
    <t xml:space="preserve">रसायन I: पदार्थ, परमाणु, आवर्त सारणी एवं अम्ल-क्षार (भाग 1/5)</t>
  </si>
  <si>
    <t xml:space="preserve">भारत का भौतिक स्वरूप (भाग 1/3)</t>
  </si>
  <si>
    <t xml:space="preserve">हिमालय, उत्तरी मैदान, प्रायद्वीपीय पठार, तटीय मैदान, द्वीप, थार; पश्चिमी व पूर्वी घाट; दर्रे</t>
  </si>
  <si>
    <t xml:space="preserve">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</t>
  </si>
  <si>
    <t xml:space="preserve">रसायन I: पदार्थ, परमाणु, आवर्त सारणी एवं अम्ल-क्षार (भाग 2/5)</t>
  </si>
  <si>
    <t xml:space="preserve">भारत का भौतिक स्वरूप (भाग 2/3)</t>
  </si>
  <si>
    <t xml:space="preserve">रसायन I: पदार्थ, परमाणु, आवर्त सारणी एवं अम्ल-क्षार (भाग 3/5)</t>
  </si>
  <si>
    <t xml:space="preserve">इस सप्ताह के विषय दोहराएँ: जलवायु विज्ञान: वायुमंडल, पवनें एवं जलवायु; समुद्र विज्ञान; भारत का भौतिक स्वरूप। त्रुटि-लॉग अद्यतन करें; 20 कमज़ोर बिंदु सूचीबद्ध करें; संक्षिप्त नोट्स दोबारा पढ़ें।</t>
  </si>
  <si>
    <t xml:space="preserve">भारत का भौतिक स्वरूप (भाग 3/3)</t>
  </si>
  <si>
    <t xml:space="preserve">रसायन I: पदार्थ, परमाणु, आवर्त सारणी एवं अम्ल-क्षार (भाग 4/5)</t>
  </si>
  <si>
    <t xml:space="preserve">भारतीय अपवाह तंत्र (भाग 1/3)</t>
  </si>
  <si>
    <t xml:space="preserve">हिमालयी बनाम प्रायद्वीपीय नदियाँ; गंगा तंत्र (गंडक, कोसी, सोन, बागमती); ब्रह्मपुत्र; गोदावरी, कृष्णा, कावेरी; झीलें; नदी जोड़ो परियोजना</t>
  </si>
  <si>
    <t xml:space="preserve">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</t>
  </si>
  <si>
    <t xml:space="preserve">रसायन I: पदार्थ, परमाणु, आवर्त सारणी एवं अम्ल-क्षार (भाग 5/5)</t>
  </si>
  <si>
    <t xml:space="preserve">भारतीय अपवाह तंत्र (भाग 2/3)</t>
  </si>
  <si>
    <t xml:space="preserve">रसायन II: धातु, कार्बन यौगिक एवं दैनिक जीवन में रसायन (भाग 1/5)</t>
  </si>
  <si>
    <t xml:space="preserve">भारतीय अपवाह तंत्र (भाग 3/3)</t>
  </si>
  <si>
    <t xml:space="preserve">रसायन II: धातु, कार्बन यौगिक एवं दैनिक जीवन में रसायन (भाग 2/5)</t>
  </si>
  <si>
    <t xml:space="preserve">भारत की जलवायु, मानसून, मृदा एवं वनस्पति (भाग 1/3)</t>
  </si>
  <si>
    <t xml:space="preserve">मानसून की क्रियाविधि, एल नीनो, जेट धारा; ऋतुएँ; मृदा के प्रकार; प्राकृतिक वनस्पति व वनों के प्रकार</t>
  </si>
  <si>
    <t xml:space="preserve">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</t>
  </si>
  <si>
    <t xml:space="preserve">रसायन II: धातु, कार्बन यौगिक एवं दैनिक जीवन में रसायन (भाग 3/5)</t>
  </si>
  <si>
    <t xml:space="preserve">भारत की जलवायु, मानसून, मृदा एवं वनस्पति (भाग 2/3)</t>
  </si>
  <si>
    <t xml:space="preserve">रसायन II: धातु, कार्बन यौगिक एवं दैनिक जीवन में रसायन (भाग 4/5)</t>
  </si>
  <si>
    <t xml:space="preserve">इस सप्ताह के विषय दोहराएँ: भारत का भौतिक स्वरूप; भारतीय अपवाह तंत्र; भारत की जलवायु, मानसून, मृदा एवं वनस्पति। त्रुटि-लॉग अद्यतन करें; 20 कमज़ोर बिंदु सूचीबद्ध करें; संक्षिप्त नोट्स दोबारा पढ़ें।</t>
  </si>
  <si>
    <t xml:space="preserve">भारत की जलवायु, मानसून, मृदा एवं वनस्पति (भाग 3/3)</t>
  </si>
  <si>
    <t xml:space="preserve">रसायन II: धातु, कार्बन यौगिक एवं दैनिक जीवन में रसायन (भाग 5/5)</t>
  </si>
  <si>
    <t xml:space="preserve">भारतीय कृषि (भाग 1/3)</t>
  </si>
  <si>
    <t xml:space="preserve">फसल ऋतुएँ; प्रमुख फसलें व वितरण; सिंचाई; हरित व श्वेत क्रांति; भूमि सुधार; कृषि-जलवायु प्रदेश</t>
  </si>
  <si>
    <t xml:space="preserve">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</t>
  </si>
  <si>
    <t xml:space="preserve">जीव विज्ञान I: कोशिका, पादप एवं जंतु जगत (भाग 1/5)</t>
  </si>
  <si>
    <t xml:space="preserve">भारतीय कृषि (भाग 2/3)</t>
  </si>
  <si>
    <t xml:space="preserve">जीव विज्ञान I: कोशिका, पादप एवं जंतु जगत (भाग 2/5)</t>
  </si>
  <si>
    <t xml:space="preserve">भारतीय कृषि (भाग 3/3)</t>
  </si>
  <si>
    <t xml:space="preserve">जीव विज्ञान I: कोशिका, पादप एवं जंतु जगत (भाग 3/5)</t>
  </si>
  <si>
    <t xml:space="preserve">खनिज, ऊर्जा एवं उद्योग (भाग 1/3)</t>
  </si>
  <si>
    <t xml:space="preserve">लौह अयस्क, कोयला, अभ्रक, बॉक्साइट का वितरण; पेट्रोलियम; ऊर्जा (ताप, जल, नाभिकीय, नवीकरणीय); औद्योगिक प्रदेश; लौह-इस्पात, वस्त्र, चीनी</t>
  </si>
  <si>
    <t xml:space="preserve">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</t>
  </si>
  <si>
    <t xml:space="preserve">जीव विज्ञान I: कोशिका, पादप एवं जंतु जगत (भाग 4/5)</t>
  </si>
  <si>
    <t xml:space="preserve">खनिज, ऊर्जा एवं उद्योग (भाग 2/3)</t>
  </si>
  <si>
    <t xml:space="preserve">जीव विज्ञान I: कोशिका, पादप एवं जंतु जगत (भाग 5/5)</t>
  </si>
  <si>
    <t xml:space="preserve">इस सप्ताह के विषय दोहराएँ: भारत की जलवायु, मानसून, मृदा एवं वनस्पति; भारतीय कृषि; खनिज, ऊर्जा एवं उद्योग। त्रुटि-लॉग अद्यतन करें; 20 कमज़ोर बिंदु सूचीबद्ध करें; संक्षिप्त नोट्स दोबारा पढ़ें।</t>
  </si>
  <si>
    <t xml:space="preserve">खनिज, ऊर्जा एवं उद्योग (भाग 3/3)</t>
  </si>
  <si>
    <t xml:space="preserve">जीव विज्ञान II: मानव शरीर, पोषण एवं रोग (भाग 1/8)</t>
  </si>
  <si>
    <t xml:space="preserve">परिवहन, जनसंख्या, जनगणना एवं नगरीकरण (भाग 1/3)</t>
  </si>
  <si>
    <t xml:space="preserve">सड़क, रेल, बंदरगाह, वायु व जलमार्ग; जनगणना (नवीनतम) के संकेतक; प्रवासन; नगरीकरण; मानव विकास</t>
  </si>
  <si>
    <t xml:space="preserve">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</t>
  </si>
  <si>
    <t xml:space="preserve">जीव विज्ञान II: मानव शरीर, पोषण एवं रोग (भाग 2/8)</t>
  </si>
  <si>
    <t xml:space="preserve">परिवहन, जनसंख्या, जनगणना एवं नगरीकरण (भाग 2/3)</t>
  </si>
  <si>
    <t xml:space="preserve">जीव विज्ञान II: मानव शरीर, पोषण एवं रोग (भाग 3/8)</t>
  </si>
  <si>
    <t xml:space="preserve">परिवहन, जनसंख्या, जनगणना एवं नगरीकरण (भाग 3/3)</t>
  </si>
  <si>
    <t xml:space="preserve">जीव विज्ञान II: मानव शरीर, पोषण एवं रोग (भाग 4/8)</t>
  </si>
  <si>
    <t xml:space="preserve">विश्व भूगोल (भाग 1/4)</t>
  </si>
  <si>
    <t xml:space="preserve">महाद्वीप व महासागर; देश–राजधानी–मुद्रा; पर्वत, नदियाँ, मरुस्थल, जलडमरूमध्य, झीलें; चर्चित स्थान; मानचित्र आधारित अभ्यास</t>
  </si>
  <si>
    <t xml:space="preserve">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</t>
  </si>
  <si>
    <t xml:space="preserve">जीव विज्ञान II: मानव शरीर, पोषण एवं रोग (भाग 5/8)</t>
  </si>
  <si>
    <t xml:space="preserve">विश्व भूगोल (भाग 2/4)</t>
  </si>
  <si>
    <t xml:space="preserve">जीव विज्ञान II: मानव शरीर, पोषण एवं रोग (भाग 6/8)</t>
  </si>
  <si>
    <t xml:space="preserve">इस सप्ताह के विषय दोहराएँ: खनिज, ऊर्जा एवं उद्योग; परिवहन, जनसंख्या, जनगणना एवं नगरीकरण; विश्व भूगोल। त्रुटि-लॉग अद्यतन करें; 20 कमज़ोर बिंदु सूचीबद्ध करें; संक्षिप्त नोट्स दोबारा पढ़ें।</t>
  </si>
  <si>
    <t xml:space="preserve">विश्व भूगोल (भाग 3/4)</t>
  </si>
  <si>
    <t xml:space="preserve">जीव विज्ञान II: मानव शरीर, पोषण एवं रोग (भाग 7/8)</t>
  </si>
  <si>
    <t xml:space="preserve">विश्व भूगोल (भाग 4/4)</t>
  </si>
  <si>
    <t xml:space="preserve">जीव विज्ञान II: मानव शरीर, पोषण एवं रोग (भाग 8/8)</t>
  </si>
  <si>
    <t xml:space="preserve">राजव्यवस्था</t>
  </si>
  <si>
    <t xml:space="preserve">संविधान निर्माण, प्रस्तावना एवं विशेषताएँ (भाग 1/3)</t>
  </si>
  <si>
    <t xml:space="preserve">ऐतिहासिक पृष्ठभूमि; संविधान सभा; संविधान के स्रोत; प्रस्तावना; प्रमुख विशेषताएँ; अनुसूचियाँ व भाग</t>
  </si>
  <si>
    <t xml:space="preserve">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</t>
  </si>
  <si>
    <t xml:space="preserve">वेबसाइट पर पढ़ें: drishtiias.com • visionias.in • prsindia.org (क्लिक करें)</t>
  </si>
  <si>
    <t xml:space="preserve">विज्ञान एवं प्रौद्योगिकी: अंतरिक्ष, रक्षा, IT एवं उभरती तकनीकें (भाग 1/7)</t>
  </si>
  <si>
    <t xml:space="preserve">एम. लक्ष्मीकांत (हिंदी/अंग्रेज़ी) • NCERT कक्षा 11-12 राजव्यवस्था • दृष्टि IAS राजव्यवस्था नोट्स • विजन IAS • BPSC वाला</t>
  </si>
  <si>
    <t xml:space="preserve">संविधान निर्माण, प्रस्तावना एवं विशेषताएँ (भाग 2/3)</t>
  </si>
  <si>
    <t xml:space="preserve">विज्ञान एवं प्रौद्योगिकी: अंतरिक्ष, रक्षा, IT एवं उभरती तकनीकें (भाग 2/7)</t>
  </si>
  <si>
    <t xml:space="preserve">संविधान निर्माण, प्रस्तावना एवं विशेषताएँ (भाग 3/3)</t>
  </si>
  <si>
    <t xml:space="preserve">विज्ञान एवं प्रौद्योगिकी: अंतरिक्ष, रक्षा, IT एवं उभरती तकनीकें (भाग 3/7)</t>
  </si>
  <si>
    <t xml:space="preserve">संघ, नागरिकता एवं मौलिक अधिकार (भाग 1/3)</t>
  </si>
  <si>
    <t xml:space="preserve">अनुच्छेद 1-4; नागरिकता अधिनियम व CAA; अनुच्छेद 12-35; रिट; युक्तियुक्त प्रतिबंध</t>
  </si>
  <si>
    <t xml:space="preserve">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</t>
  </si>
  <si>
    <t xml:space="preserve">विज्ञान एवं प्रौद्योगिकी: अंतरिक्ष, रक्षा, IT एवं उभरती तकनीकें (भाग 4/7)</t>
  </si>
  <si>
    <t xml:space="preserve">इस सप्ताह के विषय दोहराएँ: विश्व भूगोल; संविधान निर्माण, प्रस्तावना एवं विशेषताएँ; संघ, नागरिकता एवं मौलिक अधिकार। त्रुटि-लॉग अद्यतन करें; 20 कमज़ोर बिंदु सूचीबद्ध करें; संक्षिप्त नोट्स दोबारा पढ़ें।</t>
  </si>
  <si>
    <t xml:space="preserve">संघ, नागरिकता एवं मौलिक अधिकार (भाग 2/3)</t>
  </si>
  <si>
    <t xml:space="preserve">विज्ञान एवं प्रौद्योगिकी: अंतरिक्ष, रक्षा, IT एवं उभरती तकनीकें (भाग 5/7)</t>
  </si>
  <si>
    <t xml:space="preserve">संघ, नागरिकता एवं मौलिक अधिकार (भाग 3/3)</t>
  </si>
  <si>
    <t xml:space="preserve">विज्ञान एवं प्रौद्योगिकी: अंतरिक्ष, रक्षा, IT एवं उभरती तकनीकें (भाग 6/7)</t>
  </si>
  <si>
    <t xml:space="preserve">नीति निदेशक तत्व, मौलिक कर्तव्य एवं संविधान संशोधन (भाग 1/3)</t>
  </si>
  <si>
    <t xml:space="preserve">भाग IV; अनुच्छेद 51A; अनु. 368 की प्रक्रिया; महत्वपूर्ण संशोधन (1ला, 42वाँ, 44वाँ, 73वाँ, 74वाँ, 101वाँ, 103वाँ, 106वाँ); मूल ढाँचा सिद्धांत</t>
  </si>
  <si>
    <t xml:space="preserve">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</t>
  </si>
  <si>
    <t xml:space="preserve">विज्ञान एवं प्रौद्योगिकी: अंतरिक्ष, रक्षा, IT एवं उभरती तकनीकें (भाग 7/7)</t>
  </si>
  <si>
    <t xml:space="preserve">नीति निदेशक तत्व, मौलिक कर्तव्य एवं संविधान संशोधन (भाग 2/3)</t>
  </si>
  <si>
    <t xml:space="preserve">गणित एवं तर्कशक्ति</t>
  </si>
  <si>
    <t xml:space="preserve">गणित I: संख्या पद्धति, म.स.-ल.स. एवं सरलीकरण (भाग 1/5)</t>
  </si>
  <si>
    <t xml:space="preserve">NCERT गणित (कक्षा 6-10) • राकेश यादव / लूसेंट गणित • आर.एस. अग्रवाल तर्कशक्ति • BPSC वाला गणित क्लास</t>
  </si>
  <si>
    <t xml:space="preserve">नीति निदेशक तत्व, मौलिक कर्तव्य एवं संविधान संशोधन (भाग 3/3)</t>
  </si>
  <si>
    <t xml:space="preserve">गणित I: संख्या पद्धति, म.स.-ल.स. एवं सरलीकरण (भाग 2/5)</t>
  </si>
  <si>
    <t xml:space="preserve">संघ की कार्यपालिका (भाग 1/3)</t>
  </si>
  <si>
    <t xml:space="preserve">राष्ट्रपति (निर्वाचन, शक्तियाँ, अध्यादेश), उपराष्ट्रपति, प्रधानमंत्री, मंत्रिपरिषद, मंत्रिमंडल, महान्यायवादी</t>
  </si>
  <si>
    <t xml:space="preserve">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</t>
  </si>
  <si>
    <t xml:space="preserve">गणित I: संख्या पद्धति, म.स.-ल.स. एवं सरलीकरण (भाग 3/5)</t>
  </si>
  <si>
    <t xml:space="preserve">इस सप्ताह के विषय दोहराएँ: संघ, नागरिकता एवं मौलिक अधिकार; नीति निदेशक तत्व, मौलिक कर्तव्य एवं संविधान संशोधन; संघ की कार्यपालिका। त्रुटि-लॉग अद्यतन करें; 20 कमज़ोर बिंदु सूचीबद्ध करें; संक्षिप्त नोट्स दोबारा पढ़ें।</t>
  </si>
  <si>
    <t xml:space="preserve">संघ की कार्यपालिका (भाग 2/3)</t>
  </si>
  <si>
    <t xml:space="preserve">गणित I: संख्या पद्धति, म.स.-ल.स. एवं सरलीकरण (भाग 4/5)</t>
  </si>
  <si>
    <t xml:space="preserve">संघ की कार्यपालिका (भाग 3/3)</t>
  </si>
  <si>
    <t xml:space="preserve">गणित I: संख्या पद्धति, म.स.-ल.स. एवं सरलीकरण (भाग 5/5)</t>
  </si>
  <si>
    <t xml:space="preserve">संसद (भाग 1/5)</t>
  </si>
  <si>
    <t xml:space="preserve">लोकसभा व राज्यसभा का गठन; विधायी प्रक्रिया; धन व वित्त विधेयक; बजट प्रक्रिया; समितियाँ; विशेषाधिकार; दल-बदल विरोधी कानून</t>
  </si>
  <si>
    <t xml:space="preserve">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</t>
  </si>
  <si>
    <t xml:space="preserve">गणित II: प्रतिशत, लाभ-हानि, अनुपात एवं औसत (भाग 1/8)</t>
  </si>
  <si>
    <t xml:space="preserve">संसद (भाग 2/5)</t>
  </si>
  <si>
    <t xml:space="preserve">गणित II: प्रतिशत, लाभ-हानि, अनुपात एवं औसत (भाग 2/8)</t>
  </si>
  <si>
    <t xml:space="preserve">संसद (भाग 3/5)</t>
  </si>
  <si>
    <t xml:space="preserve">गणित II: प्रतिशत, लाभ-हानि, अनुपात एवं औसत (भाग 3/8)</t>
  </si>
  <si>
    <t xml:space="preserve">संसद (भाग 4/5)</t>
  </si>
  <si>
    <t xml:space="preserve">गणित II: प्रतिशत, लाभ-हानि, अनुपात एवं औसत (भाग 4/8)</t>
  </si>
  <si>
    <t xml:space="preserve">इस सप्ताह के विषय दोहराएँ: संघ की कार्यपालिका; संसद। त्रुटि-लॉग अद्यतन करें; 20 कमज़ोर बिंदु सूचीबद्ध करें; संक्षिप्त नोट्स दोबारा पढ़ें।</t>
  </si>
  <si>
    <t xml:space="preserve">संसद (भाग 5/5)</t>
  </si>
  <si>
    <t xml:space="preserve">गणित II: प्रतिशत, लाभ-हानि, अनुपात एवं औसत (भाग 5/8)</t>
  </si>
  <si>
    <t xml:space="preserve">न्यायपालिका (भाग 1/3)</t>
  </si>
  <si>
    <t xml:space="preserve">सर्वोच्च न्यायालय का क्षेत्राधिकार; उच्च न्यायालय; न्यायिक समीक्षा व सक्रियता; जनहित याचिका (PIL); अधीनस्थ न्यायालय; लोक अदालत, अधिकरण, कॉलेजियम</t>
  </si>
  <si>
    <t xml:space="preserve">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</t>
  </si>
  <si>
    <t xml:space="preserve">गणित II: प्रतिशत, लाभ-हानि, अनुपात एवं औसत (भाग 6/8)</t>
  </si>
  <si>
    <t xml:space="preserve">न्यायपालिका (भाग 2/3)</t>
  </si>
  <si>
    <t xml:space="preserve">गणित II: प्रतिशत, लाभ-हानि, अनुपात एवं औसत (भाग 7/8)</t>
  </si>
  <si>
    <t xml:space="preserve">न्यायपालिका (भाग 3/3)</t>
  </si>
  <si>
    <t xml:space="preserve">गणित II: प्रतिशत, लाभ-हानि, अनुपात एवं औसत (भाग 8/8)</t>
  </si>
  <si>
    <t xml:space="preserve">संघवाद: केंद्र–राज्य संबंध एवं आपातकाल (भाग 1/3)</t>
  </si>
  <si>
    <t xml:space="preserve">विधायी-प्रशासनिक-वित्तीय संबंध; अंतर-राज्य परिषद; वित्त आयोग; GST परिषद; आपातकालीन प्रावधान (अनु. 352, 356, 360)</t>
  </si>
  <si>
    <t xml:space="preserve">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</t>
  </si>
  <si>
    <t xml:space="preserve">गणित III: समय-कार्य, समय-चाल-दूरी एवं ब्याज (भाग 1/7)</t>
  </si>
  <si>
    <t xml:space="preserve">संघवाद: केंद्र–राज्य संबंध एवं आपातकाल (भाग 2/3)</t>
  </si>
  <si>
    <t xml:space="preserve">गणित III: समय-कार्य, समय-चाल-दूरी एवं ब्याज (भाग 2/7)</t>
  </si>
  <si>
    <t xml:space="preserve">इस सप्ताह के विषय दोहराएँ: संसद; न्यायपालिका; संघवाद: केंद्र–राज्य संबंध एवं आपातकाल। त्रुटि-लॉग अद्यतन करें; 20 कमज़ोर बिंदु सूचीबद्ध करें; संक्षिप्त नोट्स दोबारा पढ़ें।</t>
  </si>
  <si>
    <t xml:space="preserve">संघवाद: केंद्र–राज्य संबंध एवं आपातकाल (भाग 3/3)</t>
  </si>
  <si>
    <t xml:space="preserve">गणित III: समय-कार्य, समय-चाल-दूरी एवं ब्याज (भाग 3/7)</t>
  </si>
  <si>
    <t xml:space="preserve">राज्य सरकार, पंचायती राज एवं नगरपालिकाएँ (भाग 1/5)</t>
  </si>
  <si>
    <t xml:space="preserve">राज्यपाल, मुख्यमंत्री, राज्य विधानमंडल; 73वाँ व 74वाँ संशोधन; बिहार पंचायती राज संरचना; स्थानीय वित्त</t>
  </si>
  <si>
    <t xml:space="preserve">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</t>
  </si>
  <si>
    <t xml:space="preserve">गणित III: समय-कार्य, समय-चाल-दूरी एवं ब्याज (भाग 4/7)</t>
  </si>
  <si>
    <t xml:space="preserve">राज्य सरकार, पंचायती राज एवं नगरपालिकाएँ (भाग 2/5)</t>
  </si>
  <si>
    <t xml:space="preserve">गणित III: समय-कार्य, समय-चाल-दूरी एवं ब्याज (भाग 5/7)</t>
  </si>
  <si>
    <t xml:space="preserve">राज्य सरकार, पंचायती राज एवं नगरपालिकाएँ (भाग 3/5)</t>
  </si>
  <si>
    <t xml:space="preserve">गणित III: समय-कार्य, समय-चाल-दूरी एवं ब्याज (भाग 6/7)</t>
  </si>
  <si>
    <t xml:space="preserve">राज्य सरकार, पंचायती राज एवं नगरपालिकाएँ (भाग 4/5)</t>
  </si>
  <si>
    <t xml:space="preserve">गणित III: समय-कार्य, समय-चाल-दूरी एवं ब्याज (भाग 7/7)</t>
  </si>
  <si>
    <t xml:space="preserve">राज्य सरकार, पंचायती राज एवं नगरपालिकाएँ (भाग 5/5)</t>
  </si>
  <si>
    <t xml:space="preserve">गणित IV: बीजगणित, ज्यामिति, क्षेत्रमिति एवं त्रिकोणमिति (भाग 1/8)</t>
  </si>
  <si>
    <t xml:space="preserve">इस सप्ताह के विषय दोहराएँ: संघवाद: केंद्र–राज्य संबंध एवं आपातकाल; राज्य सरकार, पंचायती राज एवं नगरपालिकाएँ। त्रुटि-लॉग अद्यतन करें; 20 कमज़ोर बिंदु सूचीबद्ध करें; संक्षिप्त नोट्स दोबारा पढ़ें।</t>
  </si>
  <si>
    <t xml:space="preserve">संवैधानिक एवं गैर-संवैधानिक निकाय (भाग 1/3)</t>
  </si>
  <si>
    <t xml:space="preserve">चुनाव आयोग, UPSC/BPSC, CAG, वित्त आयोग, GST परिषद; नीति आयोग, NHRC, CIC, CVC, लोकपाल, NGT</t>
  </si>
  <si>
    <t xml:space="preserve">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</t>
  </si>
  <si>
    <t xml:space="preserve">गणित IV: बीजगणित, ज्यामिति, क्षेत्रमिति एवं त्रिकोणमिति (भाग 2/8)</t>
  </si>
  <si>
    <t xml:space="preserve">संवैधानिक एवं गैर-संवैधानिक निकाय (भाग 2/3)</t>
  </si>
  <si>
    <t xml:space="preserve">गणित IV: बीजगणित, ज्यामिति, क्षेत्रमिति एवं त्रिकोणमिति (भाग 3/8)</t>
  </si>
  <si>
    <t xml:space="preserve">संवैधानिक एवं गैर-संवैधानिक निकाय (भाग 3/3)</t>
  </si>
  <si>
    <t xml:space="preserve">गणित IV: बीजगणित, ज्यामिति, क्षेत्रमिति एवं त्रिकोणमिति (भाग 4/8)</t>
  </si>
  <si>
    <t xml:space="preserve">शासन, अधिकार एवं सामाजिक न्याय (भाग 1/3)</t>
  </si>
  <si>
    <t xml:space="preserve">RTI, ई-गवर्नेंस, नागरिक चार्टर; कल्याणकारी योजनाएँ; SC/ST/OBC/महिला/अल्पसंख्यक संबंधी प्रावधान; आरक्षण; महत्वपूर्ण अधिनियम</t>
  </si>
  <si>
    <t xml:space="preserve">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</t>
  </si>
  <si>
    <t xml:space="preserve">गणित IV: बीजगणित, ज्यामिति, क्षेत्रमिति एवं त्रिकोणमिति (भाग 5/8)</t>
  </si>
  <si>
    <t xml:space="preserve">शासन, अधिकार एवं सामाजिक न्याय (भाग 2/3)</t>
  </si>
  <si>
    <t xml:space="preserve">गणित IV: बीजगणित, ज्यामिति, क्षेत्रमिति एवं त्रिकोणमिति (भाग 6/8)</t>
  </si>
  <si>
    <t xml:space="preserve">शासन, अधिकार एवं सामाजिक न्याय (भाग 3/3)</t>
  </si>
  <si>
    <t xml:space="preserve">गणित IV: बीजगणित, ज्यामिति, क्षेत्रमिति एवं त्रिकोणमिति (भाग 7/8)</t>
  </si>
  <si>
    <t xml:space="preserve">इस सप्ताह के विषय दोहराएँ: संवैधानिक एवं गैर-संवैधानिक निकाय; शासन, अधिकार एवं सामाजिक न्याय। त्रुटि-लॉग अद्यतन करें; 20 कमज़ोर बिंदु सूचीबद्ध करें; संक्षिप्त नोट्स दोबारा पढ़ें।</t>
  </si>
  <si>
    <t xml:space="preserve">अर्थव्यवस्था</t>
  </si>
  <si>
    <t xml:space="preserve">मूल अवधारणाएँ, राष्ट्रीय आय एवं मुद्रास्फीति (भाग 1/4)</t>
  </si>
  <si>
    <t xml:space="preserve">अर्थव्यवस्था के प्रकार; क्षेत्रक; GDP, GNP, NNP, प्रति व्यक्ति आय; वृद्धि बनाम विकास; मुद्रास्फीति (CPI, WPI), अपस्फीति; HDI</t>
  </si>
  <si>
    <t xml:space="preserve">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</t>
  </si>
  <si>
    <t xml:space="preserve">वेबसाइट पर पढ़ें: drishtiias.com • visionias.in • pib.gov.in • indiabudget.gov.in (क्लिक करें)</t>
  </si>
  <si>
    <t xml:space="preserve">गणित IV: बीजगणित, ज्यामिति, क्षेत्रमिति एवं त्रिकोणमिति (भाग 8/8)</t>
  </si>
  <si>
    <t xml:space="preserve">NCERT अर्थशास्त्र (कक्षा 9-12) • रमेश सिंह • नवीनतम आर्थिक सर्वेक्षण व बजट • दृष्टि IAS • विजन IAS</t>
  </si>
  <si>
    <t xml:space="preserve">मूल अवधारणाएँ, राष्ट्रीय आय एवं मुद्रास्फीति (भाग 2/4)</t>
  </si>
  <si>
    <t xml:space="preserve">गणित V: आँकड़ा व्याख्या एवं सांख्यिकी (भाग 1/5)</t>
  </si>
  <si>
    <t xml:space="preserve">मूल अवधारणाएँ, राष्ट्रीय आय एवं मुद्रास्फीति (भाग 3/4)</t>
  </si>
  <si>
    <t xml:space="preserve">गणित V: आँकड़ा व्याख्या एवं सांख्यिकी (भाग 2/5)</t>
  </si>
  <si>
    <t xml:space="preserve">मूल अवधारणाएँ, राष्ट्रीय आय एवं मुद्रास्फीति (भाग 4/4)</t>
  </si>
  <si>
    <t xml:space="preserve">गणित V: आँकड़ा व्याख्या एवं सांख्यिकी (भाग 3/5)</t>
  </si>
  <si>
    <t xml:space="preserve">नियोजन, गरीबी एवं बेरोज़गारी (भाग 1/3)</t>
  </si>
  <si>
    <t xml:space="preserve">पंचवर्षीय योजनाएँ; नीति आयोग; गरीबी रेखा व MPI; बेरोज़गारी के प्रकार; समावेशी विकास; प्रमुख कल्याणकारी योजनाएँ</t>
  </si>
  <si>
    <t xml:space="preserve">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</t>
  </si>
  <si>
    <t xml:space="preserve">गणित V: आँकड़ा व्याख्या एवं सांख्यिकी (भाग 4/5)</t>
  </si>
  <si>
    <t xml:space="preserve">नियोजन, गरीबी एवं बेरोज़गारी (भाग 2/3)</t>
  </si>
  <si>
    <t xml:space="preserve">गणित V: आँकड़ा व्याख्या एवं सांख्यिकी (भाग 5/5)</t>
  </si>
  <si>
    <t xml:space="preserve">इस सप्ताह के विषय दोहराएँ: मूल अवधारणाएँ, राष्ट्रीय आय एवं मुद्रास्फीति; नियोजन, गरीबी एवं बेरोज़गारी। त्रुटि-लॉग अद्यतन करें; 20 कमज़ोर बिंदु सूचीबद्ध करें; संक्षिप्त नोट्स दोबारा पढ़ें।</t>
  </si>
  <si>
    <t xml:space="preserve">नियोजन, गरीबी एवं बेरोज़गारी (भाग 3/3)</t>
  </si>
  <si>
    <t xml:space="preserve">तर्कशक्ति I: श्रेणी, कोडिंग-डिकोडिंग एवं सादृश्य (भाग 1/5)</t>
  </si>
  <si>
    <t xml:space="preserve">मुद्रा, बैंकिंग एवं मौद्रिक नीति (भाग 1/5)</t>
  </si>
  <si>
    <t xml:space="preserve">RBI के कार्य; CRR, SLR, रेपो, रिवर्स रेपो; वाणिज्यिक व सहकारी बैंक; NBFC; वित्तीय समावेशन; UPI व डिजिटल भुगतान</t>
  </si>
  <si>
    <t xml:space="preserve">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</t>
  </si>
  <si>
    <t xml:space="preserve">तर्कशक्ति I: श्रेणी, कोडिंग-डिकोडिंग एवं सादृश्य (भाग 2/5)</t>
  </si>
  <si>
    <t xml:space="preserve">मुद्रा, बैंकिंग एवं मौद्रिक नीति (भाग 2/5)</t>
  </si>
  <si>
    <t xml:space="preserve">तर्कशक्ति I: श्रेणी, कोडिंग-डिकोडिंग एवं सादृश्य (भाग 3/5)</t>
  </si>
  <si>
    <t xml:space="preserve">मुद्रा, बैंकिंग एवं मौद्रिक नीति (भाग 3/5)</t>
  </si>
  <si>
    <t xml:space="preserve">तर्कशक्ति I: श्रेणी, कोडिंग-डिकोडिंग एवं सादृश्य (भाग 4/5)</t>
  </si>
  <si>
    <t xml:space="preserve">मुद्रा, बैंकिंग एवं मौद्रिक नीति (भाग 4/5)</t>
  </si>
  <si>
    <t xml:space="preserve">तर्कशक्ति I: श्रेणी, कोडिंग-डिकोडिंग एवं सादृश्य (भाग 5/5)</t>
  </si>
  <si>
    <t xml:space="preserve">मुद्रा, बैंकिंग एवं मौद्रिक नीति (भाग 5/5)</t>
  </si>
  <si>
    <t xml:space="preserve">तर्कशक्ति II: दिशा, रक्त संबंध, न्यायवाक्य एवं पहेलियाँ (भाग 1/7)</t>
  </si>
  <si>
    <t xml:space="preserve">इस सप्ताह के विषय दोहराएँ: नियोजन, गरीबी एवं बेरोज़गारी; मुद्रा, बैंकिंग एवं मौद्रिक नीति। त्रुटि-लॉग अद्यतन करें; 20 कमज़ोर बिंदु सूचीबद्ध करें; संक्षिप्त नोट्स दोबारा पढ़ें।</t>
  </si>
  <si>
    <t xml:space="preserve">सार्वजनिक वित्त: बजट, कराधान एवं GST (भाग 1/3)</t>
  </si>
  <si>
    <t xml:space="preserve">केंद्रीय बजट के घटक; घाटे; प्रत्यक्ष व अप्रत्यक्ष कर; GST संरचना; FRBM; सब्सिडी; वित्त आयोग की सिफारिशें</t>
  </si>
  <si>
    <t xml:space="preserve">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</t>
  </si>
  <si>
    <t xml:space="preserve">तर्कशक्ति II: दिशा, रक्त संबंध, न्यायवाक्य एवं पहेलियाँ (भाग 2/7)</t>
  </si>
  <si>
    <t xml:space="preserve">सार्वजनिक वित्त: बजट, कराधान एवं GST (भाग 2/3)</t>
  </si>
  <si>
    <t xml:space="preserve">तर्कशक्ति II: दिशा, रक्त संबंध, न्यायवाक्य एवं पहेलियाँ (भाग 3/7)</t>
  </si>
  <si>
    <t xml:space="preserve">सार्वजनिक वित्त: बजट, कराधान एवं GST (भाग 3/3)</t>
  </si>
  <si>
    <t xml:space="preserve">तर्कशक्ति II: दिशा, रक्त संबंध, न्यायवाक्य एवं पहेलियाँ (भाग 4/7)</t>
  </si>
  <si>
    <t xml:space="preserve">कृषि अर्थव्यवस्था (भाग 1/3)</t>
  </si>
  <si>
    <t xml:space="preserve">MSP, खरीद, PDS व NFSA; कृषि विपणन (e-NAM); संबद्ध क्षेत्र; PM-किसान, PMFBY; कृषि सुधार; बिहार कृषि रोडमैप</t>
  </si>
  <si>
    <t xml:space="preserve">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</t>
  </si>
  <si>
    <t xml:space="preserve">तर्कशक्ति II: दिशा, रक्त संबंध, न्यायवाक्य एवं पहेलियाँ (भाग 5/7)</t>
  </si>
  <si>
    <t xml:space="preserve">कृषि अर्थव्यवस्था (भाग 2/3)</t>
  </si>
  <si>
    <t xml:space="preserve">तर्कशक्ति II: दिशा, रक्त संबंध, न्यायवाक्य एवं पहेलियाँ (भाग 6/7)</t>
  </si>
  <si>
    <t xml:space="preserve">कृषि अर्थव्यवस्था (भाग 3/3)</t>
  </si>
  <si>
    <t xml:space="preserve">तर्कशक्ति II: दिशा, रक्त संबंध, न्यायवाक्य एवं पहेलियाँ (भाग 7/7)</t>
  </si>
  <si>
    <t xml:space="preserve">इस सप्ताह के विषय दोहराएँ: सार्वजनिक वित्त: बजट, कराधान एवं GST; कृषि अर्थव्यवस्था। त्रुटि-लॉग अद्यतन करें; 20 कमज़ोर बिंदु सूचीबद्ध करें; संक्षिप्त नोट्स दोबारा पढ़ें।</t>
  </si>
  <si>
    <t xml:space="preserve">उद्योग, सेवाएँ एवं अवसंरचना (भाग 1/3)</t>
  </si>
  <si>
    <t xml:space="preserve">औद्योगिक नीतियाँ; MSME; मेक इन इंडिया, PLI; स्टार्टअप इंडिया; अवसंरचना (NIP); सेवा क्षेत्र; श्रम संहिताएँ</t>
  </si>
  <si>
    <t xml:space="preserve">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</t>
  </si>
  <si>
    <t xml:space="preserve">हिंदी</t>
  </si>
  <si>
    <t xml:space="preserve">हिंदी व्याकरण I: वर्ण, संधि, समास, उपसर्ग-प्रत्यय (भाग 1/5)</t>
  </si>
  <si>
    <t xml:space="preserve">लूसेंट सामान्य हिंदी / मानक हिंदी व्याकरण पुस्तक • BPSC वाला हिंदी क्लास • BPSC के पिछले हिंदी प्रश्नपत्र</t>
  </si>
  <si>
    <t xml:space="preserve">उद्योग, सेवाएँ एवं अवसंरचना (भाग 2/3)</t>
  </si>
  <si>
    <t xml:space="preserve">हिंदी व्याकरण I: वर्ण, संधि, समास, उपसर्ग-प्रत्यय (भाग 2/5)</t>
  </si>
  <si>
    <t xml:space="preserve">उद्योग, सेवाएँ एवं अवसंरचना (भाग 3/3)</t>
  </si>
  <si>
    <t xml:space="preserve">हिंदी व्याकरण I: वर्ण, संधि, समास, उपसर्ग-प्रत्यय (भाग 3/5)</t>
  </si>
  <si>
    <t xml:space="preserve">बाह्य क्षेत्र एवं अंतर्राष्ट्रीय संस्थाएँ (भाग 1/3)</t>
  </si>
  <si>
    <t xml:space="preserve">भुगतान संतुलन, विदेशी मुद्रा भंडार, विनिमय दर; FDI/FPI; WTO, IMF, विश्व बैंक, ADB, BRICS, AIIB; व्यापार समझौते</t>
  </si>
  <si>
    <t xml:space="preserve">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</t>
  </si>
  <si>
    <t xml:space="preserve">हिंदी व्याकरण I: वर्ण, संधि, समास, उपसर्ग-प्रत्यय (भाग 4/5)</t>
  </si>
  <si>
    <t xml:space="preserve">बाह्य क्षेत्र एवं अंतर्राष्ट्रीय संस्थाएँ (भाग 2/3)</t>
  </si>
  <si>
    <t xml:space="preserve">हिंदी व्याकरण I: वर्ण, संधि, समास, उपसर्ग-प्रत्यय (भाग 5/5)</t>
  </si>
  <si>
    <t xml:space="preserve">बाह्य क्षेत्र एवं अंतर्राष्ट्रीय संस्थाएँ (भाग 3/3)</t>
  </si>
  <si>
    <t xml:space="preserve">हिंदी व्याकरण II: वाक्य शुद्धि, मुहावरे, पर्यायवाची (भाग 1/8)</t>
  </si>
  <si>
    <t xml:space="preserve">इस सप्ताह के विषय दोहराएँ: उद्योग, सेवाएँ एवं अवसंरचना; बाह्य क्षेत्र एवं अंतर्राष्ट्रीय संस्थाएँ। त्रुटि-लॉग अद्यतन करें; 20 कमज़ोर बिंदु सूचीबद्ध करें; संक्षिप्त नोट्स दोबारा पढ़ें।</t>
  </si>
  <si>
    <t xml:space="preserve">पूँजी बाज़ार, बीमा, आर्थिक सर्वेक्षण एवं बजट (भाग 1/3)</t>
  </si>
  <si>
    <t xml:space="preserve">प्राथमिक/द्वितीयक बाज़ार, SEBI, सेंसेक्स/निफ्टी; बीमा व पेंशन (IRDAI, PFRDA); नवीनतम आर्थिक सर्वेक्षण व केंद्रीय बजट की मुख्य बातें</t>
  </si>
  <si>
    <t xml:space="preserve">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</t>
  </si>
  <si>
    <t xml:space="preserve">हिंदी व्याकरण II: वाक्य शुद्धि, मुहावरे, पर्यायवाची (भाग 2/8)</t>
  </si>
  <si>
    <t xml:space="preserve">पूँजी बाज़ार, बीमा, आर्थिक सर्वेक्षण एवं बजट (भाग 2/3)</t>
  </si>
  <si>
    <t xml:space="preserve">हिंदी व्याकरण II: वाक्य शुद्धि, मुहावरे, पर्यायवाची (भाग 3/8)</t>
  </si>
  <si>
    <t xml:space="preserve">पूँजी बाज़ार, बीमा, आर्थिक सर्वेक्षण एवं बजट (भाग 3/3)</t>
  </si>
  <si>
    <t xml:space="preserve">हिंदी व्याकरण II: वाक्य शुद्धि, मुहावरे, पर्यायवाची (भाग 4/8)</t>
  </si>
  <si>
    <t xml:space="preserve">पर्यावरण</t>
  </si>
  <si>
    <t xml:space="preserve">पारिस्थितिकी एवं पारितंत्र (भाग 1/3)</t>
  </si>
  <si>
    <t xml:space="preserve">पारितंत्र के घटक, खाद्य श्रृंखला व जाल, ऊर्जा प्रवाह, जैव-भू-रासायनिक चक्र; बायोम; पारिस्थितिक अनुक्रमण</t>
  </si>
  <si>
    <t xml:space="preserve">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</t>
  </si>
  <si>
    <t xml:space="preserve">हिंदी व्याकरण II: वाक्य शुद्धि, मुहावरे, पर्यायवाची (भाग 5/8)</t>
  </si>
  <si>
    <t xml:space="preserve">NCERT कक्षा 12 जीव विज्ञान (पारिस्थितिकी) / शंकर IAS • दृष्टि IAS पर्यावरण नोट्स • विजन IAS पर्यावरण</t>
  </si>
  <si>
    <t xml:space="preserve">पारिस्थितिकी एवं पारितंत्र (भाग 2/3)</t>
  </si>
  <si>
    <t xml:space="preserve">हिंदी व्याकरण II: वाक्य शुद्धि, मुहावरे, पर्यायवाची (भाग 6/8)</t>
  </si>
  <si>
    <t xml:space="preserve">पारिस्थितिकी एवं पारितंत्र (भाग 3/3)</t>
  </si>
  <si>
    <t xml:space="preserve">हिंदी व्याकरण II: वाक्य शुद्धि, मुहावरे, पर्यायवाची (भाग 7/8)</t>
  </si>
  <si>
    <t xml:space="preserve">इस सप्ताह के विषय दोहराएँ: पूँजी बाज़ार, बीमा, आर्थिक सर्वेक्षण एवं बजट; पारिस्थितिकी एवं पारितंत्र। त्रुटि-लॉग अद्यतन करें; 20 कमज़ोर बिंदु सूचीबद्ध करें; संक्षिप्त नोट्स दोबारा पढ़ें।</t>
  </si>
  <si>
    <t xml:space="preserve">जैव विविधता एवं संरक्षण (भाग 1/3)</t>
  </si>
  <si>
    <t xml:space="preserve">जैव विविधता हॉटस्पॉट; राष्ट्रीय उद्यान, अभयारण्य, बाघ अभयारण्य (बिहार: वाल्मीकि, कैमूर); IUCN रेड लिस्ट; CITES, रामसर; वन्यजीव संरक्षण अधिनियम</t>
  </si>
  <si>
    <t xml:space="preserve">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</t>
  </si>
  <si>
    <t xml:space="preserve">हिंदी व्याकरण II: वाक्य शुद्धि, मुहावरे, पर्यायवाची (भाग 8/8)</t>
  </si>
  <si>
    <t xml:space="preserve">जैव विविधता एवं संरक्षण (भाग 2/3)</t>
  </si>
  <si>
    <t xml:space="preserve">हिंदी लेखन: गद्यांश, पत्र, निबंध एवं अनुवाद (भाग 1/5)</t>
  </si>
  <si>
    <t xml:space="preserve">जैव विविधता एवं संरक्षण (भाग 3/3)</t>
  </si>
  <si>
    <t xml:space="preserve">हिंदी लेखन: गद्यांश, पत्र, निबंध एवं अनुवाद (भाग 2/5)</t>
  </si>
  <si>
    <t xml:space="preserve">जलवायु परिवर्तन, प्रदूषण एवं पर्यावरण कानून (भाग 1/3)</t>
  </si>
  <si>
    <t xml:space="preserve">वैश्विक तापन, ओज़ोन; UNFCCC, क्योटो, पेरिस, COP; वायु/जल/मृदा प्रदूषण; EIA; पर्यावरण संरक्षण अधिनियम; NGT; नवीकरणीय ऊर्जा लक्ष्य</t>
  </si>
  <si>
    <t xml:space="preserve">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</t>
  </si>
  <si>
    <t xml:space="preserve">हिंदी लेखन: गद्यांश, पत्र, निबंध एवं अनुवाद (भाग 3/5)</t>
  </si>
  <si>
    <t xml:space="preserve">जलवायु परिवर्तन, प्रदूषण एवं पर्यावरण कानून (भाग 2/3)</t>
  </si>
  <si>
    <t xml:space="preserve">हिंदी लेखन: गद्यांश, पत्र, निबंध एवं अनुवाद (भाग 4/5)</t>
  </si>
  <si>
    <t xml:space="preserve">जलवायु परिवर्तन, प्रदूषण एवं पर्यावरण कानून (भाग 3/3)</t>
  </si>
  <si>
    <t xml:space="preserve">हिंदी लेखन: गद्यांश, पत्र, निबंध एवं अनुवाद (भाग 5/5)</t>
  </si>
  <si>
    <t xml:space="preserve">इस सप्ताह के विषय दोहराएँ: जैव विविधता एवं संरक्षण; जलवायु परिवर्तन, प्रदूषण एवं पर्यावरण कानून। त्रुटि-लॉग अद्यतन करें; 20 कमज़ोर बिंदु सूचीबद्ध करें; संक्षिप्त नोट्स दोबारा पढ़ें।</t>
  </si>
  <si>
    <t xml:space="preserve">उन्नत: प्रागैतिहास एवं सिंधु घाटी सभ्यता (भाग 1/3)</t>
  </si>
  <si>
    <t xml:space="preserve">बिहार गहन अध्ययन + PYQ: बिहार – प्राचीन इतिहास (भाग 1/4)</t>
  </si>
  <si>
    <t xml:space="preserve">1 मुख्य परीक्षा उत्तर (150-250 शब्द) + 40 PYQ MCQ</t>
  </si>
  <si>
    <t xml:space="preserve">पिछले 3 दिनों के विषय दोहराएँ</t>
  </si>
  <si>
    <t xml:space="preserve">उन्नत: प्रागैतिहास एवं सिंधु घाटी सभ्यता (भाग 2/3)</t>
  </si>
  <si>
    <t xml:space="preserve">बिहार गहन अध्ययन + PYQ: बिहार – प्राचीन इतिहास (भाग 2/4)</t>
  </si>
  <si>
    <t xml:space="preserve">उन्नत: प्रागैतिहास एवं सिंधु घाटी सभ्यता (भाग 3/3)</t>
  </si>
  <si>
    <t xml:space="preserve">बिहार गहन अध्ययन + PYQ: बिहार – प्राचीन इतिहास (भाग 3/4)</t>
  </si>
  <si>
    <t xml:space="preserve">उन्नत: वैदिक काल एवं महाजनपद (भाग 1/3)</t>
  </si>
  <si>
    <t xml:space="preserve">बिहार गहन अध्ययन + PYQ: बिहार – प्राचीन इतिहास (भाग 4/4)</t>
  </si>
  <si>
    <t xml:space="preserve">उन्नत: वैदिक काल एवं महाजनपद (भाग 2/3)</t>
  </si>
  <si>
    <t xml:space="preserve">बिहार गहन अध्ययन + PYQ: बिहार – मध्यकालीन एवं औपनिवेशिक इतिहास (भाग 1/4)</t>
  </si>
  <si>
    <t xml:space="preserve">उन्नत: वैदिक काल एवं महाजनपद (भाग 3/3)</t>
  </si>
  <si>
    <t xml:space="preserve">बिहार गहन अध्ययन + PYQ: बिहार – मध्यकालीन एवं औपनिवेशिक इतिहास (भाग 2/4)</t>
  </si>
  <si>
    <t xml:space="preserve">लक्ष्य अंक: 65%+ (साप्ताहिक शीट में अपना स्कोर दर्ज करें)</t>
  </si>
  <si>
    <t xml:space="preserve">उन्नत: जैन, बौद्ध एवं अन्य नास्तिक संप्रदाय (भाग 1/2)</t>
  </si>
  <si>
    <t xml:space="preserve">बिहार गहन अध्ययन + PYQ: बिहार – मध्यकालीन एवं औपनिवेशिक इतिहास (भाग 3/4)</t>
  </si>
  <si>
    <t xml:space="preserve">उन्नत: जैन, बौद्ध एवं अन्य नास्तिक संप्रदाय (भाग 2/2)</t>
  </si>
  <si>
    <t xml:space="preserve">बिहार गहन अध्ययन + PYQ: बिहार – मध्यकालीन एवं औपनिवेशिक इतिहास (भाग 4/4)</t>
  </si>
  <si>
    <t xml:space="preserve">उन्नत: मौर्य साम्राज्य (भाग 1/3)</t>
  </si>
  <si>
    <t xml:space="preserve">बिहार गहन अध्ययन + PYQ: बिहार – स्वतंत्रता संग्राम एवं आधुनिक राजनीति (भाग 1/4)</t>
  </si>
  <si>
    <t xml:space="preserve">उन्नत: मौर्य साम्राज्य (भाग 2/3)</t>
  </si>
  <si>
    <t xml:space="preserve">बिहार गहन अध्ययन + PYQ: बिहार – स्वतंत्रता संग्राम एवं आधुनिक राजनीति (भाग 2/4)</t>
  </si>
  <si>
    <t xml:space="preserve">उन्नत: मौर्य साम्राज्य (भाग 3/3)</t>
  </si>
  <si>
    <t xml:space="preserve">बिहार गहन अध्ययन + PYQ: बिहार – स्वतंत्रता संग्राम एवं आधुनिक राजनीति (भाग 3/4)</t>
  </si>
  <si>
    <t xml:space="preserve">उन्नत: मौर्योत्तर काल (शुंग, कुषाण, सातवाहन, संगम)</t>
  </si>
  <si>
    <t xml:space="preserve">बिहार गहन अध्ययन + PYQ: बिहार – स्वतंत्रता संग्राम एवं आधुनिक राजनीति (भाग 4/4)</t>
  </si>
  <si>
    <t xml:space="preserve">उन्नत: गुप्त साम्राज्य, हर्षवर्धन एवं पाल वंश (भाग 1/3)</t>
  </si>
  <si>
    <t xml:space="preserve">बिहार गहन अध्ययन + PYQ: बिहार – भूगोल: भौतिक स्वरूप, नदियाँ एवं जलवायु (भाग 1/6)</t>
  </si>
  <si>
    <t xml:space="preserve">उन्नत: गुप्त साम्राज्य, हर्षवर्धन एवं पाल वंश (भाग 2/3)</t>
  </si>
  <si>
    <t xml:space="preserve">बिहार गहन अध्ययन + PYQ: बिहार – भूगोल: भौतिक स्वरूप, नदियाँ एवं जलवायु (भाग 2/6)</t>
  </si>
  <si>
    <t xml:space="preserve">उन्नत: गुप्त साम्राज्य, हर्षवर्धन एवं पाल वंश (भाग 3/3)</t>
  </si>
  <si>
    <t xml:space="preserve">बिहार गहन अध्ययन + PYQ: बिहार – भूगोल: भौतिक स्वरूप, नदियाँ एवं जलवायु (भाग 3/6)</t>
  </si>
  <si>
    <t xml:space="preserve">उन्नत: पूर्व मध्यकालीन भारत (राजपूत, चोल, चालुक्य, पल्लव) (भाग 1/2)</t>
  </si>
  <si>
    <t xml:space="preserve">बिहार गहन अध्ययन + PYQ: बिहार – भूगोल: भौतिक स्वरूप, नदियाँ एवं जलवायु (भाग 4/6)</t>
  </si>
  <si>
    <t xml:space="preserve">उन्नत: पूर्व मध्यकालीन भारत (राजपूत, चोल, चालुक्य, पल्लव) (भाग 2/2)</t>
  </si>
  <si>
    <t xml:space="preserve">बिहार गहन अध्ययन + PYQ: बिहार – भूगोल: भौतिक स्वरूप, नदियाँ एवं जलवायु (भाग 5/6)</t>
  </si>
  <si>
    <t xml:space="preserve">उन्नत: दिल्ली सल्तनत (भाग 1/3)</t>
  </si>
  <si>
    <t xml:space="preserve">बिहार गहन अध्ययन + PYQ: बिहार – भूगोल: भौतिक स्वरूप, नदियाँ एवं जलवायु (भाग 6/6)</t>
  </si>
  <si>
    <t xml:space="preserve">उन्नत: दिल्ली सल्तनत (भाग 2/3)</t>
  </si>
  <si>
    <t xml:space="preserve">बिहार गहन अध्ययन + PYQ: बिहार – कृषि, सिंचाई एवं उद्योग (भाग 1/4)</t>
  </si>
  <si>
    <t xml:space="preserve">उन्नत: दिल्ली सल्तनत (भाग 3/3)</t>
  </si>
  <si>
    <t xml:space="preserve">बिहार गहन अध्ययन + PYQ: बिहार – कृषि, सिंचाई एवं उद्योग (भाग 2/4)</t>
  </si>
  <si>
    <t xml:space="preserve">उन्नत: भक्ति एवं सूफी आंदोलन</t>
  </si>
  <si>
    <t xml:space="preserve">बिहार गहन अध्ययन + PYQ: बिहार – कृषि, सिंचाई एवं उद्योग (भाग 3/4)</t>
  </si>
  <si>
    <t xml:space="preserve">उन्नत: मुगल साम्राज्य (भाग 1/5)</t>
  </si>
  <si>
    <t xml:space="preserve">बिहार गहन अध्ययन + PYQ: बिहार – कृषि, सिंचाई एवं उद्योग (भाग 4/4)</t>
  </si>
  <si>
    <t xml:space="preserve">उन्नत: मुगल साम्राज्य (भाग 2/5)</t>
  </si>
  <si>
    <t xml:space="preserve">बिहार गहन अध्ययन + PYQ: बिहार – अर्थव्यवस्था, बजट एवं सरकारी योजनाएँ (भाग 1/6)</t>
  </si>
  <si>
    <t xml:space="preserve">उन्नत: मुगल साम्राज्य (भाग 3/5)</t>
  </si>
  <si>
    <t xml:space="preserve">बिहार गहन अध्ययन + PYQ: बिहार – अर्थव्यवस्था, बजट एवं सरकारी योजनाएँ (भाग 2/6)</t>
  </si>
  <si>
    <t xml:space="preserve">उन्नत: मुगल साम्राज्य (भाग 4/5)</t>
  </si>
  <si>
    <t xml:space="preserve">बिहार गहन अध्ययन + PYQ: बिहार – अर्थव्यवस्था, बजट एवं सरकारी योजनाएँ (भाग 3/6)</t>
  </si>
  <si>
    <t xml:space="preserve">उन्नत: मुगल साम्राज्य (भाग 5/5)</t>
  </si>
  <si>
    <t xml:space="preserve">बिहार गहन अध्ययन + PYQ: बिहार – अर्थव्यवस्था, बजट एवं सरकारी योजनाएँ (भाग 4/6)</t>
  </si>
  <si>
    <t xml:space="preserve">उन्नत: मराठा एवं क्षेत्रीय शक्तियाँ (18वीं शताब्दी)</t>
  </si>
  <si>
    <t xml:space="preserve">बिहार गहन अध्ययन + PYQ: बिहार – अर्थव्यवस्था, बजट एवं सरकारी योजनाएँ (भाग 5/6)</t>
  </si>
  <si>
    <t xml:space="preserve">उन्नत: यूरोपीय आगमन एवं ब्रिटिश विस्तार (भाग 1/3)</t>
  </si>
  <si>
    <t xml:space="preserve">बिहार गहन अध्ययन + PYQ: बिहार – अर्थव्यवस्था, बजट एवं सरकारी योजनाएँ (भाग 6/6)</t>
  </si>
  <si>
    <t xml:space="preserve">उन्नत: यूरोपीय आगमन एवं ब्रिटिश विस्तार (भाग 2/3)</t>
  </si>
  <si>
    <t xml:space="preserve">बिहार गहन अध्ययन + PYQ: बिहार – राजव्यवस्था एवं प्रशासन (भाग 1/4)</t>
  </si>
  <si>
    <t xml:space="preserve">उन्नत: यूरोपीय आगमन एवं ब्रिटिश विस्तार (भाग 3/3)</t>
  </si>
  <si>
    <t xml:space="preserve">बिहार गहन अध्ययन + PYQ: बिहार – राजव्यवस्था एवं प्रशासन (भाग 2/4)</t>
  </si>
  <si>
    <t xml:space="preserve">उन्नत: 1857 का विद्रोह (भाग 1/2)</t>
  </si>
  <si>
    <t xml:space="preserve">बिहार गहन अध्ययन + PYQ: बिहार – राजव्यवस्था एवं प्रशासन (भाग 3/4)</t>
  </si>
  <si>
    <t xml:space="preserve">उन्नत: 1857 का विद्रोह (भाग 2/2)</t>
  </si>
  <si>
    <t xml:space="preserve">बिहार गहन अध्ययन + PYQ: बिहार – राजव्यवस्था एवं प्रशासन (भाग 4/4)</t>
  </si>
  <si>
    <t xml:space="preserve">उन्नत: सामाजिक-धार्मिक सुधार आंदोलन</t>
  </si>
  <si>
    <t xml:space="preserve">बिहार गहन अध्ययन + PYQ: बिहार – कला, संस्कृति, साहित्य एवं पर्यटन (भाग 1/4)</t>
  </si>
  <si>
    <t xml:space="preserve">उन्नत: प्रारंभिक राष्ट्रवाद: कांग्रेस, नरमपंथी, गरमपंथी, स्वदेशी (भाग 1/3)</t>
  </si>
  <si>
    <t xml:space="preserve">बिहार गहन अध्ययन + PYQ: बिहार – कला, संस्कृति, साहित्य एवं पर्यटन (भाग 2/4)</t>
  </si>
  <si>
    <t xml:space="preserve">उन्नत: प्रारंभिक राष्ट्रवाद: कांग्रेस, नरमपंथी, गरमपंथी, स्वदेशी (भाग 2/3)</t>
  </si>
  <si>
    <t xml:space="preserve">बिहार गहन अध्ययन + PYQ: बिहार – कला, संस्कृति, साहित्य एवं पर्यटन (भाग 3/4)</t>
  </si>
  <si>
    <t xml:space="preserve">उन्नत: प्रारंभिक राष्ट्रवाद: कांग्रेस, नरमपंथी, गरमपंथी, स्वदेशी (भाग 3/3)</t>
  </si>
  <si>
    <t xml:space="preserve">बिहार गहन अध्ययन + PYQ: बिहार – कला, संस्कृति, साहित्य एवं पर्यटन (भाग 4/4)</t>
  </si>
  <si>
    <t xml:space="preserve">उन्नत: गांधी युग: चंपारण से भारत छोड़ो तक (भाग 1/5)</t>
  </si>
  <si>
    <t xml:space="preserve">बिहार गहन अध्ययन + PYQ: बिहार – जनसांख्यिकी, शिक्षा एवं स्वास्थ्य (भाग 1/4)</t>
  </si>
  <si>
    <t xml:space="preserve">उन्नत: गांधी युग: चंपारण से भारत छोड़ो तक (भाग 2/5)</t>
  </si>
  <si>
    <t xml:space="preserve">बिहार गहन अध्ययन + PYQ: बिहार – जनसांख्यिकी, शिक्षा एवं स्वास्थ्य (भाग 2/4)</t>
  </si>
  <si>
    <t xml:space="preserve">उन्नत: गांधी युग: चंपारण से भारत छोड़ो तक (भाग 3/5)</t>
  </si>
  <si>
    <t xml:space="preserve">बिहार गहन अध्ययन + PYQ: बिहार – जनसांख्यिकी, शिक्षा एवं स्वास्थ्य (भाग 3/4)</t>
  </si>
  <si>
    <t xml:space="preserve">उन्नत: गांधी युग: चंपारण से भारत छोड़ो तक (भाग 4/5)</t>
  </si>
  <si>
    <t xml:space="preserve">बिहार गहन अध्ययन + PYQ: बिहार – जनसांख्यिकी, शिक्षा एवं स्वास्थ्य (भाग 4/4)</t>
  </si>
  <si>
    <t xml:space="preserve">उन्नत: गांधी युग: चंपारण से भारत छोड़ो तक (भाग 5/5)</t>
  </si>
  <si>
    <t xml:space="preserve">गति अभ्यास: गणित I: संख्या पद्धति, म.स.-ल.स. एवं सरलीकरण (भाग 1/4)</t>
  </si>
  <si>
    <t xml:space="preserve">उन्नत: क्रांतिकारी आंदोलन, संवैधानिक विकास एवं विभाजन (भाग 1/3)</t>
  </si>
  <si>
    <t xml:space="preserve">गति अभ्यास: गणित I: संख्या पद्धति, म.स.-ल.स. एवं सरलीकरण (भाग 2/4)</t>
  </si>
  <si>
    <t xml:space="preserve">उन्नत: क्रांतिकारी आंदोलन, संवैधानिक विकास एवं विभाजन (भाग 2/3)</t>
  </si>
  <si>
    <t xml:space="preserve">गति अभ्यास: गणित I: संख्या पद्धति, म.स.-ल.स. एवं सरलीकरण (भाग 3/4)</t>
  </si>
  <si>
    <t xml:space="preserve">उन्नत: क्रांतिकारी आंदोलन, संवैधानिक विकास एवं विभाजन (भाग 3/3)</t>
  </si>
  <si>
    <t xml:space="preserve">गति अभ्यास: गणित I: संख्या पद्धति, म.स.-ल.स. एवं सरलीकरण (भाग 4/4)</t>
  </si>
  <si>
    <t xml:space="preserve">उन्नत: स्वातंत्र्योत्तर भारत (1947 के बाद)</t>
  </si>
  <si>
    <t xml:space="preserve">गति अभ्यास: गणित II: प्रतिशत, लाभ-हानि, अनुपात एवं औसत (भाग 1/6)</t>
  </si>
  <si>
    <t xml:space="preserve">उन्नत: भारतीय कला एवं स्थापत्य (भाग 1/3)</t>
  </si>
  <si>
    <t xml:space="preserve">गति अभ्यास: गणित II: प्रतिशत, लाभ-हानि, अनुपात एवं औसत (भाग 2/6)</t>
  </si>
  <si>
    <t xml:space="preserve">उन्नत: भारतीय कला एवं स्थापत्य (भाग 2/3)</t>
  </si>
  <si>
    <t xml:space="preserve">गति अभ्यास: गणित II: प्रतिशत, लाभ-हानि, अनुपात एवं औसत (भाग 3/6)</t>
  </si>
  <si>
    <t xml:space="preserve">उन्नत: भारतीय कला एवं स्थापत्य (भाग 3/3)</t>
  </si>
  <si>
    <t xml:space="preserve">गति अभ्यास: गणित II: प्रतिशत, लाभ-हानि, अनुपात एवं औसत (भाग 4/6)</t>
  </si>
  <si>
    <t xml:space="preserve">उन्नत: प्रदर्शन कलाएँ, साहित्य, त्योहार एवं यूनेस्को स्थल (भाग 1/3)</t>
  </si>
  <si>
    <t xml:space="preserve">गति अभ्यास: गणित II: प्रतिशत, लाभ-हानि, अनुपात एवं औसत (भाग 5/6)</t>
  </si>
  <si>
    <t xml:space="preserve">उन्नत: प्रदर्शन कलाएँ, साहित्य, त्योहार एवं यूनेस्को स्थल (भाग 2/3)</t>
  </si>
  <si>
    <t xml:space="preserve">गति अभ्यास: गणित II: प्रतिशत, लाभ-हानि, अनुपात एवं औसत (भाग 6/6)</t>
  </si>
  <si>
    <t xml:space="preserve">उन्नत: प्रदर्शन कलाएँ, साहित्य, त्योहार एवं यूनेस्को स्थल (भाग 3/3)</t>
  </si>
  <si>
    <t xml:space="preserve">गति अभ्यास: गणित III: समय-कार्य, समय-चाल-दूरी एवं ब्याज (भाग 1/6)</t>
  </si>
  <si>
    <t xml:space="preserve">उन्नत: ब्रह्मांड, सौरमंडल एवं पृथ्वी (भाग 1/4)</t>
  </si>
  <si>
    <t xml:space="preserve">गति अभ्यास: गणित III: समय-कार्य, समय-चाल-दूरी एवं ब्याज (भाग 2/6)</t>
  </si>
  <si>
    <t xml:space="preserve">उन्नत: ब्रह्मांड, सौरमंडल एवं पृथ्वी (भाग 2/4)</t>
  </si>
  <si>
    <t xml:space="preserve">गति अभ्यास: गणित III: समय-कार्य, समय-चाल-दूरी एवं ब्याज (भाग 3/6)</t>
  </si>
  <si>
    <t xml:space="preserve">उन्नत: ब्रह्मांड, सौरमंडल एवं पृथ्वी (भाग 3/4)</t>
  </si>
  <si>
    <t xml:space="preserve">गति अभ्यास: गणित III: समय-कार्य, समय-चाल-दूरी एवं ब्याज (भाग 4/6)</t>
  </si>
  <si>
    <t xml:space="preserve">उन्नत: ब्रह्मांड, सौरमंडल एवं पृथ्वी (भाग 4/4)</t>
  </si>
  <si>
    <t xml:space="preserve">गति अभ्यास: गणित III: समय-कार्य, समय-चाल-दूरी एवं ब्याज (भाग 5/6)</t>
  </si>
  <si>
    <t xml:space="preserve">उन्नत: भू-आकृति विज्ञान: पृथ्वी का आंतरिक भाग, चट्टानें एवं स्थलरूप (भाग 1/3)</t>
  </si>
  <si>
    <t xml:space="preserve">गति अभ्यास: गणित III: समय-कार्य, समय-चाल-दूरी एवं ब्याज (भाग 6/6)</t>
  </si>
  <si>
    <t xml:space="preserve">उन्नत: भू-आकृति विज्ञान: पृथ्वी का आंतरिक भाग, चट्टानें एवं स्थलरूप (भाग 2/3)</t>
  </si>
  <si>
    <t xml:space="preserve">गति अभ्यास: गणित IV: बीजगणित, ज्यामिति, क्षेत्रमिति एवं त्रिकोणमिति (भाग 1/6)</t>
  </si>
  <si>
    <t xml:space="preserve">उन्नत: भू-आकृति विज्ञान: पृथ्वी का आंतरिक भाग, चट्टानें एवं स्थलरूप (भाग 3/3)</t>
  </si>
  <si>
    <t xml:space="preserve">गति अभ्यास: गणित IV: बीजगणित, ज्यामिति, क्षेत्रमिति एवं त्रिकोणमिति (भाग 2/6)</t>
  </si>
  <si>
    <t xml:space="preserve">उन्नत: जलवायु विज्ञान: वायुमंडल, पवनें एवं जलवायु (भाग 1/4)</t>
  </si>
  <si>
    <t xml:space="preserve">गति अभ्यास: गणित IV: बीजगणित, ज्यामिति, क्षेत्रमिति एवं त्रिकोणमिति (भाग 3/6)</t>
  </si>
  <si>
    <t xml:space="preserve">उन्नत: जलवायु विज्ञान: वायुमंडल, पवनें एवं जलवायु (भाग 2/4)</t>
  </si>
  <si>
    <t xml:space="preserve">गति अभ्यास: गणित IV: बीजगणित, ज्यामिति, क्षेत्रमिति एवं त्रिकोणमिति (भाग 4/6)</t>
  </si>
  <si>
    <t xml:space="preserve">उन्नत: जलवायु विज्ञान: वायुमंडल, पवनें एवं जलवायु (भाग 3/4)</t>
  </si>
  <si>
    <t xml:space="preserve">गति अभ्यास: गणित IV: बीजगणित, ज्यामिति, क्षेत्रमिति एवं त्रिकोणमिति (भाग 5/6)</t>
  </si>
  <si>
    <t xml:space="preserve">उन्नत: जलवायु विज्ञान: वायुमंडल, पवनें एवं जलवायु (भाग 4/4)</t>
  </si>
  <si>
    <t xml:space="preserve">गति अभ्यास: गणित IV: बीजगणित, ज्यामिति, क्षेत्रमिति एवं त्रिकोणमिति (भाग 6/6)</t>
  </si>
  <si>
    <t xml:space="preserve">उन्नत: समुद्र विज्ञान (भाग 1/2)</t>
  </si>
  <si>
    <t xml:space="preserve">गति अभ्यास: गणित V: आँकड़ा व्याख्या एवं सांख्यिकी (भाग 1/4)</t>
  </si>
  <si>
    <t xml:space="preserve">उन्नत: समुद्र विज्ञान (भाग 2/2)</t>
  </si>
  <si>
    <t xml:space="preserve">गति अभ्यास: गणित V: आँकड़ा व्याख्या एवं सांख्यिकी (भाग 2/4)</t>
  </si>
  <si>
    <t xml:space="preserve">उन्नत: भारत का भौतिक स्वरूप (भाग 1/3)</t>
  </si>
  <si>
    <t xml:space="preserve">गति अभ्यास: गणित V: आँकड़ा व्याख्या एवं सांख्यिकी (भाग 3/4)</t>
  </si>
  <si>
    <t xml:space="preserve">उन्नत: भारत का भौतिक स्वरूप (भाग 2/3)</t>
  </si>
  <si>
    <t xml:space="preserve">गति अभ्यास: गणित V: आँकड़ा व्याख्या एवं सांख्यिकी (भाग 4/4)</t>
  </si>
  <si>
    <t xml:space="preserve">उन्नत: भारत का भौतिक स्वरूप (भाग 3/3)</t>
  </si>
  <si>
    <t xml:space="preserve">गति अभ्यास: तर्कशक्ति I: श्रेणी, कोडिंग-डिकोडिंग एवं सादृश्य (भाग 1/4)</t>
  </si>
  <si>
    <t xml:space="preserve">उन्नत: भारतीय अपवाह तंत्र (भाग 1/3)</t>
  </si>
  <si>
    <t xml:space="preserve">गति अभ्यास: तर्कशक्ति I: श्रेणी, कोडिंग-डिकोडिंग एवं सादृश्य (भाग 2/4)</t>
  </si>
  <si>
    <t xml:space="preserve">उन्नत: भारतीय अपवाह तंत्र (भाग 2/3)</t>
  </si>
  <si>
    <t xml:space="preserve">गति अभ्यास: तर्कशक्ति I: श्रेणी, कोडिंग-डिकोडिंग एवं सादृश्य (भाग 3/4)</t>
  </si>
  <si>
    <t xml:space="preserve">उन्नत: भारतीय अपवाह तंत्र (भाग 3/3)</t>
  </si>
  <si>
    <t xml:space="preserve">गति अभ्यास: तर्कशक्ति I: श्रेणी, कोडिंग-डिकोडिंग एवं सादृश्य (भाग 4/4)</t>
  </si>
  <si>
    <t xml:space="preserve">उन्नत: भारत की जलवायु, मानसून, मृदा एवं वनस्पति (भाग 1/3)</t>
  </si>
  <si>
    <t xml:space="preserve">गति अभ्यास: तर्कशक्ति II: दिशा, रक्त संबंध, न्यायवाक्य एवं पहेलियाँ (भाग 1/6)</t>
  </si>
  <si>
    <t xml:space="preserve">उन्नत: भारत की जलवायु, मानसून, मृदा एवं वनस्पति (भाग 2/3)</t>
  </si>
  <si>
    <t xml:space="preserve">गति अभ्यास: तर्कशक्ति II: दिशा, रक्त संबंध, न्यायवाक्य एवं पहेलियाँ (भाग 2/6)</t>
  </si>
  <si>
    <t xml:space="preserve">उन्नत: भारत की जलवायु, मानसून, मृदा एवं वनस्पति (भाग 3/3)</t>
  </si>
  <si>
    <t xml:space="preserve">गति अभ्यास: तर्कशक्ति II: दिशा, रक्त संबंध, न्यायवाक्य एवं पहेलियाँ (भाग 3/6)</t>
  </si>
  <si>
    <t xml:space="preserve">उन्नत: भारतीय कृषि (भाग 1/3)</t>
  </si>
  <si>
    <t xml:space="preserve">गति अभ्यास: तर्कशक्ति II: दिशा, रक्त संबंध, न्यायवाक्य एवं पहेलियाँ (भाग 4/6)</t>
  </si>
  <si>
    <t xml:space="preserve">उन्नत: भारतीय कृषि (भाग 2/3)</t>
  </si>
  <si>
    <t xml:space="preserve">गति अभ्यास: तर्कशक्ति II: दिशा, रक्त संबंध, न्यायवाक्य एवं पहेलियाँ (भाग 5/6)</t>
  </si>
  <si>
    <t xml:space="preserve">उन्नत: भारतीय कृषि (भाग 3/3)</t>
  </si>
  <si>
    <t xml:space="preserve">गति अभ्यास: तर्कशक्ति II: दिशा, रक्त संबंध, न्यायवाक्य एवं पहेलियाँ (भाग 6/6)</t>
  </si>
  <si>
    <t xml:space="preserve">उन्नत: खनिज, ऊर्जा एवं उद्योग (भाग 1/3)</t>
  </si>
  <si>
    <t xml:space="preserve">मुख्य परीक्षा</t>
  </si>
  <si>
    <t xml:space="preserve">उत्तर लेखन की मूल बातें: संरचना, भूमिका-मुख्य भाग-निष्कर्ष (भाग 1/4)</t>
  </si>
  <si>
    <t xml:space="preserve">दृष्टि IAS मुख्य परीक्षा उत्तर लेखन • विजन IAS Mains 365 • BPSC मुख्य परीक्षा के PYQ • समाचार पत्र (प्रभात खबर, दैनिक जागरण, द हिंदू)</t>
  </si>
  <si>
    <t xml:space="preserve">उन्नत: खनिज, ऊर्जा एवं उद्योग (भाग 2/3)</t>
  </si>
  <si>
    <t xml:space="preserve">उत्तर लेखन की मूल बातें: संरचना, भूमिका-मुख्य भाग-निष्कर्ष (भाग 2/4)</t>
  </si>
  <si>
    <t xml:space="preserve">उन्नत: खनिज, ऊर्जा एवं उद्योग (भाग 3/3)</t>
  </si>
  <si>
    <t xml:space="preserve">उत्तर लेखन की मूल बातें: संरचना, भूमिका-मुख्य भाग-निष्कर्ष (भाग 3/4)</t>
  </si>
  <si>
    <t xml:space="preserve">उन्नत: परिवहन, जनसंख्या, जनगणना एवं नगरीकरण (भाग 1/3)</t>
  </si>
  <si>
    <t xml:space="preserve">उत्तर लेखन की मूल बातें: संरचना, भूमिका-मुख्य भाग-निष्कर्ष (भाग 4/4)</t>
  </si>
  <si>
    <t xml:space="preserve">उन्नत: परिवहन, जनसंख्या, जनगणना एवं नगरीकरण (भाग 2/3)</t>
  </si>
  <si>
    <t xml:space="preserve">उत्तर लेखन – इतिहास एवं संस्कृति (भाग 1/7)</t>
  </si>
  <si>
    <t xml:space="preserve">उन्नत: परिवहन, जनसंख्या, जनगणना एवं नगरीकरण (भाग 3/3)</t>
  </si>
  <si>
    <t xml:space="preserve">उत्तर लेखन – इतिहास एवं संस्कृति (भाग 2/7)</t>
  </si>
  <si>
    <t xml:space="preserve">उन्नत: विश्व भूगोल (भाग 1/4)</t>
  </si>
  <si>
    <t xml:space="preserve">उत्तर लेखन – इतिहास एवं संस्कृति (भाग 3/7)</t>
  </si>
  <si>
    <t xml:space="preserve">उन्नत: विश्व भूगोल (भाग 2/4)</t>
  </si>
  <si>
    <t xml:space="preserve">उत्तर लेखन – इतिहास एवं संस्कृति (भाग 4/7)</t>
  </si>
  <si>
    <t xml:space="preserve">उन्नत: विश्व भूगोल (भाग 3/4)</t>
  </si>
  <si>
    <t xml:space="preserve">उत्तर लेखन – इतिहास एवं संस्कृति (भाग 5/7)</t>
  </si>
  <si>
    <t xml:space="preserve">उन्नत: विश्व भूगोल (भाग 4/4)</t>
  </si>
  <si>
    <t xml:space="preserve">उत्तर लेखन – इतिहास एवं संस्कृति (भाग 6/7)</t>
  </si>
  <si>
    <t xml:space="preserve">उन्नत: संविधान निर्माण, प्रस्तावना एवं विशेषताएँ (भाग 1/3)</t>
  </si>
  <si>
    <t xml:space="preserve">उत्तर लेखन – इतिहास एवं संस्कृति (भाग 7/7)</t>
  </si>
  <si>
    <t xml:space="preserve">उन्नत: संविधान निर्माण, प्रस्तावना एवं विशेषताएँ (भाग 2/3)</t>
  </si>
  <si>
    <t xml:space="preserve">उत्तर लेखन – भूगोल एवं आपदा प्रबंधन (भाग 1/8)</t>
  </si>
  <si>
    <t xml:space="preserve">उन्नत: संविधान निर्माण, प्रस्तावना एवं विशेषताएँ (भाग 3/3)</t>
  </si>
  <si>
    <t xml:space="preserve">उत्तर लेखन – भूगोल एवं आपदा प्रबंधन (भाग 2/8)</t>
  </si>
  <si>
    <t xml:space="preserve">उन्नत: संघ, नागरिकता एवं मौलिक अधिकार (भाग 1/3)</t>
  </si>
  <si>
    <t xml:space="preserve">उत्तर लेखन – भूगोल एवं आपदा प्रबंधन (भाग 3/8)</t>
  </si>
  <si>
    <t xml:space="preserve">उन्नत: संघ, नागरिकता एवं मौलिक अधिकार (भाग 2/3)</t>
  </si>
  <si>
    <t xml:space="preserve">उत्तर लेखन – भूगोल एवं आपदा प्रबंधन (भाग 4/8)</t>
  </si>
  <si>
    <t xml:space="preserve">उन्नत: संघ, नागरिकता एवं मौलिक अधिकार (भाग 3/3)</t>
  </si>
  <si>
    <t xml:space="preserve">उत्तर लेखन – भूगोल एवं आपदा प्रबंधन (भाग 5/8)</t>
  </si>
  <si>
    <t xml:space="preserve">उन्नत: नीति निदेशक तत्व, मौलिक कर्तव्य एवं संविधान संशोधन (भाग 1/3)</t>
  </si>
  <si>
    <t xml:space="preserve">उत्तर लेखन – भूगोल एवं आपदा प्रबंधन (भाग 6/8)</t>
  </si>
  <si>
    <t xml:space="preserve">उन्नत: नीति निदेशक तत्व, मौलिक कर्तव्य एवं संविधान संशोधन (भाग 2/3)</t>
  </si>
  <si>
    <t xml:space="preserve">उत्तर लेखन – भूगोल एवं आपदा प्रबंधन (भाग 7/8)</t>
  </si>
  <si>
    <t xml:space="preserve">उन्नत: नीति निदेशक तत्व, मौलिक कर्तव्य एवं संविधान संशोधन (भाग 3/3)</t>
  </si>
  <si>
    <t xml:space="preserve">उत्तर लेखन – भूगोल एवं आपदा प्रबंधन (भाग 8/8)</t>
  </si>
  <si>
    <t xml:space="preserve">उन्नत: संघ की कार्यपालिका (भाग 1/3)</t>
  </si>
  <si>
    <t xml:space="preserve">उत्तर लेखन – राजव्यवस्था, शासन एवं सामाजिक न्याय (भाग 1/8)</t>
  </si>
  <si>
    <t xml:space="preserve">उन्नत: संघ की कार्यपालिका (भाग 2/3)</t>
  </si>
  <si>
    <t xml:space="preserve">उत्तर लेखन – राजव्यवस्था, शासन एवं सामाजिक न्याय (भाग 2/8)</t>
  </si>
  <si>
    <t xml:space="preserve">उन्नत: संघ की कार्यपालिका (भाग 3/3)</t>
  </si>
  <si>
    <t xml:space="preserve">उत्तर लेखन – राजव्यवस्था, शासन एवं सामाजिक न्याय (भाग 3/8)</t>
  </si>
  <si>
    <t xml:space="preserve">उन्नत: संसद (भाग 1/5)</t>
  </si>
  <si>
    <t xml:space="preserve">उत्तर लेखन – राजव्यवस्था, शासन एवं सामाजिक न्याय (भाग 4/8)</t>
  </si>
  <si>
    <t xml:space="preserve">उन्नत: संसद (भाग 2/5)</t>
  </si>
  <si>
    <t xml:space="preserve">उत्तर लेखन – राजव्यवस्था, शासन एवं सामाजिक न्याय (भाग 5/8)</t>
  </si>
  <si>
    <t xml:space="preserve">उन्नत: संसद (भाग 3/5)</t>
  </si>
  <si>
    <t xml:space="preserve">उत्तर लेखन – राजव्यवस्था, शासन एवं सामाजिक न्याय (भाग 6/8)</t>
  </si>
  <si>
    <t xml:space="preserve">उन्नत: संसद (भाग 4/5)</t>
  </si>
  <si>
    <t xml:space="preserve">उत्तर लेखन – राजव्यवस्था, शासन एवं सामाजिक न्याय (भाग 7/8)</t>
  </si>
  <si>
    <t xml:space="preserve">उन्नत: संसद (भाग 5/5)</t>
  </si>
  <si>
    <t xml:space="preserve">उत्तर लेखन – राजव्यवस्था, शासन एवं सामाजिक न्याय (भाग 8/8)</t>
  </si>
  <si>
    <t xml:space="preserve">उन्नत: न्यायपालिका (भाग 1/3)</t>
  </si>
  <si>
    <t xml:space="preserve">उत्तर लेखन – अर्थव्यवस्था एवं बिहार की अर्थव्यवस्था (भाग 1/7)</t>
  </si>
  <si>
    <t xml:space="preserve">उन्नत: न्यायपालिका (भाग 2/3)</t>
  </si>
  <si>
    <t xml:space="preserve">उत्तर लेखन – अर्थव्यवस्था एवं बिहार की अर्थव्यवस्था (भाग 2/7)</t>
  </si>
  <si>
    <t xml:space="preserve">उन्नत: न्यायपालिका (भाग 3/3)</t>
  </si>
  <si>
    <t xml:space="preserve">उत्तर लेखन – अर्थव्यवस्था एवं बिहार की अर्थव्यवस्था (भाग 3/7)</t>
  </si>
  <si>
    <t xml:space="preserve">उन्नत: संघवाद: केंद्र–राज्य संबंध एवं आपातकाल (भाग 1/3)</t>
  </si>
  <si>
    <t xml:space="preserve">उत्तर लेखन – अर्थव्यवस्था एवं बिहार की अर्थव्यवस्था (भाग 4/7)</t>
  </si>
  <si>
    <t xml:space="preserve">उन्नत: संघवाद: केंद्र–राज्य संबंध एवं आपातकाल (भाग 2/3)</t>
  </si>
  <si>
    <t xml:space="preserve">उत्तर लेखन – अर्थव्यवस्था एवं बिहार की अर्थव्यवस्था (भाग 5/7)</t>
  </si>
  <si>
    <t xml:space="preserve">उन्नत: संघवाद: केंद्र–राज्य संबंध एवं आपातकाल (भाग 3/3)</t>
  </si>
  <si>
    <t xml:space="preserve">उत्तर लेखन – अर्थव्यवस्था एवं बिहार की अर्थव्यवस्था (भाग 6/7)</t>
  </si>
  <si>
    <t xml:space="preserve">उन्नत: राज्य सरकार, पंचायती राज एवं नगरपालिकाएँ (भाग 1/5)</t>
  </si>
  <si>
    <t xml:space="preserve">उत्तर लेखन – अर्थव्यवस्था एवं बिहार की अर्थव्यवस्था (भाग 7/7)</t>
  </si>
  <si>
    <t xml:space="preserve">उन्नत: राज्य सरकार, पंचायती राज एवं नगरपालिकाएँ (भाग 2/5)</t>
  </si>
  <si>
    <t xml:space="preserve">उत्तर लेखन – विज्ञान, प्रौद्योगिकी एवं पर्यावरण (भाग 1/8)</t>
  </si>
  <si>
    <t xml:space="preserve">उन्नत: राज्य सरकार, पंचायती राज एवं नगरपालिकाएँ (भाग 3/5)</t>
  </si>
  <si>
    <t xml:space="preserve">उत्तर लेखन – विज्ञान, प्रौद्योगिकी एवं पर्यावरण (भाग 2/8)</t>
  </si>
  <si>
    <t xml:space="preserve">उन्नत: राज्य सरकार, पंचायती राज एवं नगरपालिकाएँ (भाग 4/5)</t>
  </si>
  <si>
    <t xml:space="preserve">उत्तर लेखन – विज्ञान, प्रौद्योगिकी एवं पर्यावरण (भाग 3/8)</t>
  </si>
  <si>
    <t xml:space="preserve">उन्नत: राज्य सरकार, पंचायती राज एवं नगरपालिकाएँ (भाग 5/5)</t>
  </si>
  <si>
    <t xml:space="preserve">उत्तर लेखन – विज्ञान, प्रौद्योगिकी एवं पर्यावरण (भाग 4/8)</t>
  </si>
  <si>
    <t xml:space="preserve">उन्नत: संवैधानिक एवं गैर-संवैधानिक निकाय (भाग 1/3)</t>
  </si>
  <si>
    <t xml:space="preserve">उत्तर लेखन – विज्ञान, प्रौद्योगिकी एवं पर्यावरण (भाग 5/8)</t>
  </si>
  <si>
    <t xml:space="preserve">उन्नत: संवैधानिक एवं गैर-संवैधानिक निकाय (भाग 2/3)</t>
  </si>
  <si>
    <t xml:space="preserve">उत्तर लेखन – विज्ञान, प्रौद्योगिकी एवं पर्यावरण (भाग 6/8)</t>
  </si>
  <si>
    <t xml:space="preserve">उन्नत: संवैधानिक एवं गैर-संवैधानिक निकाय (भाग 3/3)</t>
  </si>
  <si>
    <t xml:space="preserve">उत्तर लेखन – विज्ञान, प्रौद्योगिकी एवं पर्यावरण (भाग 7/8)</t>
  </si>
  <si>
    <t xml:space="preserve">उन्नत: शासन, अधिकार एवं सामाजिक न्याय (भाग 1/3)</t>
  </si>
  <si>
    <t xml:space="preserve">उत्तर लेखन – विज्ञान, प्रौद्योगिकी एवं पर्यावरण (भाग 8/8)</t>
  </si>
  <si>
    <t xml:space="preserve">उन्नत: शासन, अधिकार एवं सामाजिक न्याय (भाग 2/3)</t>
  </si>
  <si>
    <t xml:space="preserve">बिहार के समसामयिक मुद्दे: बाढ़, प्रवासन, शिक्षा, स्वास्थ्य, औद्योगीकरण (भाग 1/8)</t>
  </si>
  <si>
    <t xml:space="preserve">उन्नत: शासन, अधिकार एवं सामाजिक न्याय (भाग 3/3)</t>
  </si>
  <si>
    <t xml:space="preserve">बिहार के समसामयिक मुद्दे: बाढ़, प्रवासन, शिक्षा, स्वास्थ्य, औद्योगीकरण (भाग 2/8)</t>
  </si>
  <si>
    <t xml:space="preserve">उन्नत: मूल अवधारणाएँ, राष्ट्रीय आय एवं मुद्रास्फीति (भाग 1/4)</t>
  </si>
  <si>
    <t xml:space="preserve">बिहार के समसामयिक मुद्दे: बाढ़, प्रवासन, शिक्षा, स्वास्थ्य, औद्योगीकरण (भाग 3/8)</t>
  </si>
  <si>
    <t xml:space="preserve">उन्नत: मूल अवधारणाएँ, राष्ट्रीय आय एवं मुद्रास्फीति (भाग 2/4)</t>
  </si>
  <si>
    <t xml:space="preserve">बिहार के समसामयिक मुद्दे: बाढ़, प्रवासन, शिक्षा, स्वास्थ्य, औद्योगीकरण (भाग 4/8)</t>
  </si>
  <si>
    <t xml:space="preserve">उन्नत: मूल अवधारणाएँ, राष्ट्रीय आय एवं मुद्रास्फीति (भाग 3/4)</t>
  </si>
  <si>
    <t xml:space="preserve">बिहार के समसामयिक मुद्दे: बाढ़, प्रवासन, शिक्षा, स्वास्थ्य, औद्योगीकरण (भाग 5/8)</t>
  </si>
  <si>
    <t xml:space="preserve">उन्नत: मूल अवधारणाएँ, राष्ट्रीय आय एवं मुद्रास्फीति (भाग 4/4)</t>
  </si>
  <si>
    <t xml:space="preserve">बिहार के समसामयिक मुद्दे: बाढ़, प्रवासन, शिक्षा, स्वास्थ्य, औद्योगीकरण (भाग 6/8)</t>
  </si>
  <si>
    <t xml:space="preserve">उन्नत: नियोजन, गरीबी एवं बेरोज़गारी (भाग 1/3)</t>
  </si>
  <si>
    <t xml:space="preserve">बिहार के समसामयिक मुद्दे: बाढ़, प्रवासन, शिक्षा, स्वास्थ्य, औद्योगीकरण (भाग 7/8)</t>
  </si>
  <si>
    <t xml:space="preserve">उन्नत: नियोजन, गरीबी एवं बेरोज़गारी (भाग 2/3)</t>
  </si>
  <si>
    <t xml:space="preserve">बिहार के समसामयिक मुद्दे: बाढ़, प्रवासन, शिक्षा, स्वास्थ्य, औद्योगीकरण (भाग 8/8)</t>
  </si>
  <si>
    <t xml:space="preserve">उन्नत: नियोजन, गरीबी एवं बेरोज़गारी (भाग 3/3)</t>
  </si>
  <si>
    <t xml:space="preserve">सामाजिक मुद्दे एवं समसामयिक विषय (भाग 1/7)</t>
  </si>
  <si>
    <t xml:space="preserve">उन्नत: मुद्रा, बैंकिंग एवं मौद्रिक नीति (भाग 1/5)</t>
  </si>
  <si>
    <t xml:space="preserve">सामाजिक मुद्दे एवं समसामयिक विषय (भाग 2/7)</t>
  </si>
  <si>
    <t xml:space="preserve">उन्नत: मुद्रा, बैंकिंग एवं मौद्रिक नीति (भाग 2/5)</t>
  </si>
  <si>
    <t xml:space="preserve">सामाजिक मुद्दे एवं समसामयिक विषय (भाग 3/7)</t>
  </si>
  <si>
    <t xml:space="preserve">उन्नत: मुद्रा, बैंकिंग एवं मौद्रिक नीति (भाग 3/5)</t>
  </si>
  <si>
    <t xml:space="preserve">सामाजिक मुद्दे एवं समसामयिक विषय (भाग 4/7)</t>
  </si>
  <si>
    <t xml:space="preserve">उन्नत: मुद्रा, बैंकिंग एवं मौद्रिक नीति (भाग 4/5)</t>
  </si>
  <si>
    <t xml:space="preserve">सामाजिक मुद्दे एवं समसामयिक विषय (भाग 5/7)</t>
  </si>
  <si>
    <t xml:space="preserve">उन्नत: मुद्रा, बैंकिंग एवं मौद्रिक नीति (भाग 5/5)</t>
  </si>
  <si>
    <t xml:space="preserve">सामाजिक मुद्दे एवं समसामयिक विषय (भाग 6/7)</t>
  </si>
  <si>
    <t xml:space="preserve">उन्नत: सार्वजनिक वित्त: बजट, कराधान एवं GST (भाग 1/3)</t>
  </si>
  <si>
    <t xml:space="preserve">सामाजिक मुद्दे एवं समसामयिक विषय (भाग 7/7)</t>
  </si>
  <si>
    <t xml:space="preserve">उन्नत: सार्वजनिक वित्त: बजट, कराधान एवं GST (भाग 2/3)</t>
  </si>
  <si>
    <t xml:space="preserve">अंतर्राष्ट्रीय संबंध एवं आंतरिक सुरक्षा (भाग 1/8)</t>
  </si>
  <si>
    <t xml:space="preserve">उन्नत: सार्वजनिक वित्त: बजट, कराधान एवं GST (भाग 3/3)</t>
  </si>
  <si>
    <t xml:space="preserve">अंतर्राष्ट्रीय संबंध एवं आंतरिक सुरक्षा (भाग 2/8)</t>
  </si>
  <si>
    <t xml:space="preserve">उन्नत: कृषि अर्थव्यवस्था (भाग 1/3)</t>
  </si>
  <si>
    <t xml:space="preserve">अंतर्राष्ट्रीय संबंध एवं आंतरिक सुरक्षा (भाग 3/8)</t>
  </si>
  <si>
    <t xml:space="preserve">उन्नत: कृषि अर्थव्यवस्था (भाग 2/3)</t>
  </si>
  <si>
    <t xml:space="preserve">अंतर्राष्ट्रीय संबंध एवं आंतरिक सुरक्षा (भाग 4/8)</t>
  </si>
  <si>
    <t xml:space="preserve">उन्नत: कृषि अर्थव्यवस्था (भाग 3/3)</t>
  </si>
  <si>
    <t xml:space="preserve">अंतर्राष्ट्रीय संबंध एवं आंतरिक सुरक्षा (भाग 5/8)</t>
  </si>
  <si>
    <t xml:space="preserve">उन्नत: उद्योग, सेवाएँ एवं अवसंरचना (भाग 1/3)</t>
  </si>
  <si>
    <t xml:space="preserve">अंतर्राष्ट्रीय संबंध एवं आंतरिक सुरक्षा (भाग 6/8)</t>
  </si>
  <si>
    <t xml:space="preserve">उन्नत: उद्योग, सेवाएँ एवं अवसंरचना (भाग 2/3)</t>
  </si>
  <si>
    <t xml:space="preserve">अंतर्राष्ट्रीय संबंध एवं आंतरिक सुरक्षा (भाग 7/8)</t>
  </si>
  <si>
    <t xml:space="preserve">उन्नत: उद्योग, सेवाएँ एवं अवसंरचना (भाग 3/3)</t>
  </si>
  <si>
    <t xml:space="preserve">अंतर्राष्ट्रीय संबंध एवं आंतरिक सुरक्षा (भाग 8/8)</t>
  </si>
  <si>
    <t xml:space="preserve">उन्नत: बाह्य क्षेत्र एवं अंतर्राष्ट्रीय संस्थाएँ (भाग 1/3)</t>
  </si>
  <si>
    <t xml:space="preserve">निबंध लेखन अभ्यास (हिंदी/अंग्रेज़ी) (भाग 1/7)</t>
  </si>
  <si>
    <t xml:space="preserve">उन्नत: बाह्य क्षेत्र एवं अंतर्राष्ट्रीय संस्थाएँ (भाग 2/3)</t>
  </si>
  <si>
    <t xml:space="preserve">निबंध लेखन अभ्यास (हिंदी/अंग्रेज़ी) (भाग 2/7)</t>
  </si>
  <si>
    <t xml:space="preserve">उन्नत: बाह्य क्षेत्र एवं अंतर्राष्ट्रीय संस्थाएँ (भाग 3/3)</t>
  </si>
  <si>
    <t xml:space="preserve">निबंध लेखन अभ्यास (हिंदी/अंग्रेज़ी) (भाग 3/7)</t>
  </si>
  <si>
    <t xml:space="preserve">उन्नत: पूँजी बाज़ार, बीमा, आर्थिक सर्वेक्षण एवं बजट (भाग 1/3)</t>
  </si>
  <si>
    <t xml:space="preserve">निबंध लेखन अभ्यास (हिंदी/अंग्रेज़ी) (भाग 4/7)</t>
  </si>
  <si>
    <t xml:space="preserve">उन्नत: पूँजी बाज़ार, बीमा, आर्थिक सर्वेक्षण एवं बजट (भाग 2/3)</t>
  </si>
  <si>
    <t xml:space="preserve">निबंध लेखन अभ्यास (हिंदी/अंग्रेज़ी) (भाग 5/7)</t>
  </si>
  <si>
    <t xml:space="preserve">उन्नत: पूँजी बाज़ार, बीमा, आर्थिक सर्वेक्षण एवं बजट (भाग 3/3)</t>
  </si>
  <si>
    <t xml:space="preserve">निबंध लेखन अभ्यास (हिंदी/अंग्रेज़ी) (भाग 6/7)</t>
  </si>
  <si>
    <t xml:space="preserve">उन्नत: पारिस्थितिकी एवं पारितंत्र (भाग 1/3)</t>
  </si>
  <si>
    <t xml:space="preserve">निबंध लेखन अभ्यास (हिंदी/अंग्रेज़ी) (भाग 7/7)</t>
  </si>
  <si>
    <t xml:space="preserve">उन्नत: पारिस्थितिकी एवं पारितंत्र (भाग 2/3)</t>
  </si>
  <si>
    <t xml:space="preserve">हिंदी मुख्य परीक्षा: संक्षेपण, पत्र, अनुवाद एवं व्याकरण (भाग 1/4)</t>
  </si>
  <si>
    <t xml:space="preserve">उन्नत: पारिस्थितिकी एवं पारितंत्र (भाग 3/3)</t>
  </si>
  <si>
    <t xml:space="preserve">हिंदी मुख्य परीक्षा: संक्षेपण, पत्र, अनुवाद एवं व्याकरण (भाग 2/4)</t>
  </si>
  <si>
    <t xml:space="preserve">उन्नत: जैव विविधता एवं संरक्षण (भाग 1/3)</t>
  </si>
  <si>
    <t xml:space="preserve">हिंदी मुख्य परीक्षा: संक्षेपण, पत्र, अनुवाद एवं व्याकरण (भाग 3/4)</t>
  </si>
  <si>
    <t xml:space="preserve">उन्नत: जैव विविधता एवं संरक्षण (भाग 2/3)</t>
  </si>
  <si>
    <t xml:space="preserve">हिंदी मुख्य परीक्षा: संक्षेपण, पत्र, अनुवाद एवं व्याकरण (भाग 4/4)</t>
  </si>
  <si>
    <t xml:space="preserve">उन्नत: जैव विविधता एवं संरक्षण (भाग 3/3)</t>
  </si>
  <si>
    <t xml:space="preserve">केस स्टडी, नैतिकता एवं ईमानदारी की मूल बातें (भाग 1/4)</t>
  </si>
  <si>
    <t xml:space="preserve">उन्नत: जलवायु परिवर्तन, प्रदूषण एवं पर्यावरण कानून (भाग 1/3)</t>
  </si>
  <si>
    <t xml:space="preserve">केस स्टडी, नैतिकता एवं ईमानदारी की मूल बातें (भाग 2/4)</t>
  </si>
  <si>
    <t xml:space="preserve">उन्नत: जलवायु परिवर्तन, प्रदूषण एवं पर्यावरण कानून (भाग 2/3)</t>
  </si>
  <si>
    <t xml:space="preserve">केस स्टडी, नैतिकता एवं ईमानदारी की मूल बातें (भाग 3/4)</t>
  </si>
  <si>
    <t xml:space="preserve">उन्नत: जलवायु परिवर्तन, प्रदूषण एवं पर्यावरण कानून (भाग 3/3)</t>
  </si>
  <si>
    <t xml:space="preserve">केस स्टडी, नैतिकता एवं ईमानदारी की मूल बातें (भाग 4/4)</t>
  </si>
  <si>
    <t xml:space="preserve">पुनरावृत्ति: प्रागैतिहास एवं सिंधु घाटी सभ्यता (भाग 1/2)</t>
  </si>
  <si>
    <t xml:space="preserve">त्वरित पुनरावृत्ति: बिहार – प्राचीन इतिहास (भाग 1/3)</t>
  </si>
  <si>
    <t xml:space="preserve">दोहराए गए विषय पर 60 PYQ MCQ + त्रुटि-लॉग अद्यतन</t>
  </si>
  <si>
    <t xml:space="preserve">फ्लैश-कार्ड / संक्षिप्त नोट्स से पुनरावृत्ति</t>
  </si>
  <si>
    <t xml:space="preserve">पुनरावृत्ति: प्रागैतिहास एवं सिंधु घाटी सभ्यता (भाग 2/2)</t>
  </si>
  <si>
    <t xml:space="preserve">त्वरित पुनरावृत्ति: बिहार – प्राचीन इतिहास (भाग 2/3)</t>
  </si>
  <si>
    <t xml:space="preserve">पुनरावृत्ति: वैदिक काल एवं महाजनपद</t>
  </si>
  <si>
    <t xml:space="preserve">त्वरित पुनरावृत्ति: बिहार – प्राचीन इतिहास (भाग 3/3)</t>
  </si>
  <si>
    <t xml:space="preserve">पुनरावृत्ति: जैन, बौद्ध एवं अन्य नास्तिक संप्रदाय</t>
  </si>
  <si>
    <t xml:space="preserve">त्वरित पुनरावृत्ति: बिहार – मध्यकालीन एवं औपनिवेशिक इतिहास (भाग 1/2)</t>
  </si>
  <si>
    <t xml:space="preserve">पुनरावृत्ति: मौर्य साम्राज्य (भाग 1/2)</t>
  </si>
  <si>
    <t xml:space="preserve">त्वरित पुनरावृत्ति: बिहार – मध्यकालीन एवं औपनिवेशिक इतिहास (भाग 2/2)</t>
  </si>
  <si>
    <t xml:space="preserve">पुनरावृत्ति: मौर्य साम्राज्य (भाग 2/2)</t>
  </si>
  <si>
    <t xml:space="preserve">त्वरित पुनरावृत्ति: बिहार – स्वतंत्रता संग्राम एवं आधुनिक राजनीति (भाग 1/3)</t>
  </si>
  <si>
    <t xml:space="preserve">इस सप्ताह के विषय दोहराएँ: प्रागैतिहास एवं सिंधु घाटी सभ्यता; वैदिक काल एवं महाजनपद; जैन, बौद्ध एवं अन्य नास्तिक संप्रदाय; मौर्य साम्राज्य। त्रुटि-लॉग अद्यतन करें; 20 कमज़ोर बिंदु सूचीबद्ध करें; संक्षिप्त नोट्स दोबारा पढ़ें।</t>
  </si>
  <si>
    <t xml:space="preserve">लक्ष्य अंक: 72%+ (साप्ताहिक शीट में अपना स्कोर दर्ज करें)</t>
  </si>
  <si>
    <t xml:space="preserve">पुनरावृत्ति: मौर्योत्तर काल (शुंग, कुषाण, सातवाहन, संगम)</t>
  </si>
  <si>
    <t xml:space="preserve">त्वरित पुनरावृत्ति: बिहार – स्वतंत्रता संग्राम एवं आधुनिक राजनीति (भाग 2/3)</t>
  </si>
  <si>
    <t xml:space="preserve">पुनरावृत्ति: गुप्त साम्राज्य, हर्षवर्धन एवं पाल वंश</t>
  </si>
  <si>
    <t xml:space="preserve">त्वरित पुनरावृत्ति: बिहार – स्वतंत्रता संग्राम एवं आधुनिक राजनीति (भाग 3/3)</t>
  </si>
  <si>
    <t xml:space="preserve">पुनरावृत्ति: पूर्व मध्यकालीन भारत (राजपूत, चोल, चालुक्य, पल्लव)</t>
  </si>
  <si>
    <t xml:space="preserve">त्वरित पुनरावृत्ति: बिहार – भूगोल: भौतिक स्वरूप, नदियाँ एवं जलवायु (भाग 1/4)</t>
  </si>
  <si>
    <t xml:space="preserve">पुनरावृत्ति: दिल्ली सल्तनत (भाग 1/2)</t>
  </si>
  <si>
    <t xml:space="preserve">त्वरित पुनरावृत्ति: बिहार – भूगोल: भौतिक स्वरूप, नदियाँ एवं जलवायु (भाग 2/4)</t>
  </si>
  <si>
    <t xml:space="preserve">पुनरावृत्ति: दिल्ली सल्तनत (भाग 2/2)</t>
  </si>
  <si>
    <t xml:space="preserve">त्वरित पुनरावृत्ति: बिहार – भूगोल: भौतिक स्वरूप, नदियाँ एवं जलवायु (भाग 3/4)</t>
  </si>
  <si>
    <t xml:space="preserve">पुनरावृत्ति: भक्ति एवं सूफी आंदोलन</t>
  </si>
  <si>
    <t xml:space="preserve">त्वरित पुनरावृत्ति: बिहार – भूगोल: भौतिक स्वरूप, नदियाँ एवं जलवायु (भाग 4/4)</t>
  </si>
  <si>
    <t xml:space="preserve">इस सप्ताह के विषय दोहराएँ: मौर्योत्तर काल (शुंग, कुषाण, सातवाहन, संगम); गुप्त साम्राज्य, हर्षवर्धन एवं पाल वंश; पूर्व मध्यकालीन भारत (राजपूत, चोल, चालुक्य, पल्लव); दिल्ली सल्तनत; भक्ति एवं सूफी आंदोलन।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</si>
  <si>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मुगल साम्राज्य (भाग 1/2)</t>
  </si>
  <si>
    <t xml:space="preserve">त्वरित पुनरावृत्ति: बिहार – कृषि, सिंचाई एवं उद्योग (भाग 1/3)</t>
  </si>
  <si>
    <t xml:space="preserve">पुनरावृत्ति: मुगल साम्राज्य (भाग 2/2)</t>
  </si>
  <si>
    <t xml:space="preserve">त्वरित पुनरावृत्ति: बिहार – कृषि, सिंचाई एवं उद्योग (भाग 2/3)</t>
  </si>
  <si>
    <t xml:space="preserve">पुनरावृत्ति: मराठा एवं क्षेत्रीय शक्तियाँ (18वीं शताब्दी)</t>
  </si>
  <si>
    <t xml:space="preserve">त्वरित पुनरावृत्ति: बिहार – कृषि, सिंचाई एवं उद्योग (भाग 3/3)</t>
  </si>
  <si>
    <t xml:space="preserve">पुनरावृत्ति: यूरोपीय आगमन एवं ब्रिटिश विस्तार</t>
  </si>
  <si>
    <t xml:space="preserve">त्वरित पुनरावृत्ति: बिहार – अर्थव्यवस्था, बजट एवं सरकारी योजनाएँ (भाग 1/4)</t>
  </si>
  <si>
    <t xml:space="preserve">पुनरावृत्ति: 1857 का विद्रोह</t>
  </si>
  <si>
    <t xml:space="preserve">त्वरित पुनरावृत्ति: बिहार – अर्थव्यवस्था, बजट एवं सरकारी योजनाएँ (भाग 2/4)</t>
  </si>
  <si>
    <t xml:space="preserve">पुनरावृत्ति: सामाजिक-धार्मिक सुधार आंदोलन</t>
  </si>
  <si>
    <t xml:space="preserve">त्वरित पुनरावृत्ति: बिहार – अर्थव्यवस्था, बजट एवं सरकारी योजनाएँ (भाग 3/4)</t>
  </si>
  <si>
    <t xml:space="preserve">इस सप्ताह के विषय दोहराएँ: मुगल साम्राज्य; मराठा एवं क्षेत्रीय शक्तियाँ (18वीं शताब्दी); यूरोपीय आगमन एवं ब्रिटिश विस्तार; 1857 का विद्रोह; सामाजिक-धार्मिक सुधार आंदोलन।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</si>
  <si>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प्रारंभिक राष्ट्रवाद: कांग्रेस, नरमपंथी, गरमपंथी, स्वदेशी (भाग 1/2)</t>
  </si>
  <si>
    <t xml:space="preserve">त्वरित पुनरावृत्ति: बिहार – अर्थव्यवस्था, बजट एवं सरकारी योजनाएँ (भाग 4/4)</t>
  </si>
  <si>
    <t xml:space="preserve">पुनरावृत्ति: प्रारंभिक राष्ट्रवाद: कांग्रेस, नरमपंथी, गरमपंथी, स्वदेशी (भाग 2/2)</t>
  </si>
  <si>
    <t xml:space="preserve">त्वरित पुनरावृत्ति: बिहार – राजव्यवस्था एवं प्रशासन (भाग 1/3)</t>
  </si>
  <si>
    <t xml:space="preserve">पुनरावृत्ति: गांधी युग: चंपारण से भारत छोड़ो तक (भाग 1/2)</t>
  </si>
  <si>
    <t xml:space="preserve">त्वरित पुनरावृत्ति: बिहार – राजव्यवस्था एवं प्रशासन (भाग 2/3)</t>
  </si>
  <si>
    <t xml:space="preserve">पुनरावृत्ति: गांधी युग: चंपारण से भारत छोड़ो तक (भाग 2/2)</t>
  </si>
  <si>
    <t xml:space="preserve">त्वरित पुनरावृत्ति: बिहार – राजव्यवस्था एवं प्रशासन (भाग 3/3)</t>
  </si>
  <si>
    <t xml:space="preserve">पुनरावृत्ति: क्रांतिकारी आंदोलन, संवैधानिक विकास एवं विभाजन (भाग 1/2)</t>
  </si>
  <si>
    <t xml:space="preserve">त्वरित पुनरावृत्ति: बिहार – कला, संस्कृति, साहित्य एवं पर्यटन (भाग 1/2)</t>
  </si>
  <si>
    <t xml:space="preserve">पुनरावृत्ति: क्रांतिकारी आंदोलन, संवैधानिक विकास एवं विभाजन (भाग 2/2)</t>
  </si>
  <si>
    <t xml:space="preserve">त्वरित पुनरावृत्ति: बिहार – कला, संस्कृति, साहित्य एवं पर्यटन (भाग 2/2)</t>
  </si>
  <si>
    <t xml:space="preserve">इस सप्ताह के विषय दोहराएँ: प्रारंभिक राष्ट्रवाद: कांग्रेस, नरमपंथी, गरमपंथी, स्वदेशी; गांधी युग: चंपारण से भारत छोड़ो तक; क्रांतिकारी आंदोलन, संवैधानिक विकास एवं विभाजन।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</si>
  <si>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स्वातंत्र्योत्तर भारत (1947 के बाद)</t>
  </si>
  <si>
    <t xml:space="preserve">त्वरित पुनरावृत्ति: बिहार – जनसांख्यिकी, शिक्षा एवं स्वास्थ्य (भाग 1/3)</t>
  </si>
  <si>
    <t xml:space="preserve">पुनरावृत्ति: भारतीय कला एवं स्थापत्य</t>
  </si>
  <si>
    <t xml:space="preserve">त्वरित पुनरावृत्ति: बिहार – जनसांख्यिकी, शिक्षा एवं स्वास्थ्य (भाग 2/3)</t>
  </si>
  <si>
    <t xml:space="preserve">पुनरावृत्ति: प्रदर्शन कलाएँ, साहित्य, त्योहार एवं यूनेस्को स्थल (भाग 1/2)</t>
  </si>
  <si>
    <t xml:space="preserve">त्वरित पुनरावृत्ति: बिहार – जनसांख्यिकी, शिक्षा एवं स्वास्थ्य (भाग 3/3)</t>
  </si>
  <si>
    <t xml:space="preserve">पुनरावृत्ति: प्रदर्शन कलाएँ, साहित्य, त्योहार एवं यूनेस्को स्थल (भाग 2/2)</t>
  </si>
  <si>
    <t xml:space="preserve">त्वरित पुनरावृत्ति: भौतिकी I: गति, बल, कार्य एवं गुरुत्वाकर्षण (भाग 1/3)</t>
  </si>
  <si>
    <t xml:space="preserve">पुनरावृत्ति: ब्रह्मांड, सौरमंडल एवं पृथ्वी</t>
  </si>
  <si>
    <t xml:space="preserve">त्वरित पुनरावृत्ति: भौतिकी I: गति, बल, कार्य एवं गुरुत्वाकर्षण (भाग 2/3)</t>
  </si>
  <si>
    <t xml:space="preserve">पुनरावृत्ति: भू-आकृति विज्ञान: पृथ्वी का आंतरिक भाग, चट्टानें एवं स्थलरूप (भाग 1/2)</t>
  </si>
  <si>
    <t xml:space="preserve">त्वरित पुनरावृत्ति: भौतिकी I: गति, बल, कार्य एवं गुरुत्वाकर्षण (भाग 3/3)</t>
  </si>
  <si>
    <t xml:space="preserve">इस सप्ताह के विषय दोहराएँ: स्वातंत्र्योत्तर भारत (1947 के बाद); भारतीय कला एवं स्थापत्य; प्रदर्शन कलाएँ, साहित्य, त्योहार एवं यूनेस्को स्थल; ब्रह्मांड, सौरमंडल एवं पृथ्वी; भू-आकृति विज्ञान: पृथ्वी का आंतरिक भाग, चट्टानें एवं स्थलरूप।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</si>
  <si>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भू-आकृति विज्ञान: पृथ्वी का आंतरिक भाग, चट्टानें एवं स्थलरूप (भाग 2/2)</t>
  </si>
  <si>
    <t xml:space="preserve">त्वरित पुनरावृत्ति: भौतिकी II: ऊष्मा, प्रकाश, ध्वनि, विद्युत एवं आधुनिक भौतिकी (भाग 1/4)</t>
  </si>
  <si>
    <t xml:space="preserve">पुनरावृत्ति: जलवायु विज्ञान: वायुमंडल, पवनें एवं जलवायु (भाग 1/2)</t>
  </si>
  <si>
    <t xml:space="preserve">त्वरित पुनरावृत्ति: भौतिकी II: ऊष्मा, प्रकाश, ध्वनि, विद्युत एवं आधुनिक भौतिकी (भाग 2/4)</t>
  </si>
  <si>
    <t xml:space="preserve">पुनरावृत्ति: जलवायु विज्ञान: वायुमंडल, पवनें एवं जलवायु (भाग 2/2)</t>
  </si>
  <si>
    <t xml:space="preserve">त्वरित पुनरावृत्ति: भौतिकी II: ऊष्मा, प्रकाश, ध्वनि, विद्युत एवं आधुनिक भौतिकी (भाग 3/4)</t>
  </si>
  <si>
    <t xml:space="preserve">पुनरावृत्ति: समुद्र विज्ञान</t>
  </si>
  <si>
    <t xml:space="preserve">त्वरित पुनरावृत्ति: भौतिकी II: ऊष्मा, प्रकाश, ध्वनि, विद्युत एवं आधुनिक भौतिकी (भाग 4/4)</t>
  </si>
  <si>
    <t xml:space="preserve">पुनरावृत्ति: भारत का भौतिक स्वरूप (भाग 1/2)</t>
  </si>
  <si>
    <t xml:space="preserve">त्वरित पुनरावृत्ति: रसायन I: पदार्थ, परमाणु, आवर्त सारणी एवं अम्ल-क्षार (भाग 1/3)</t>
  </si>
  <si>
    <t xml:space="preserve">पुनरावृत्ति: भारत का भौतिक स्वरूप (भाग 2/2)</t>
  </si>
  <si>
    <t xml:space="preserve">त्वरित पुनरावृत्ति: रसायन I: पदार्थ, परमाणु, आवर्त सारणी एवं अम्ल-क्षार (भाग 2/3)</t>
  </si>
  <si>
    <t xml:space="preserve">इस सप्ताह के विषय दोहराएँ: भू-आकृति विज्ञान: पृथ्वी का आंतरिक भाग, चट्टानें एवं स्थलरूप; जलवायु विज्ञान: वायुमंडल, पवनें एवं जलवायु; समुद्र विज्ञान; भारत का भौतिक स्वरूप।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</si>
  <si>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भारतीय अपवाह तंत्र (भाग 1/2)</t>
  </si>
  <si>
    <t xml:space="preserve">त्वरित पुनरावृत्ति: रसायन I: पदार्थ, परमाणु, आवर्त सारणी एवं अम्ल-क्षार (भाग 3/3)</t>
  </si>
  <si>
    <t xml:space="preserve">पुनरावृत्ति: भारतीय अपवाह तंत्र (भाग 2/2)</t>
  </si>
  <si>
    <t xml:space="preserve">त्वरित पुनरावृत्ति: रसायन II: धातु, कार्बन यौगिक एवं दैनिक जीवन में रसायन (भाग 1/2)</t>
  </si>
  <si>
    <t xml:space="preserve">पुनरावृत्ति: भारत की जलवायु, मानसून, मृदा एवं वनस्पति</t>
  </si>
  <si>
    <t xml:space="preserve">त्वरित पुनरावृत्ति: रसायन II: धातु, कार्बन यौगिक एवं दैनिक जीवन में रसायन (भाग 2/2)</t>
  </si>
  <si>
    <t xml:space="preserve">पुनरावृत्ति: भारतीय कृषि (भाग 1/2)</t>
  </si>
  <si>
    <t xml:space="preserve">त्वरित पुनरावृत्ति: जीव विज्ञान I: कोशिका, पादप एवं जंतु जगत (भाग 1/3)</t>
  </si>
  <si>
    <t xml:space="preserve">पुनरावृत्ति: भारतीय कृषि (भाग 2/2)</t>
  </si>
  <si>
    <t xml:space="preserve">त्वरित पुनरावृत्ति: जीव विज्ञान I: कोशिका, पादप एवं जंतु जगत (भाग 2/3)</t>
  </si>
  <si>
    <t xml:space="preserve">पुनरावृत्ति: खनिज, ऊर्जा एवं उद्योग</t>
  </si>
  <si>
    <t xml:space="preserve">त्वरित पुनरावृत्ति: जीव विज्ञान I: कोशिका, पादप एवं जंतु जगत (भाग 3/3)</t>
  </si>
  <si>
    <t xml:space="preserve">इस सप्ताह के विषय दोहराएँ: भारतीय अपवाह तंत्र; भारत की जलवायु, मानसून, मृदा एवं वनस्पति; भारतीय कृषि; खनिज, ऊर्जा एवं उद्योग।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</si>
  <si>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परिवहन, जनसंख्या, जनगणना एवं नगरीकरण (भाग 1/2)</t>
  </si>
  <si>
    <t xml:space="preserve">त्वरित पुनरावृत्ति: जीव विज्ञान II: मानव शरीर, पोषण एवं रोग (भाग 1/4)</t>
  </si>
  <si>
    <t xml:space="preserve">पुनरावृत्ति: परिवहन, जनसंख्या, जनगणना एवं नगरीकरण (भाग 2/2)</t>
  </si>
  <si>
    <t xml:space="preserve">त्वरित पुनरावृत्ति: जीव विज्ञान II: मानव शरीर, पोषण एवं रोग (भाग 2/4)</t>
  </si>
  <si>
    <t xml:space="preserve">पुनरावृत्ति: विश्व भूगोल (भाग 1/2)</t>
  </si>
  <si>
    <t xml:space="preserve">त्वरित पुनरावृत्ति: जीव विज्ञान II: मानव शरीर, पोषण एवं रोग (भाग 3/4)</t>
  </si>
  <si>
    <t xml:space="preserve">पुनरावृत्ति: विश्व भूगोल (भाग 2/2)</t>
  </si>
  <si>
    <t xml:space="preserve">त्वरित पुनरावृत्ति: जीव विज्ञान II: मानव शरीर, पोषण एवं रोग (भाग 4/4)</t>
  </si>
  <si>
    <t xml:space="preserve">पुनरावृत्ति: संविधान निर्माण, प्रस्तावना एवं विशेषताएँ (भाग 1/2)</t>
  </si>
  <si>
    <t xml:space="preserve">त्वरित पुनरावृत्ति: विज्ञान एवं प्रौद्योगिकी: अंतरिक्ष, रक्षा, IT एवं उभरती तकनीकें (भाग 1/4)</t>
  </si>
  <si>
    <t xml:space="preserve">पुनरावृत्ति: संविधान निर्माण, प्रस्तावना एवं विशेषताएँ (भाग 2/2)</t>
  </si>
  <si>
    <t xml:space="preserve">त्वरित पुनरावृत्ति: विज्ञान एवं प्रौद्योगिकी: अंतरिक्ष, रक्षा, IT एवं उभरती तकनीकें (भाग 2/4)</t>
  </si>
  <si>
    <t xml:space="preserve">इस सप्ताह के विषय दोहराएँ: परिवहन, जनसंख्या, जनगणना एवं नगरीकरण; विश्व भूगोल; संविधान निर्माण, प्रस्तावना एवं विशेषताएँ।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</si>
  <si>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संघ, नागरिकता एवं मौलिक अधिकार (भाग 1/2)</t>
  </si>
  <si>
    <t xml:space="preserve">त्वरित पुनरावृत्ति: विज्ञान एवं प्रौद्योगिकी: अंतरिक्ष, रक्षा, IT एवं उभरती तकनीकें (भाग 3/4)</t>
  </si>
  <si>
    <t xml:space="preserve">पुनरावृत्ति: संघ, नागरिकता एवं मौलिक अधिकार (भाग 2/2)</t>
  </si>
  <si>
    <t xml:space="preserve">त्वरित पुनरावृत्ति: विज्ञान एवं प्रौद्योगिकी: अंतरिक्ष, रक्षा, IT एवं उभरती तकनीकें (भाग 4/4)</t>
  </si>
  <si>
    <t xml:space="preserve">पुनरावृत्ति: नीति निदेशक तत्व, मौलिक कर्तव्य एवं संविधान संशोधन</t>
  </si>
  <si>
    <t xml:space="preserve">त्वरित पुनरावृत्ति: गणित I: संख्या पद्धति, म.स.-ल.स. एवं सरलीकरण (भाग 1/3)</t>
  </si>
  <si>
    <t xml:space="preserve">पुनरावृत्ति: संघ की कार्यपालिका (भाग 1/2)</t>
  </si>
  <si>
    <t xml:space="preserve">त्वरित पुनरावृत्ति: गणित I: संख्या पद्धति, म.स.-ल.स. एवं सरलीकरण (भाग 2/3)</t>
  </si>
  <si>
    <t xml:space="preserve">पुनरावृत्ति: संघ की कार्यपालिका (भाग 2/2)</t>
  </si>
  <si>
    <t xml:space="preserve">त्वरित पुनरावृत्ति: गणित I: संख्या पद्धति, म.स.-ल.स. एवं सरलीकरण (भाग 3/3)</t>
  </si>
  <si>
    <t xml:space="preserve">पुनरावृत्ति: संसद (भाग 1/2)</t>
  </si>
  <si>
    <t xml:space="preserve">त्वरित पुनरावृत्ति: गणित II: प्रतिशत, लाभ-हानि, अनुपात एवं औसत (भाग 1/4)</t>
  </si>
  <si>
    <t xml:space="preserve">इस सप्ताह के विषय दोहराएँ: संघ, नागरिकता एवं मौलिक अधिकार; नीति निदेशक तत्व, मौलिक कर्तव्य एवं संविधान संशोधन; संघ की कार्यपालिका; संसद।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</si>
  <si>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संसद (भाग 2/2)</t>
  </si>
  <si>
    <t xml:space="preserve">त्वरित पुनरावृत्ति: गणित II: प्रतिशत, लाभ-हानि, अनुपात एवं औसत (भाग 2/4)</t>
  </si>
  <si>
    <t xml:space="preserve">पुनरावृत्ति: न्यायपालिका (भाग 1/2)</t>
  </si>
  <si>
    <t xml:space="preserve">त्वरित पुनरावृत्ति: गणित II: प्रतिशत, लाभ-हानि, अनुपात एवं औसत (भाग 3/4)</t>
  </si>
  <si>
    <t xml:space="preserve">पुनरावृत्ति: न्यायपालिका (भाग 2/2)</t>
  </si>
  <si>
    <t xml:space="preserve">त्वरित पुनरावृत्ति: गणित II: प्रतिशत, लाभ-हानि, अनुपात एवं औसत (भाग 4/4)</t>
  </si>
  <si>
    <t xml:space="preserve">पुनरावृत्ति: संघवाद: केंद्र–राज्य संबंध एवं आपातकाल (भाग 1/2)</t>
  </si>
  <si>
    <t xml:space="preserve">त्वरित पुनरावृत्ति: गणित III: समय-कार्य, समय-चाल-दूरी एवं ब्याज (भाग 1/4)</t>
  </si>
  <si>
    <t xml:space="preserve">पुनरावृत्ति: संघवाद: केंद्र–राज्य संबंध एवं आपातकाल (भाग 2/2)</t>
  </si>
  <si>
    <t xml:space="preserve">त्वरित पुनरावृत्ति: गणित III: समय-कार्य, समय-चाल-दूरी एवं ब्याज (भाग 2/4)</t>
  </si>
  <si>
    <t xml:space="preserve">पुनरावृत्ति: राज्य सरकार, पंचायती राज एवं नगरपालिकाएँ (भाग 1/2)</t>
  </si>
  <si>
    <t xml:space="preserve">त्वरित पुनरावृत्ति: गणित III: समय-कार्य, समय-चाल-दूरी एवं ब्याज (भाग 3/4)</t>
  </si>
  <si>
    <t xml:space="preserve">इस सप्ताह के विषय दोहराएँ: संसद; न्यायपालिका; संघवाद: केंद्र–राज्य संबंध एवं आपातकाल; राज्य सरकार, पंचायती राज एवं नगरपालिकाएँ।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</si>
  <si>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राज्य सरकार, पंचायती राज एवं नगरपालिकाएँ (भाग 2/2)</t>
  </si>
  <si>
    <t xml:space="preserve">त्वरित पुनरावृत्ति: गणित III: समय-कार्य, समय-चाल-दूरी एवं ब्याज (भाग 4/4)</t>
  </si>
  <si>
    <t xml:space="preserve">पुनरावृत्ति: संवैधानिक एवं गैर-संवैधानिक निकाय (भाग 1/2)</t>
  </si>
  <si>
    <t xml:space="preserve">त्वरित पुनरावृत्ति: गणित IV: बीजगणित, ज्यामिति, क्षेत्रमिति एवं त्रिकोणमिति (भाग 1/4)</t>
  </si>
  <si>
    <t xml:space="preserve">पुनरावृत्ति: संवैधानिक एवं गैर-संवैधानिक निकाय (भाग 2/2)</t>
  </si>
  <si>
    <t xml:space="preserve">त्वरित पुनरावृत्ति: गणित IV: बीजगणित, ज्यामिति, क्षेत्रमिति एवं त्रिकोणमिति (भाग 2/4)</t>
  </si>
  <si>
    <t xml:space="preserve">पुनरावृत्ति: शासन, अधिकार एवं सामाजिक न्याय</t>
  </si>
  <si>
    <t xml:space="preserve">त्वरित पुनरावृत्ति: गणित IV: बीजगणित, ज्यामिति, क्षेत्रमिति एवं त्रिकोणमिति (भाग 3/4)</t>
  </si>
  <si>
    <t xml:space="preserve">पुनरावृत्ति: मूल अवधारणाएँ, राष्ट्रीय आय एवं मुद्रास्फीति (भाग 1/3)</t>
  </si>
  <si>
    <t xml:space="preserve">त्वरित पुनरावृत्ति: गणित IV: बीजगणित, ज्यामिति, क्षेत्रमिति एवं त्रिकोणमिति (भाग 4/4)</t>
  </si>
  <si>
    <t xml:space="preserve">पुनरावृत्ति: मूल अवधारणाएँ, राष्ट्रीय आय एवं मुद्रास्फीति (भाग 2/3)</t>
  </si>
  <si>
    <t xml:space="preserve">त्वरित पुनरावृत्ति: गणित V: आँकड़ा व्याख्या एवं सांख्यिकी (भाग 1/3)</t>
  </si>
  <si>
    <t xml:space="preserve">इस सप्ताह के विषय दोहराएँ: राज्य सरकार, पंचायती राज एवं नगरपालिकाएँ; संवैधानिक एवं गैर-संवैधानिक निकाय; शासन, अधिकार एवं सामाजिक न्याय; मूल अवधारणाएँ, राष्ट्रीय आय एवं मुद्रास्फीति।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</si>
  <si>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मूल अवधारणाएँ, राष्ट्रीय आय एवं मुद्रास्फीति (भाग 3/3)</t>
  </si>
  <si>
    <t xml:space="preserve">त्वरित पुनरावृत्ति: गणित V: आँकड़ा व्याख्या एवं सांख्यिकी (भाग 2/3)</t>
  </si>
  <si>
    <t xml:space="preserve">पुनरावृत्ति: नियोजन, गरीबी एवं बेरोज़गारी (भाग 1/2)</t>
  </si>
  <si>
    <t xml:space="preserve">त्वरित पुनरावृत्ति: गणित V: आँकड़ा व्याख्या एवं सांख्यिकी (भाग 3/3)</t>
  </si>
  <si>
    <t xml:space="preserve">पुनरावृत्ति: नियोजन, गरीबी एवं बेरोज़गारी (भाग 2/2)</t>
  </si>
  <si>
    <t xml:space="preserve">त्वरित पुनरावृत्ति: तर्कशक्ति I: श्रेणी, कोडिंग-डिकोडिंग एवं सादृश्य (भाग 1/2)</t>
  </si>
  <si>
    <t xml:space="preserve">पुनरावृत्ति: मुद्रा, बैंकिंग एवं मौद्रिक नीति (भाग 1/2)</t>
  </si>
  <si>
    <t xml:space="preserve">त्वरित पुनरावृत्ति: तर्कशक्ति I: श्रेणी, कोडिंग-डिकोडिंग एवं सादृश्य (भाग 2/2)</t>
  </si>
  <si>
    <t xml:space="preserve">पुनरावृत्ति: मुद्रा, बैंकिंग एवं मौद्रिक नीति (भाग 2/2)</t>
  </si>
  <si>
    <t xml:space="preserve">त्वरित पुनरावृत्ति: तर्कशक्ति II: दिशा, रक्त संबंध, न्यायवाक्य एवं पहेलियाँ (भाग 1/5)</t>
  </si>
  <si>
    <t xml:space="preserve">पुनरावृत्ति: सार्वजनिक वित्त: बजट, कराधान एवं GST (भाग 1/2)</t>
  </si>
  <si>
    <t xml:space="preserve">त्वरित पुनरावृत्ति: तर्कशक्ति II: दिशा, रक्त संबंध, न्यायवाक्य एवं पहेलियाँ (भाग 2/5)</t>
  </si>
  <si>
    <t xml:space="preserve">इस सप्ताह के विषय दोहराएँ: मूल अवधारणाएँ, राष्ट्रीय आय एवं मुद्रास्फीति; नियोजन, गरीबी एवं बेरोज़गारी; मुद्रा, बैंकिंग एवं मौद्रिक नीति; सार्वजनिक वित्त: बजट, कराधान एवं GST।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</si>
  <si>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सार्वजनिक वित्त: बजट, कराधान एवं GST (भाग 2/2)</t>
  </si>
  <si>
    <t xml:space="preserve">त्वरित पुनरावृत्ति: तर्कशक्ति II: दिशा, रक्त संबंध, न्यायवाक्य एवं पहेलियाँ (भाग 3/5)</t>
  </si>
  <si>
    <t xml:space="preserve">पुनरावृत्ति: कृषि अर्थव्यवस्था</t>
  </si>
  <si>
    <t xml:space="preserve">त्वरित पुनरावृत्ति: तर्कशक्ति II: दिशा, रक्त संबंध, न्यायवाक्य एवं पहेलियाँ (भाग 4/5)</t>
  </si>
  <si>
    <t xml:space="preserve">पुनरावृत्ति: उद्योग, सेवाएँ एवं अवसंरचना (भाग 1/2)</t>
  </si>
  <si>
    <t xml:space="preserve">त्वरित पुनरावृत्ति: तर्कशक्ति II: दिशा, रक्त संबंध, न्यायवाक्य एवं पहेलियाँ (भाग 5/5)</t>
  </si>
  <si>
    <t xml:space="preserve">पुनरावृत्ति: उद्योग, सेवाएँ एवं अवसंरचना (भाग 2/2)</t>
  </si>
  <si>
    <t xml:space="preserve">त्वरित पुनरावृत्ति: हिंदी व्याकरण I: वर्ण, संधि, समास, उपसर्ग-प्रत्यय (भाग 1/2)</t>
  </si>
  <si>
    <t xml:space="preserve">पुनरावृत्ति: बाह्य क्षेत्र एवं अंतर्राष्ट्रीय संस्थाएँ</t>
  </si>
  <si>
    <t xml:space="preserve">त्वरित पुनरावृत्ति: हिंदी व्याकरण I: वर्ण, संधि, समास, उपसर्ग-प्रत्यय (भाग 2/2)</t>
  </si>
  <si>
    <t xml:space="preserve">पुनरावृत्ति: पूँजी बाज़ार, बीमा, आर्थिक सर्वेक्षण एवं बजट (भाग 1/2)</t>
  </si>
  <si>
    <t xml:space="preserve">त्वरित पुनरावृत्ति: हिंदी व्याकरण II: वाक्य शुद्धि, मुहावरे, पर्यायवाची (भाग 1/4)</t>
  </si>
  <si>
    <t xml:space="preserve">इस सप्ताह के विषय दोहराएँ: सार्वजनिक वित्त: बजट, कराधान एवं GST; कृषि अर्थव्यवस्था; उद्योग, सेवाएँ एवं अवसंरचना; बाह्य क्षेत्र एवं अंतर्राष्ट्रीय संस्थाएँ; पूँजी बाज़ार, बीमा, आर्थिक सर्वेक्षण एवं बजट। त्रुटि-लॉग अद्यतन करें; 20 कमज़ोर बिंदु सूचीबद्ध करें; संक्षिप्त नोट्स दोबारा पढ़ें।</t>
  </si>
  <si>
    <t xml:space="preserve">पुनरावृत्ति: पूँजी बाज़ार, बीमा, आर्थिक सर्वेक्षण एवं बजट (भाग 2/2)</t>
  </si>
  <si>
    <t xml:space="preserve">त्वरित पुनरावृत्ति: हिंदी व्याकरण II: वाक्य शुद्धि, मुहावरे, पर्यायवाची (भाग 2/4)</t>
  </si>
  <si>
    <t xml:space="preserve">पुनरावृत्ति: पारिस्थितिकी एवं पारितंत्र (भाग 1/2)</t>
  </si>
  <si>
    <t xml:space="preserve">त्वरित पुनरावृत्ति: हिंदी व्याकरण II: वाक्य शुद्धि, मुहावरे, पर्यायवाची (भाग 3/4)</t>
  </si>
  <si>
    <t xml:space="preserve">पुनरावृत्ति: पारिस्थितिकी एवं पारितंत्र (भाग 2/2)</t>
  </si>
  <si>
    <t xml:space="preserve">त्वरित पुनरावृत्ति: हिंदी व्याकरण II: वाक्य शुद्धि, मुहावरे, पर्यायवाची (भाग 4/4)</t>
  </si>
  <si>
    <t xml:space="preserve">पुनरावृत्ति: जैव विविधता एवं संरक्षण</t>
  </si>
  <si>
    <t xml:space="preserve">त्वरित पुनरावृत्ति: हिंदी लेखन: गद्यांश, पत्र, निबंध एवं अनुवाद (भाग 1/3)</t>
  </si>
  <si>
    <t xml:space="preserve">पुनरावृत्ति: जलवायु परिवर्तन, प्रदूषण एवं पर्यावरण कानून (भाग 1/2)</t>
  </si>
  <si>
    <t xml:space="preserve">त्वरित पुनरावृत्ति: हिंदी लेखन: गद्यांश, पत्र, निबंध एवं अनुवाद (भाग 2/3)</t>
  </si>
  <si>
    <t xml:space="preserve">पुनरावृत्ति: जलवायु परिवर्तन, प्रदूषण एवं पर्यावरण कानून (भाग 2/2)</t>
  </si>
  <si>
    <t xml:space="preserve">त्वरित पुनरावृत्ति: हिंदी लेखन: गद्यांश, पत्र, निबंध एवं अनुवाद (भाग 3/3)</t>
  </si>
  <si>
    <t xml:space="preserve">इस सप्ताह के विषय दोहराएँ: पूँजी बाज़ार, बीमा, आर्थिक सर्वेक्षण एवं बजट; पारिस्थितिकी एवं पारितंत्र; जैव विविधता एवं संरक्षण; जलवायु परिवर्तन, प्रदूषण एवं पर्यावरण कानून। त्रुटि-लॉग अद्यतन करें; 20 कमज़ोर बिंदु सूचीबद्ध करें; संक्षिप्त नोट्स दोबारा पढ़ें।</t>
  </si>
  <si>
    <t xml:space="preserve">सेक्शनल टेस्ट: इतिहास, कला एवं संस्कृति + विश्लेषण</t>
  </si>
  <si>
    <t xml:space="preserve">परीक्षा जैसी परिस्थितियों में हल करें → अनुमान वाले प्रश्न चिह्नित करें → हर गलत/छूटे प्रश्न का विश्लेषण करें → त्रुटि-लॉग व सूत्र/तथ्य पत्रक अद्यतन करें</t>
  </si>
  <si>
    <t xml:space="preserve">कमज़ोर क्षेत्र सुधार: इतिहास एवं संस्कृति (त्रुटि-लॉग के विषय)</t>
  </si>
  <si>
    <t xml:space="preserve">टेस्ट विश्लेषण: 2 घंटे (सटीकता, समय, ऋणात्मक अंक)</t>
  </si>
  <si>
    <t xml:space="preserve">त्रुटि-लॉग के बिंदु दोहराएँ (30 मिनट)</t>
  </si>
  <si>
    <t xml:space="preserve">सेक्शनल टेस्ट: भूगोल एवं पर्यावरण + विश्लेषण</t>
  </si>
  <si>
    <t xml:space="preserve">कमज़ोर क्षेत्र सुधार: भूगोल (त्रुटि-लॉग के विषय)</t>
  </si>
  <si>
    <t xml:space="preserve">सेक्शनल टेस्ट: राजव्यवस्था एवं शासन + विश्लेषण</t>
  </si>
  <si>
    <t xml:space="preserve">कमज़ोर क्षेत्र सुधार: राजव्यवस्था (त्रुटि-लॉग के विषय)</t>
  </si>
  <si>
    <t xml:space="preserve">सेक्शनल टेस्ट: अर्थव्यवस्था एवं विज्ञान-प्रौद्योगिकी + विश्लेषण</t>
  </si>
  <si>
    <t xml:space="preserve">कमज़ोर क्षेत्र सुधार: अर्थव्यवस्था (त्रुटि-लॉग के विषय)</t>
  </si>
  <si>
    <t xml:space="preserve">सेक्शनल टेस्ट: बिहार विशेष + गणित-तर्कशक्ति + विश्लेषण</t>
  </si>
  <si>
    <t xml:space="preserve">कमज़ोर क्षेत्र सुधार: बिहार विशेष (त्रुटि-लॉग के विषय)</t>
  </si>
  <si>
    <t xml:space="preserve">पूर्ण-लंबाई प्रारंभिक परीक्षा मॉक (150 प्रश्न, 2 घंटे) + गहन विश्लेषण</t>
  </si>
  <si>
    <t xml:space="preserve">कमज़ोर क्षेत्र सुधार: विज्ञान (त्रुटि-लॉग के विषय)</t>
  </si>
  <si>
    <t xml:space="preserve">इस सप्ताह के विषय दोहराएँ: टेस्ट सीरीज़। त्रुटि-लॉग अद्यतन करें; 20 कमज़ोर बिंदु सूचीबद्ध करें; संक्षिप्त नोट्स दोबारा पढ़ें।</t>
  </si>
  <si>
    <t xml:space="preserve">लक्ष्य अंक: 78%+ (साप्ताहिक शीट में अपना स्कोर दर्ज करें)</t>
  </si>
  <si>
    <t xml:space="preserve">कमज़ोर क्षेत्र सुधार: गणित (त्रुटि-लॉग के विषय)</t>
  </si>
  <si>
    <t xml:space="preserve">कमज़ोर क्षेत्र सुधार: तर्कशक्ति (त्रुटि-लॉग के विषय)</t>
  </si>
  <si>
    <t xml:space="preserve">पूर्ण-लंबाई प्रारंभिक परीक्षा मॉक (150 प्रश्न, 2 घंटे) + विश्लेषण</t>
  </si>
  <si>
    <t xml:space="preserve">वास्तविक परीक्षा जैसा अभ्यास (समय, OMR); विश्लेषण करें; अनुमान व समय की रणनीति सुधारें</t>
  </si>
  <si>
    <t xml:space="preserve">पिछले 12 महीनों के करेंट अफेयर्स की पुनरावृत्ति</t>
  </si>
  <si>
    <t xml:space="preserve">मॉक विश्लेषण: 2 घंटे</t>
  </si>
  <si>
    <t xml:space="preserve">त्रुटि-लॉग + फ्लैश-कार्ड पुनरावृत्ति (45 मिनट)</t>
  </si>
  <si>
    <t xml:space="preserve">मुख्य परीक्षा उत्तर-लेखन टेस्ट (2 पेपर, 3 घंटे) + स्व-मूल्यांकन</t>
  </si>
  <si>
    <t xml:space="preserve">बिहार विशेष अंतिम पुनरावृत्ति (आर्थिक सर्वेक्षण, योजनाएँ, सामान्य ज्ञान)</t>
  </si>
  <si>
    <t xml:space="preserve">सूत्र पत्रक व तथ्य (गणित, विज्ञान)</t>
  </si>
  <si>
    <t xml:space="preserve">स्थैतिक सामान्य ज्ञान के संक्षिप्त नोट्स (इतिहास, भूगोल)</t>
  </si>
  <si>
    <t xml:space="preserve">राजव्यवस्था व अर्थव्यवस्था के संक्षिप्त नोट्स</t>
  </si>
  <si>
    <t xml:space="preserve">पर्यावरण, विज्ञान-प्रौद्योगिकी व हिंदी की त्वरित पुनरावृत्ति</t>
  </si>
  <si>
    <t xml:space="preserve">लक्ष्य अंक: 85%+ (साप्ताहिक शीट में अपना स्कोर दर्ज करें)</t>
  </si>
  <si>
    <t xml:space="preserve">हल्की पुनरावृत्ति: इतिहास व भूगोल के संक्षिप्त नोट्स</t>
  </si>
  <si>
    <t xml:space="preserve">कोई नया विषय नहीं। आत्मविश्वास बढ़ाएँ, 7-8 घंटे सोएँ, परीक्षा-दिवस की तैयारी (प्रवेश-पत्र, केंद्र का भ्रमण, दस्तावेज़)</t>
  </si>
  <si>
    <t xml:space="preserve">केवल संक्षिप्त नोट्स</t>
  </si>
  <si>
    <t xml:space="preserve">केवल मुख्य शीर्षक पढ़ें</t>
  </si>
  <si>
    <t xml:space="preserve">हल्की पुनरावृत्ति: राजव्यवस्था व अर्थव्यवस्था के संक्षिप्त नोट्स</t>
  </si>
  <si>
    <t xml:space="preserve">हल्की पुनरावृत्ति: बिहार विशेष व करेंट अफेयर्स</t>
  </si>
  <si>
    <t xml:space="preserve">अंतिम अर्ध-लंबाई मॉक (75 प्रश्न) — कोई नया विषय नहीं</t>
  </si>
  <si>
    <t xml:space="preserve">त्रुटि-लॉग + सूत्र दोहराएँ; परीक्षा-दिवस के दस्तावेज़ व्यवस्थित करें</t>
  </si>
  <si>
    <t xml:space="preserve">विश्राम, नींद व हल्की सैर — अध्ययन नहीं</t>
  </si>
  <si>
    <t xml:space="preserve">कोई टेस्ट नहीं। शांत व आत्मविश्वासी रहें।</t>
  </si>
  <si>
    <t xml:space="preserve">कोई नया अध्ययन नहीं</t>
  </si>
  <si>
    <t xml:space="preserve">हल्की पुनरावृत्ति (1 घंटा)</t>
  </si>
  <si>
    <t xml:space="preserve">विषय सूची – हर विषय की सैद्धांतिक रूपरेखा, नोट्स स्रोत व YouTube लिंक</t>
  </si>
  <si>
    <t xml:space="preserve">लिंक हर कोचिंग चैनल + विषय की YouTube खोज के हैं (हमेशा काम करते हैं)। खोलकर उस चैनल का नवीनतम पूर्ण व्याख्यान/प्लेलिस्ट चुनें।</t>
  </si>
  <si>
    <t xml:space="preserve">क्र.</t>
  </si>
  <si>
    <t xml:space="preserve">विषय-क्षेत्र</t>
  </si>
  <si>
    <t xml:space="preserve">विषय</t>
  </si>
  <si>
    <t xml:space="preserve">सैद्धांतिक मुख्य बिंदु (अध्ययन रूपरेखा)</t>
  </si>
  <si>
    <t xml:space="preserve">निर्धारित प्रथम तिथि</t>
  </si>
  <si>
    <t xml:space="preserve">अनुशंसित नोट्स / पुस्तकें</t>
  </si>
  <si>
    <t xml:space="preserve">YouTube – दृष्टि IAS</t>
  </si>
  <si>
    <t xml:space="preserve">YouTube – BPSC वाला</t>
  </si>
  <si>
    <t xml:space="preserve">YouTube – विजन IAS</t>
  </si>
  <si>
    <t xml:space="preserve">YouTube – EduTeria / अन्य</t>
  </si>
  <si>
    <t xml:space="preserve">सिद्धांत पढ़ लिया?</t>
  </si>
  <si>
    <t xml:space="preserve">सैद्धांतिक अध्ययन – वेबसाइट लिंक (थ्योरी पढ़ें)</t>
  </si>
  <si>
    <t xml:space="preserve">P01</t>
  </si>
  <si>
    <t xml:space="preserve">प्रागैतिहास एवं सिंधु घाटी सभ्यता</t>
  </si>
  <si>
    <t xml:space="preserve">प्राथमिक (चरण 1)</t>
  </si>
  <si>
    <t xml:space="preserve">▶ विजन IAS</t>
  </si>
  <si>
    <t xml:space="preserve">▶ EduTeria</t>
  </si>
  <si>
    <t xml:space="preserve">नहीं</t>
  </si>
  <si>
    <t xml:space="preserve">P02</t>
  </si>
  <si>
    <t xml:space="preserve">वैदिक काल एवं महाजनपद</t>
  </si>
  <si>
    <t xml:space="preserve">P03</t>
  </si>
  <si>
    <t xml:space="preserve">जैन, बौद्ध एवं अन्य नास्तिक संप्रदाय</t>
  </si>
  <si>
    <t xml:space="preserve">P04</t>
  </si>
  <si>
    <t xml:space="preserve">मौर्य साम्राज्य</t>
  </si>
  <si>
    <t xml:space="preserve">P05</t>
  </si>
  <si>
    <t xml:space="preserve">P06</t>
  </si>
  <si>
    <t xml:space="preserve">गुप्त साम्राज्य, हर्षवर्धन एवं पाल वंश</t>
  </si>
  <si>
    <t xml:space="preserve">P07</t>
  </si>
  <si>
    <t xml:space="preserve">पूर्व मध्यकालीन भारत (राजपूत, चोल, चालुक्य, पल्लव)</t>
  </si>
  <si>
    <t xml:space="preserve">P08</t>
  </si>
  <si>
    <t xml:space="preserve">दिल्ली सल्तनत</t>
  </si>
  <si>
    <t xml:space="preserve">P09</t>
  </si>
  <si>
    <t xml:space="preserve">P10</t>
  </si>
  <si>
    <t xml:space="preserve">मुगल साम्राज्य</t>
  </si>
  <si>
    <t xml:space="preserve">P11</t>
  </si>
  <si>
    <t xml:space="preserve">P12</t>
  </si>
  <si>
    <t xml:space="preserve">यूरोपीय आगमन एवं ब्रिटिश विस्तार</t>
  </si>
  <si>
    <t xml:space="preserve">P13</t>
  </si>
  <si>
    <t xml:space="preserve">1857 का विद्रोह</t>
  </si>
  <si>
    <t xml:space="preserve">P14</t>
  </si>
  <si>
    <t xml:space="preserve">P15</t>
  </si>
  <si>
    <t xml:space="preserve">प्रारंभिक राष्ट्रवाद: कांग्रेस, नरमपंथी, गरमपंथी, स्वदेशी</t>
  </si>
  <si>
    <t xml:space="preserve">P16</t>
  </si>
  <si>
    <t xml:space="preserve">गांधी युग: चंपारण से भारत छोड़ो तक</t>
  </si>
  <si>
    <t xml:space="preserve">P17</t>
  </si>
  <si>
    <t xml:space="preserve">क्रांतिकारी आंदोलन, संवैधानिक विकास एवं विभाजन</t>
  </si>
  <si>
    <t xml:space="preserve">P18</t>
  </si>
  <si>
    <t xml:space="preserve">P19</t>
  </si>
  <si>
    <t xml:space="preserve">भारतीय कला एवं स्थापत्य</t>
  </si>
  <si>
    <t xml:space="preserve">P20</t>
  </si>
  <si>
    <t xml:space="preserve">प्रदर्शन कलाएँ, साहित्य, त्योहार एवं यूनेस्को स्थल</t>
  </si>
  <si>
    <t xml:space="preserve">P21</t>
  </si>
  <si>
    <t xml:space="preserve">ब्रह्मांड, सौरमंडल एवं पृथ्वी</t>
  </si>
  <si>
    <t xml:space="preserve">P22</t>
  </si>
  <si>
    <t xml:space="preserve">भू-आकृति विज्ञान: पृथ्वी का आंतरिक भाग, चट्टानें एवं स्थलरूप</t>
  </si>
  <si>
    <t xml:space="preserve">P23</t>
  </si>
  <si>
    <t xml:space="preserve">जलवायु विज्ञान: वायुमंडल, पवनें एवं जलवायु</t>
  </si>
  <si>
    <t xml:space="preserve">P24</t>
  </si>
  <si>
    <t xml:space="preserve">समुद्र विज्ञान</t>
  </si>
  <si>
    <t xml:space="preserve">P25</t>
  </si>
  <si>
    <t xml:space="preserve">भारत का भौतिक स्वरूप</t>
  </si>
  <si>
    <t xml:space="preserve">P26</t>
  </si>
  <si>
    <t xml:space="preserve">भारतीय अपवाह तंत्र</t>
  </si>
  <si>
    <t xml:space="preserve">P27</t>
  </si>
  <si>
    <t xml:space="preserve">भारत की जलवायु, मानसून, मृदा एवं वनस्पति</t>
  </si>
  <si>
    <t xml:space="preserve">P28</t>
  </si>
  <si>
    <t xml:space="preserve">भारतीय कृषि</t>
  </si>
  <si>
    <t xml:space="preserve">P29</t>
  </si>
  <si>
    <t xml:space="preserve">खनिज, ऊर्जा एवं उद्योग</t>
  </si>
  <si>
    <t xml:space="preserve">P30</t>
  </si>
  <si>
    <t xml:space="preserve">परिवहन, जनसंख्या, जनगणना एवं नगरीकरण</t>
  </si>
  <si>
    <t xml:space="preserve">P31</t>
  </si>
  <si>
    <t xml:space="preserve">विश्व भूगोल</t>
  </si>
  <si>
    <t xml:space="preserve">P32</t>
  </si>
  <si>
    <t xml:space="preserve">संविधान निर्माण, प्रस्तावना एवं विशेषताएँ</t>
  </si>
  <si>
    <t xml:space="preserve">P33</t>
  </si>
  <si>
    <t xml:space="preserve">संघ, नागरिकता एवं मौलिक अधिकार</t>
  </si>
  <si>
    <t xml:space="preserve">P34</t>
  </si>
  <si>
    <t xml:space="preserve">नीति निदेशक तत्व, मौलिक कर्तव्य एवं संविधान संशोधन</t>
  </si>
  <si>
    <t xml:space="preserve">P35</t>
  </si>
  <si>
    <t xml:space="preserve">संघ की कार्यपालिका</t>
  </si>
  <si>
    <t xml:space="preserve">P36</t>
  </si>
  <si>
    <t xml:space="preserve">संसद</t>
  </si>
  <si>
    <t xml:space="preserve">P37</t>
  </si>
  <si>
    <t xml:space="preserve">न्यायपालिका</t>
  </si>
  <si>
    <t xml:space="preserve">P38</t>
  </si>
  <si>
    <t xml:space="preserve">संघवाद: केंद्र–राज्य संबंध एवं आपातकाल</t>
  </si>
  <si>
    <t xml:space="preserve">P39</t>
  </si>
  <si>
    <t xml:space="preserve">राज्य सरकार, पंचायती राज एवं नगरपालिकाएँ</t>
  </si>
  <si>
    <t xml:space="preserve">P40</t>
  </si>
  <si>
    <t xml:space="preserve">संवैधानिक एवं गैर-संवैधानिक निकाय</t>
  </si>
  <si>
    <t xml:space="preserve">P41</t>
  </si>
  <si>
    <t xml:space="preserve">शासन, अधिकार एवं सामाजिक न्याय</t>
  </si>
  <si>
    <t xml:space="preserve">P42</t>
  </si>
  <si>
    <t xml:space="preserve">मूल अवधारणाएँ, राष्ट्रीय आय एवं मुद्रास्फीति</t>
  </si>
  <si>
    <t xml:space="preserve">P43</t>
  </si>
  <si>
    <t xml:space="preserve">नियोजन, गरीबी एवं बेरोज़गारी</t>
  </si>
  <si>
    <t xml:space="preserve">P44</t>
  </si>
  <si>
    <t xml:space="preserve">मुद्रा, बैंकिंग एवं मौद्रिक नीति</t>
  </si>
  <si>
    <t xml:space="preserve">P45</t>
  </si>
  <si>
    <t xml:space="preserve">सार्वजनिक वित्त: बजट, कराधान एवं GST</t>
  </si>
  <si>
    <t xml:space="preserve">P46</t>
  </si>
  <si>
    <t xml:space="preserve">कृषि अर्थव्यवस्था</t>
  </si>
  <si>
    <t xml:space="preserve">P47</t>
  </si>
  <si>
    <t xml:space="preserve">उद्योग, सेवाएँ एवं अवसंरचना</t>
  </si>
  <si>
    <t xml:space="preserve">P48</t>
  </si>
  <si>
    <t xml:space="preserve">बाह्य क्षेत्र एवं अंतर्राष्ट्रीय संस्थाएँ</t>
  </si>
  <si>
    <t xml:space="preserve">P49</t>
  </si>
  <si>
    <t xml:space="preserve">पूँजी बाज़ार, बीमा, आर्थिक सर्वेक्षण एवं बजट</t>
  </si>
  <si>
    <t xml:space="preserve">P50</t>
  </si>
  <si>
    <t xml:space="preserve">पारिस्थितिकी एवं पारितंत्र</t>
  </si>
  <si>
    <t xml:space="preserve">P51</t>
  </si>
  <si>
    <t xml:space="preserve">जैव विविधता एवं संरक्षण</t>
  </si>
  <si>
    <t xml:space="preserve">P52</t>
  </si>
  <si>
    <t xml:space="preserve">जलवायु परिवर्तन, प्रदूषण एवं पर्यावरण कानून</t>
  </si>
  <si>
    <t xml:space="preserve">S01</t>
  </si>
  <si>
    <t xml:space="preserve">बिहार – प्राचीन इतिहास</t>
  </si>
  <si>
    <t xml:space="preserve">मगध, मौर्य व गुप्तकालीन बिहार; नालंदा, विक्रमशिला, ओदंतपुरी विश्वविद्यालय; बौद्ध व जैन स्थल; पालकाल</t>
  </si>
  <si>
    <t xml:space="preserve">द्वितीयक (चरण 1)</t>
  </si>
  <si>
    <t xml:space="preserve">📖 पढ़ें: दृष्टि • जागरण जोश • GKToday • Testbook • बिहार सरकार</t>
  </si>
  <si>
    <t xml:space="preserve">S02</t>
  </si>
  <si>
    <t xml:space="preserve">बिहार – मध्यकालीन एवं औपनिवेशिक इतिहास</t>
  </si>
  <si>
    <t xml:space="preserve">शेरशाह व सासाराम; मुगलकालीन बिहार सूबा; प्लासी–बक्सर; स्थायी बंदोबस्त; चंपारण, नील आंदोलन, बिहार में 1857; जनजातीय विद्रोह</t>
  </si>
  <si>
    <t xml:space="preserve">S03</t>
  </si>
  <si>
    <t xml:space="preserve">बिहार – स्वतंत्रता संग्राम एवं आधुनिक राजनीति</t>
  </si>
  <si>
    <t xml:space="preserve">चंपारण सत्याग्रह, बिहार में भारत छोड़ो 1942; डॉ. राजेंद्र प्रसाद, श्रीकृष्ण सिंह, जेपी; बिहार का गठन 1912 व झारखंड अलगाव 2000; जेपी आंदोलन 1974</t>
  </si>
  <si>
    <t xml:space="preserve">S04</t>
  </si>
  <si>
    <t xml:space="preserve">बिहार का मैदान व कैमूर/राजगीर की पहाड़ियाँ; गंगा, कोसी, गंडक, सोन, बागमती; बाढ़ व सूखा; मृदा; वन व वन्यजीव; जलवायु; ज़िले व प्रमंडल</t>
  </si>
  <si>
    <t xml:space="preserve">S05</t>
  </si>
  <si>
    <t xml:space="preserve">बिहार – कृषि, सिंचाई एवं उद्योग</t>
  </si>
  <si>
    <t xml:space="preserve">फसलें (धान, गेहूँ, मक्का, लीची, मखाना); कृषि रोड मैप; नहर व नलकूप; खनिज; चीनी, जूट, खाद्य प्रसंस्करण; बिहार औद्योगिक नीति</t>
  </si>
  <si>
    <t xml:space="preserve">S06</t>
  </si>
  <si>
    <t xml:space="preserve">बिहार – अर्थव्यवस्था, बजट एवं सरकारी योजनाएँ</t>
  </si>
  <si>
    <t xml:space="preserve">नवीनतम बिहार आर्थिक सर्वेक्षण; GSDP, प्रति व्यक्ति आय; बिहार बजट; जीविका, सात निश्चय, हर घर नल का जल, मुख्यमंत्री कन्या उत्थान व अन्य योजनाएँ</t>
  </si>
  <si>
    <t xml:space="preserve">S07</t>
  </si>
  <si>
    <t xml:space="preserve">बिहार – राजव्यवस्था एवं प्रशासन</t>
  </si>
  <si>
    <t xml:space="preserve">राज्यपाल, मुख्यमंत्री, विधानसभा/विधान परिषद; बिहार पंचायती राज अधिनियम; बिहार लोक सेवा आयोग; लोकायुक्त; राज्य आयोग; प्रमुख राज्य कानून</t>
  </si>
  <si>
    <t xml:space="preserve">S08</t>
  </si>
  <si>
    <t xml:space="preserve">बिहार – कला, संस्कृति, साहित्य एवं पर्यटन</t>
  </si>
  <si>
    <t xml:space="preserve">मधुबनी, मंजूषा, सुजनी कला; लोकगीत व लोकनृत्य; त्योहार (छठ, सामा-चकेवा); भाषाएँ (मैथिली, भोजपुरी, मगही); पर्यटन स्थल; GI टैग</t>
  </si>
  <si>
    <t xml:space="preserve">S09</t>
  </si>
  <si>
    <t xml:space="preserve">बिहार – जनसांख्यिकी, शिक्षा एवं स्वास्थ्य</t>
  </si>
  <si>
    <t xml:space="preserve">जनगणना संकेतक; साक्षरता, लिंगानुपात; शिक्षा व स्वास्थ्य योजनाएँ; विश्वविद्यालय; सामाजिक संकेतक; SDG सूचकांक; प्रवासन</t>
  </si>
  <si>
    <t xml:space="preserve">S10</t>
  </si>
  <si>
    <t xml:space="preserve">भौतिकी I: गति, बल, कार्य एवं गुरुत्वाकर्षण</t>
  </si>
  <si>
    <t xml:space="preserve">SI मात्रक; न्यूटन के नियम; कार्य-ऊर्जा-शक्ति; गुरुत्वाकर्षण; दाब, आर्किमिडीज़ का सिद्धांत व घनत्व</t>
  </si>
  <si>
    <t xml:space="preserve">S11</t>
  </si>
  <si>
    <t xml:space="preserve">भौतिकी II: ऊष्मा, प्रकाश, ध्वनि, विद्युत एवं आधुनिक भौतिकी</t>
  </si>
  <si>
    <t xml:space="preserve">ऊष्मा व ताप; परावर्तन/अपवर्तन, लेंस; ध्वनि; धारा, ओम का नियम, चुंबकत्व; नाभिकीय भौतिकी; महत्वपूर्ण खोजें</t>
  </si>
  <si>
    <t xml:space="preserve">S12</t>
  </si>
  <si>
    <t xml:space="preserve">रसायन I: पदार्थ, परमाणु, आवर्त सारणी एवं अम्ल-क्षार</t>
  </si>
  <si>
    <t xml:space="preserve">पदार्थ की अवस्थाएँ; परमाणु संरचना; आवर्ती प्रवृत्तियाँ; रासायनिक आबंधन; अम्ल, क्षार, लवण व pH</t>
  </si>
  <si>
    <t xml:space="preserve">S13</t>
  </si>
  <si>
    <t xml:space="preserve">रसायन II: धातु, कार्बन यौगिक एवं दैनिक जीवन में रसायन</t>
  </si>
  <si>
    <t xml:space="preserve">धातु व अधातु; मिश्रधातु; कार्बन व हाइड्रोकार्बन; बहुलक; ईंधन; साबुन व अपमार्जक; उर्वरक</t>
  </si>
  <si>
    <t xml:space="preserve">S14</t>
  </si>
  <si>
    <t xml:space="preserve">जीव विज्ञान I: कोशिका, पादप एवं जंतु जगत</t>
  </si>
  <si>
    <t xml:space="preserve">कोशिका संरचना व विभाजन; ऊतक; वर्गीकरण; प्रकाश संश्लेषण व पादप कार्यिकी; आनुवंशिकी की मूल बातें</t>
  </si>
  <si>
    <t xml:space="preserve">S15</t>
  </si>
  <si>
    <t xml:space="preserve">पाचन, श्वसन, परिसंचरण, उत्सर्जन, तंत्रिका व अंतःस्रावी तंत्र; विटामिन व खनिज; रोग व टीके</t>
  </si>
  <si>
    <t xml:space="preserve">S16</t>
  </si>
  <si>
    <t xml:space="preserve">विज्ञान एवं प्रौद्योगिकी: अंतरिक्ष, रक्षा, IT एवं उभरती तकनीकें</t>
  </si>
  <si>
    <t xml:space="preserve">ISRO मिशन; मिसाइल व रक्षा तकनीक; नाभिकीय ऊर्जा; जैव प्रौद्योगिकी व GM फसलें; AI, IoT, 5G, क्वांटम, सेमीकंडक्टर; बौद्धिक संपदा अधिकार (IPR)</t>
  </si>
  <si>
    <t xml:space="preserve">S17</t>
  </si>
  <si>
    <t xml:space="preserve">गणित I: संख्या पद्धति, म.स.-ल.स. एवं सरलीकरण</t>
  </si>
  <si>
    <t xml:space="preserve">संख्याओं के प्रकार; विभाज्यता; म.स.(HCF)/ल.स.(LCM); भिन्न, करणी व घातांक; BODMAS शॉर्टकट</t>
  </si>
  <si>
    <t xml:space="preserve">📖 पढ़ें: BYJU'S • Testbook • Adda247 • जागरण जोश</t>
  </si>
  <si>
    <t xml:space="preserve">S18</t>
  </si>
  <si>
    <t xml:space="preserve">गणित II: प्रतिशत, लाभ-हानि, अनुपात एवं औसत</t>
  </si>
  <si>
    <t xml:space="preserve">प्रतिशत; लाभ-हानि-बट्टा; अनुपात-समानुपात; मिश्रण व एलिगेशन; औसत; आयु</t>
  </si>
  <si>
    <t xml:space="preserve">S19</t>
  </si>
  <si>
    <t xml:space="preserve">गणित III: समय-कार्य, समय-चाल-दूरी एवं ब्याज</t>
  </si>
  <si>
    <t xml:space="preserve">कार्य व मज़दूरी; पाइप व टंकी; चाल, रेलगाड़ी, नाव-धारा; साधारण व चक्रवृद्धि ब्याज</t>
  </si>
  <si>
    <t xml:space="preserve">S20</t>
  </si>
  <si>
    <t xml:space="preserve">रैखिक/द्विघात समीकरण; त्रिभुज, वृत्त; क्षेत्रफल-आयतन; त्रिकोणमिति की मूल बातें (कक्षा 10 स्तर)</t>
  </si>
  <si>
    <t xml:space="preserve">S21</t>
  </si>
  <si>
    <t xml:space="preserve">गणित V: आँकड़ा व्याख्या एवं सांख्यिकी</t>
  </si>
  <si>
    <t xml:space="preserve">तालिका, दंड/रेखा/वृत्त आलेख; माध्य-माध्यिका-बहुलक; प्रायिकता की मूल बातें</t>
  </si>
  <si>
    <t xml:space="preserve">S22</t>
  </si>
  <si>
    <t xml:space="preserve">तर्कशक्ति I: श्रेणी, कोडिंग-डिकोडिंग एवं सादृश्य</t>
  </si>
  <si>
    <t xml:space="preserve">संख्या/अक्षर श्रेणी; सादृश्य; वर्गीकरण; कोडिंग-डिकोडिंग; विषम पद</t>
  </si>
  <si>
    <t xml:space="preserve">S23</t>
  </si>
  <si>
    <t xml:space="preserve">दिशा ज्ञान; क्रम व रैंकिंग; रक्त संबंध; न्यायवाक्य व वेन आरेख; बैठक व्यवस्था; कैलेंडर व घड़ी</t>
  </si>
  <si>
    <t xml:space="preserve">S24</t>
  </si>
  <si>
    <t xml:space="preserve">हिंदी व्याकरण I: वर्ण, संधि, समास, उपसर्ग-प्रत्यय</t>
  </si>
  <si>
    <t xml:space="preserve">वर्ण विचार, संधि, समास, उपसर्ग-प्रत्यय, संज्ञा-सर्वनाम-विशेषण-क्रिया</t>
  </si>
  <si>
    <t xml:space="preserve">📖 पढ़ें: जागरण जोश • हिंदी व्याकरण • Testbook • Adda247</t>
  </si>
  <si>
    <t xml:space="preserve">S25</t>
  </si>
  <si>
    <t xml:space="preserve">वाक्य शुद्धि, मुहावरे-लोकोक्तियाँ, पर्यायवाची-विलोम-अनेकार्थी, शब्द शुद्धि, तत्सम-तद्भव</t>
  </si>
  <si>
    <t xml:space="preserve">S26</t>
  </si>
  <si>
    <t xml:space="preserve">हिंदी लेखन: गद्यांश, पत्र, निबंध एवं अनुवाद</t>
  </si>
  <si>
    <t xml:space="preserve">अपठित गद्यांश, पत्र लेखन, निबंध, संक्षेपण, अनुवाद (हिंदी-अंग्रेज़ी), हिंदी साहित्य की मूल बातें</t>
  </si>
  <si>
    <t xml:space="preserve">M01</t>
  </si>
  <si>
    <t xml:space="preserve">उत्तर लेखन की मूल बातें: संरचना, भूमिका-मुख्य भाग-निष्कर्ष</t>
  </si>
  <si>
    <t xml:space="preserve">निर्देशात्मक शब्द समझें (चर्चा, विश्लेषण, आलोचनात्मक परीक्षण); 150/250 शब्दों की संरचना; आरेख व फ्लोचार्ट; समय प्रबंधन</t>
  </si>
  <si>
    <t xml:space="preserve">मुख्य परीक्षा कौशल (चरण 2)</t>
  </si>
  <si>
    <t xml:space="preserve">📖 पढ़ें: दृष्टि • विजन • जागरण जोश • Insights</t>
  </si>
  <si>
    <t xml:space="preserve">M02</t>
  </si>
  <si>
    <t xml:space="preserve">उत्तर लेखन – इतिहास एवं संस्कृति</t>
  </si>
  <si>
    <t xml:space="preserve">भारतीय व बिहार इतिहास, स्वतंत्रता संग्राम, कला व संस्कृति पर आदर्श उत्तर; PYQ आधारित अभ्यास</t>
  </si>
  <si>
    <t xml:space="preserve">M03</t>
  </si>
  <si>
    <t xml:space="preserve">उत्तर लेखन – भूगोल एवं आपदा प्रबंधन</t>
  </si>
  <si>
    <t xml:space="preserve">भौतिक, भारतीय व बिहार भूगोल; बाढ़/सूखा/भूकंप प्रबंधन; NDMA व SDMA; संसाधन संबंधी प्रश्न</t>
  </si>
  <si>
    <t xml:space="preserve">M04</t>
  </si>
  <si>
    <t xml:space="preserve">संविधान, संघवाद, संस्थाएँ, ई-गवर्नेंस, कल्याणकारी योजनाएँ, वंचित वर्ग</t>
  </si>
  <si>
    <t xml:space="preserve">M05</t>
  </si>
  <si>
    <t xml:space="preserve">उत्तर लेखन – अर्थव्यवस्था एवं बिहार की अर्थव्यवस्था</t>
  </si>
  <si>
    <t xml:space="preserve">वृद्धि, मुद्रास्फीति, बैंकिंग, बजट, कृषि, उद्योग; बिहार का विकास विरोधाभास व रोडमैप</t>
  </si>
  <si>
    <t xml:space="preserve">M06</t>
  </si>
  <si>
    <t xml:space="preserve">उत्तर लेखन – विज्ञान, प्रौद्योगिकी एवं पर्यावरण</t>
  </si>
  <si>
    <t xml:space="preserve">उभरती तकनीकें, अंतरिक्ष, जैव प्रौद्योगिकी, IPR; जलवायु परिवर्तन, संरक्षण, सतत विकास</t>
  </si>
  <si>
    <t xml:space="preserve">M07</t>
  </si>
  <si>
    <t xml:space="preserve">बाढ़ प्रबंधन (कोसी, गंडक); प्रवासन व प्रेषण; शिक्षा व स्वास्थ्य की कमियाँ; औद्योगिक नीति; कानून-व्यवस्था; महिला सशक्तिकरण; विशेष राज्य दर्जे की माँग</t>
  </si>
  <si>
    <t xml:space="preserve">M08</t>
  </si>
  <si>
    <t xml:space="preserve">गरीबी, जाति, लिंग, जनसंख्या, नगरीकरण, धर्मनिरपेक्षता, सांप्रदायिकता, वैश्वीकरण, क्षेत्रवाद</t>
  </si>
  <si>
    <t xml:space="preserve">M09</t>
  </si>
  <si>
    <t xml:space="preserve">अंतर्राष्ट्रीय संबंध एवं आंतरिक सुरक्षा</t>
  </si>
  <si>
    <t xml:space="preserve">भारत व पड़ोसी देश; लुक/एक्ट ईस्ट; क्वाड, SCO, BRICS, UN; आतंकवाद, नक्सलवाद, साइबर सुरक्षा, सीमा प्रबंधन</t>
  </si>
  <si>
    <t xml:space="preserve">M10</t>
  </si>
  <si>
    <t xml:space="preserve">निबंध लेखन अभ्यास (हिंदी/अंग्रेज़ी)</t>
  </si>
  <si>
    <t xml:space="preserve">निबंध की संरचना; आँकड़ों, उद्धरणों व उदाहरणों का प्रयोग; बिहार-केंद्रित व राष्ट्रीय विषय; प्रति सप्ताह 1 पूर्ण निबंध</t>
  </si>
  <si>
    <t xml:space="preserve">M11</t>
  </si>
  <si>
    <t xml:space="preserve">हिंदी मुख्य परीक्षा: संक्षेपण, पत्र, अनुवाद एवं व्याकरण</t>
  </si>
  <si>
    <t xml:space="preserve">संक्षेपण, औपचारिक पत्र, अनुवाद, व्याकरण सुधार (क्वालिफाइंग पेपर अभ्यास)</t>
  </si>
  <si>
    <t xml:space="preserve">M12</t>
  </si>
  <si>
    <t xml:space="preserve">केस स्टडी, नैतिकता एवं ईमानदारी की मूल बातें</t>
  </si>
  <si>
    <t xml:space="preserve">प्रशासनिक निर्णय-निर्माण के केस; सत्यनिष्ठा, निष्पक्षता, लोकसेवा मूल्य; बिहार प्रशासन के केस</t>
  </si>
  <si>
    <t xml:space="preserve">संसाधन एवं लिंक</t>
  </si>
  <si>
    <t xml:space="preserve">आधिकारिक साइटें + YouTube चैनल खोज। (कोचिंग नोट्स सशुल्क/कॉपीराइट वाले होते हैं – उन्हें कोचिंग के अपने ऐप/साइट/PDF से पढ़ें।)</t>
  </si>
  <si>
    <t xml:space="preserve">संसाधन</t>
  </si>
  <si>
    <t xml:space="preserve">प्रकार</t>
  </si>
  <si>
    <t xml:space="preserve">उपयोग</t>
  </si>
  <si>
    <t xml:space="preserve">लिंक</t>
  </si>
  <si>
    <t xml:space="preserve">BPSC – आधिकारिक वेबसाइट</t>
  </si>
  <si>
    <t xml:space="preserve">आधिकारिक</t>
  </si>
  <si>
    <t xml:space="preserve">अधिसूचना, पाठ्यक्रम, परीक्षा पैटर्न, PYQ, परिणाम</t>
  </si>
  <si>
    <t xml:space="preserve">https://bpsc.bihar.gov.in</t>
  </si>
  <si>
    <t xml:space="preserve">दृष्टि IAS – वेबसाइट</t>
  </si>
  <si>
    <t xml:space="preserve">कोचिंग</t>
  </si>
  <si>
    <t xml:space="preserve">हिंदी नोट्स, दैनिक करेंट अफेयर्स, संपादकीय, अवधारणा लेख</t>
  </si>
  <si>
    <t xml:space="preserve">https://www.drishtiias.com</t>
  </si>
  <si>
    <t xml:space="preserve">दृष्टि IAS – YouTube (BPSC)</t>
  </si>
  <si>
    <t xml:space="preserve">YouTube खोज</t>
  </si>
  <si>
    <t xml:space="preserve">व्याख्यान व करेंट अफेयर्स वीडियो</t>
  </si>
  <si>
    <t xml:space="preserve">https://www.youtube.com/results?search_query=Drishti+IAS+BPSC</t>
  </si>
  <si>
    <t xml:space="preserve">विजन IAS – वेबसाइट</t>
  </si>
  <si>
    <t xml:space="preserve">PT 365, Mains 365, करेंट अफेयर्स पत्रिकाएँ, टेस्ट सीरीज़</t>
  </si>
  <si>
    <t xml:space="preserve">https://visionias.in</t>
  </si>
  <si>
    <t xml:space="preserve">विजन IAS – YouTube</t>
  </si>
  <si>
    <t xml:space="preserve">https://www.youtube.com/results?search_query=Vision+IAS+BPSC</t>
  </si>
  <si>
    <t xml:space="preserve">BPSC वाला – YouTube</t>
  </si>
  <si>
    <t xml:space="preserve">संपूर्ण BPSC कक्षाएँ, बिहार विशेष, गणित, हिंदी</t>
  </si>
  <si>
    <t xml:space="preserve">https://www.youtube.com/results?search_query=BPSC+Wallah+BPSC</t>
  </si>
  <si>
    <t xml:space="preserve">EduTeria – YouTube</t>
  </si>
  <si>
    <t xml:space="preserve">BPSC व्याख्यान व पुनरावृत्ति</t>
  </si>
  <si>
    <t xml:space="preserve">https://www.youtube.com/results?search_query=EduTeria+BPSC</t>
  </si>
  <si>
    <t xml:space="preserve">NCERT पाठ्यपुस्तकें (निःशुल्क)</t>
  </si>
  <si>
    <t xml:space="preserve">इतिहास, भूगोल, राजव्यवस्था, अर्थशास्त्र, विज्ञान का आधार अध्ययन</t>
  </si>
  <si>
    <t xml:space="preserve">https://ncert.nic.in/textbook.php</t>
  </si>
  <si>
    <t xml:space="preserve">PIB – पत्र सूचना कार्यालय</t>
  </si>
  <si>
    <t xml:space="preserve">सरकारी योजनाएँ, नीतियाँ व करेंट अफेयर्स</t>
  </si>
  <si>
    <t xml:space="preserve">https://pib.gov.in</t>
  </si>
  <si>
    <t xml:space="preserve">PRS लेजिस्लेटिव रिसर्च</t>
  </si>
  <si>
    <t xml:space="preserve">आधिकारिक/NGO</t>
  </si>
  <si>
    <t xml:space="preserve">विधेयक, अधिनियम व संसद सारांश</t>
  </si>
  <si>
    <t xml:space="preserve">https://prsindia.org</t>
  </si>
  <si>
    <t xml:space="preserve">भारत बजट एवं आर्थिक सर्वेक्षण</t>
  </si>
  <si>
    <t xml:space="preserve">नवीनतम आर्थिक सर्वेक्षण व केंद्रीय बजट</t>
  </si>
  <si>
    <t xml:space="preserve">https://www.indiabudget.gov.in</t>
  </si>
  <si>
    <t xml:space="preserve">RBI</t>
  </si>
  <si>
    <t xml:space="preserve">मौद्रिक नीति, बैंकिंग, रिपोर्ट</t>
  </si>
  <si>
    <t xml:space="preserve">https://www.rbi.org.in</t>
  </si>
  <si>
    <t xml:space="preserve">ISRO</t>
  </si>
  <si>
    <t xml:space="preserve">अंतरिक्ष मिशन व विज्ञान-प्रौद्योगिकी</t>
  </si>
  <si>
    <t xml:space="preserve">https://www.isro.gov.in</t>
  </si>
  <si>
    <t xml:space="preserve">बिहार सरकार पोर्टल</t>
  </si>
  <si>
    <t xml:space="preserve">विभाग, योजनाएँ, ज़िले</t>
  </si>
  <si>
    <t xml:space="preserve">https://state.bihar.gov.in</t>
  </si>
  <si>
    <t xml:space="preserve">बिहार आर्थिक सर्वेक्षण (नवीनतम) – खोज</t>
  </si>
  <si>
    <t xml:space="preserve">खोज</t>
  </si>
  <si>
    <t xml:space="preserve">बिहार की अर्थव्यवस्था: GSDP, क्षेत्रक, योजनाएँ</t>
  </si>
  <si>
    <t xml:space="preserve">https://www.google.com/search?q=Bihar+Economic+Survey+latest+pdf</t>
  </si>
  <si>
    <t xml:space="preserve">BPSC के पिछले वर्षों के प्रश्नपत्र – खोज</t>
  </si>
  <si>
    <t xml:space="preserve">PYQ अभ्यास</t>
  </si>
  <si>
    <t xml:space="preserve">https://www.google.com/search?q=BPSC+previous+year+question+paper+prelims+pdf</t>
  </si>
  <si>
    <t xml:space="preserve">द हिंदू</t>
  </si>
  <si>
    <t xml:space="preserve">समाचार पत्र</t>
  </si>
  <si>
    <t xml:space="preserve">संपादकीय व राष्ट्रीय/अंतर्राष्ट्रीय समाचार</t>
  </si>
  <si>
    <t xml:space="preserve">https://www.thehindu.com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</si>
</sst>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Nirmala UI"/>
      <family val="0"/>
      <charset val="1"/>
    </font>
    <font>
      <b val="true"/>
      <sz val="11"/>
      <color rgb="FF1F3864"/>
      <name val="Nirmala UI"/>
      <family val="0"/>
      <charset val="1"/>
    </font>
    <font>
      <b val="true"/>
      <sz val="11"/>
      <color rgb="FF000000"/>
      <name val="Nirmala UI"/>
      <family val="0"/>
      <charset val="1"/>
    </font>
    <font>
      <b val="true"/>
      <sz val="11"/>
      <color rgb="FF0000FF"/>
      <name val="Nirmala UI"/>
      <family val="0"/>
      <charset val="1"/>
    </font>
    <font>
      <b val="true"/>
      <sz val="10"/>
      <color rgb="FFC00000"/>
      <name val="Nirmala UI"/>
      <family val="0"/>
      <charset val="1"/>
    </font>
    <font>
      <sz val="11"/>
      <color rgb="FF000000"/>
      <name val="Nirmala UI"/>
      <family val="0"/>
      <charset val="1"/>
    </font>
    <font>
      <b val="true"/>
      <sz val="13"/>
      <color rgb="FF1F3864"/>
      <name val="Nirmala UI"/>
      <family val="0"/>
      <charset val="1"/>
    </font>
    <font>
      <b val="true"/>
      <sz val="12"/>
      <color rgb="FFFFFFFF"/>
      <name val="Nirmala UI"/>
      <family val="0"/>
      <charset val="1"/>
    </font>
    <font>
      <b val="true"/>
      <sz val="13"/>
      <color rgb="FFC00000"/>
      <name val="Nirmala UI"/>
      <family val="0"/>
      <charset val="1"/>
    </font>
    <font>
      <sz val="10"/>
      <color rgb="FF404040"/>
      <name val="Nirmala UI"/>
      <family val="0"/>
      <charset val="1"/>
    </font>
    <font>
      <sz val="11"/>
      <color rgb="FF0B5394"/>
      <name val="Nirmala UI"/>
      <family val="0"/>
      <charset val="1"/>
    </font>
    <font>
      <sz val="11"/>
      <color rgb="FF0563C1"/>
      <name val="Nirmala U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B2447"/>
        <bgColor rgb="FF1F3864"/>
      </patternFill>
    </fill>
    <fill>
      <patternFill patternType="solid">
        <fgColor rgb="FFD6E4F5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563C1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D6E4F5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F5"/>
        <bgColor rgb="FFE7E6E6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B539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AD1F5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394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D6E4F5"/>
      <rgbColor rgb="FFFCE4D6"/>
      <rgbColor rgb="FFE7E6E6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447"/>
      <rgbColor rgb="FF339966"/>
      <rgbColor rgb="FF003300"/>
      <rgbColor rgb="FF333300"/>
      <rgbColor rgb="FF993300"/>
      <rgbColor rgb="FF993366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q=BPSC+prelims+short+notes+pdf+Drishti+IAS+BPSC+Wallah" TargetMode="External"/><Relationship Id="rId2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" Type="http://schemas.openxmlformats.org/officeDocument/2006/relationships/hyperlink" Target="https://www.youtube.com/results?search_query=BPSC+prelims+mock+test+analysis+strategy+Drishti+IAS" TargetMode="External"/><Relationship Id="rId4" Type="http://schemas.openxmlformats.org/officeDocument/2006/relationships/hyperlink" Target="https://www.youtube.com/results?search_query=BPSC+Wallah+BPSC+prelims+test+series+discussion" TargetMode="External"/><Relationship Id="rId5" Type="http://schemas.openxmlformats.org/officeDocument/2006/relationships/hyperlink" Target="https://www.youtube.com/results?search_query=BPSC+Wallah+BPSC+revision+strategy" TargetMode="External"/><Relationship Id="rId6" Type="http://schemas.openxmlformats.org/officeDocument/2006/relationships/hyperlink" Target="https://www.google.com/search?q=Prehistory+%26+Indus+Valley+Civilisation+notes+pdf+Drishti+IAS+Vision+IAS+BPSC+Wallah" TargetMode="External"/><Relationship Id="rId7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8" Type="http://schemas.openxmlformats.org/officeDocument/2006/relationships/hyperlink" Target="https://www.youtube.com/results?search_query=Prehistory+%26+Indus+Valley+Civilisation+Drishti+IAS+BPSC" TargetMode="External"/><Relationship Id="rId9" Type="http://schemas.openxmlformats.org/officeDocument/2006/relationships/hyperlink" Target="https://www.youtube.com/results?search_query=Prehistory+%26+Indus+Valley+Civilisation+BPSC+Wallah" TargetMode="External"/><Relationship Id="rId10" Type="http://schemas.openxmlformats.org/officeDocument/2006/relationships/hyperlink" Target="https://www.youtube.com/results?search_query=Bihar+&#8211;+Ancient+History+BPSC+Wallah" TargetMode="External"/><Relationship Id="rId11" Type="http://schemas.openxmlformats.org/officeDocument/2006/relationships/hyperlink" Target="https://www.google.com/search?q=&#2346;&#2381;&#2352;&#2366;&#2327;&#2376;&#2340;&#2367;&#2361;&#2366;&#2360;+&#2319;&#2357;&#2306;+&#2360;&#2367;&#2306;&#2343;&#2369;+&#2328;&#2366;&#2335;&#2368;+&#2360;&#2349;&#2381;&#2351;&#2340;&#2366;+%28site%3Adrishtiias.com+OR+site%3Avisionias.in+OR+site%3Ancert.nic.in+OR+site%3Ajagranjosh.com+OR+site%3Agktoday.in%29" TargetMode="External"/><Relationship Id="rId12" Type="http://schemas.openxmlformats.org/officeDocument/2006/relationships/hyperlink" Target="https://www.google.com/search?q=Prehistory+%26+Indus+Valley+Civilisation+notes+pdf+Drishti+IAS+Vision+IAS+BPSC+Wallah" TargetMode="External"/><Relationship Id="rId13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14" Type="http://schemas.openxmlformats.org/officeDocument/2006/relationships/hyperlink" Target="https://www.youtube.com/results?search_query=Prehistory+%26+Indus+Valley+Civilisation+Drishti+IAS+BPSC" TargetMode="External"/><Relationship Id="rId15" Type="http://schemas.openxmlformats.org/officeDocument/2006/relationships/hyperlink" Target="https://www.youtube.com/results?search_query=Prehistory+%26+Indus+Valley+Civilisation+BPSC+Wallah" TargetMode="External"/><Relationship Id="rId16" Type="http://schemas.openxmlformats.org/officeDocument/2006/relationships/hyperlink" Target="https://www.youtube.com/results?search_query=Bihar+&#8211;+Ancient+History+BPSC+Wallah" TargetMode="External"/><Relationship Id="rId17" Type="http://schemas.openxmlformats.org/officeDocument/2006/relationships/hyperlink" Target="https://www.google.com/search?q=&#2346;&#2381;&#2352;&#2366;&#2327;&#2376;&#2340;&#2367;&#2361;&#2366;&#2360;+&#2319;&#2357;&#2306;+&#2360;&#2367;&#2306;&#2343;&#2369;+&#2328;&#2366;&#2335;&#2368;+&#2360;&#2349;&#2381;&#2351;&#2340;&#2366;+%28site%3Adrishtiias.com+OR+site%3Avisionias.in+OR+site%3Ancert.nic.in+OR+site%3Ajagranjosh.com+OR+site%3Agktoday.in%29" TargetMode="External"/><Relationship Id="rId18" Type="http://schemas.openxmlformats.org/officeDocument/2006/relationships/hyperlink" Target="https://www.google.com/search?q=Prehistory+%26+Indus+Valley+Civilisation+notes+pdf+Drishti+IAS+Vision+IAS+BPSC+Wallah" TargetMode="External"/><Relationship Id="rId19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20" Type="http://schemas.openxmlformats.org/officeDocument/2006/relationships/hyperlink" Target="https://www.youtube.com/results?search_query=Prehistory+%26+Indus+Valley+Civilisation+Drishti+IAS+BPSC" TargetMode="External"/><Relationship Id="rId21" Type="http://schemas.openxmlformats.org/officeDocument/2006/relationships/hyperlink" Target="https://www.youtube.com/results?search_query=Prehistory+%26+Indus+Valley+Civilisation+BPSC+Wallah" TargetMode="External"/><Relationship Id="rId22" Type="http://schemas.openxmlformats.org/officeDocument/2006/relationships/hyperlink" Target="https://www.youtube.com/results?search_query=Bihar+&#8211;+Ancient+History+BPSC+Wallah" TargetMode="External"/><Relationship Id="rId23" Type="http://schemas.openxmlformats.org/officeDocument/2006/relationships/hyperlink" Target="https://www.google.com/search?q=&#2346;&#2381;&#2352;&#2366;&#2327;&#2376;&#2340;&#2367;&#2361;&#2366;&#2360;+&#2319;&#2357;&#2306;+&#2360;&#2367;&#2306;&#2343;&#2369;+&#2328;&#2366;&#2335;&#2368;+&#2360;&#2349;&#2381;&#2351;&#2340;&#2366;+%28site%3Adrishtiias.com+OR+site%3Avisionias.in+OR+site%3Ancert.nic.in+OR+site%3Ajagranjosh.com+OR+site%3Agktoday.in%29" TargetMode="External"/><Relationship Id="rId24" Type="http://schemas.openxmlformats.org/officeDocument/2006/relationships/hyperlink" Target="https://www.google.com/search?q=Vedic+Age+%26+Mahajanapadas+notes+pdf+Drishti+IAS+Vision+IAS+BPSC+Wallah" TargetMode="External"/><Relationship Id="rId25" Type="http://schemas.openxmlformats.org/officeDocument/2006/relationships/hyperlink" Target="https://www.google.com/search?q=Vedic+Age+%26+Mahajanapadas+%28site%3Adrishtiias.com+OR+site%3Avisionias.in+OR+site%3Ancert.nic.in%29" TargetMode="External"/><Relationship Id="rId26" Type="http://schemas.openxmlformats.org/officeDocument/2006/relationships/hyperlink" Target="https://www.youtube.com/results?search_query=Vedic+Age+%26+Mahajanapadas+Drishti+IAS+BPSC" TargetMode="External"/><Relationship Id="rId27" Type="http://schemas.openxmlformats.org/officeDocument/2006/relationships/hyperlink" Target="https://www.youtube.com/results?search_query=Vedic+Age+%26+Mahajanapadas+BPSC+Wallah" TargetMode="External"/><Relationship Id="rId28" Type="http://schemas.openxmlformats.org/officeDocument/2006/relationships/hyperlink" Target="https://www.youtube.com/results?search_query=Bihar+&#8211;+Ancient+History+BPSC+Wallah" TargetMode="External"/><Relationship Id="rId29" Type="http://schemas.openxmlformats.org/officeDocument/2006/relationships/hyperlink" Target="https://www.google.com/search?q=&#2357;&#2376;&#2342;&#2367;&#2325;+&#2325;&#2366;&#2354;+&#2319;&#2357;&#2306;+&#2350;&#2361;&#2366;&#2332;&#2344;&#2346;&#2342;+%28site%3Adrishtiias.com+OR+site%3Avisionias.in+OR+site%3Ancert.nic.in+OR+site%3Ajagranjosh.com+OR+site%3Agktoday.in%29" TargetMode="External"/><Relationship Id="rId30" Type="http://schemas.openxmlformats.org/officeDocument/2006/relationships/hyperlink" Target="https://www.google.com/search?q=Vedic+Age+%26+Mahajanapadas+notes+pdf+Drishti+IAS+Vision+IAS+BPSC+Wallah" TargetMode="External"/><Relationship Id="rId31" Type="http://schemas.openxmlformats.org/officeDocument/2006/relationships/hyperlink" Target="https://www.google.com/search?q=Vedic+Age+%26+Mahajanapadas+%28site%3Adrishtiias.com+OR+site%3Avisionias.in+OR+site%3Ancert.nic.in%29" TargetMode="External"/><Relationship Id="rId32" Type="http://schemas.openxmlformats.org/officeDocument/2006/relationships/hyperlink" Target="https://www.youtube.com/results?search_query=Vedic+Age+%26+Mahajanapadas+Drishti+IAS+BPSC" TargetMode="External"/><Relationship Id="rId33" Type="http://schemas.openxmlformats.org/officeDocument/2006/relationships/hyperlink" Target="https://www.youtube.com/results?search_query=Vedic+Age+%26+Mahajanapadas+BPSC+Wallah" TargetMode="External"/><Relationship Id="rId34" Type="http://schemas.openxmlformats.org/officeDocument/2006/relationships/hyperlink" Target="https://www.youtube.com/results?search_query=Bihar+&#8211;+Ancient+History+BPSC+Wallah" TargetMode="External"/><Relationship Id="rId35" Type="http://schemas.openxmlformats.org/officeDocument/2006/relationships/hyperlink" Target="https://www.google.com/search?q=&#2357;&#2376;&#2342;&#2367;&#2325;+&#2325;&#2366;&#2354;+&#2319;&#2357;&#2306;+&#2350;&#2361;&#2366;&#2332;&#2344;&#2346;&#2342;+%28site%3Adrishtiias.com+OR+site%3Avisionias.in+OR+site%3Ancert.nic.in+OR+site%3Ajagranjosh.com+OR+site%3Agktoday.in%29" TargetMode="External"/><Relationship Id="rId36" Type="http://schemas.openxmlformats.org/officeDocument/2006/relationships/hyperlink" Target="https://www.google.com/search?q=Vedic+Age+%26+Mahajanapadas+notes+pdf+Drishti+IAS+Vision+IAS+BPSC+Wallah" TargetMode="External"/><Relationship Id="rId37" Type="http://schemas.openxmlformats.org/officeDocument/2006/relationships/hyperlink" Target="https://www.google.com/search?q=Vedic+Age+%26+Mahajanapadas+%28site%3Adrishtiias.com+OR+site%3Avisionias.in+OR+site%3Ancert.nic.in%29" TargetMode="External"/><Relationship Id="rId38" Type="http://schemas.openxmlformats.org/officeDocument/2006/relationships/hyperlink" Target="https://www.youtube.com/results?search_query=Vedic+Age+%26+Mahajanapadas+Drishti+IAS+BPSC" TargetMode="External"/><Relationship Id="rId39" Type="http://schemas.openxmlformats.org/officeDocument/2006/relationships/hyperlink" Target="https://www.youtube.com/results?search_query=Vedic+Age+%26+Mahajanapadas+BPSC+Wallah" TargetMode="External"/><Relationship Id="rId40" Type="http://schemas.openxmlformats.org/officeDocument/2006/relationships/hyperlink" Target="https://www.youtube.com/results?search_query=Bihar+&#8211;+Medieval+%26+Colonial+History+BPSC+Wallah" TargetMode="External"/><Relationship Id="rId41" Type="http://schemas.openxmlformats.org/officeDocument/2006/relationships/hyperlink" Target="https://www.google.com/search?q=&#2357;&#2376;&#2342;&#2367;&#2325;+&#2325;&#2366;&#2354;+&#2319;&#2357;&#2306;+&#2350;&#2361;&#2366;&#2332;&#2344;&#2346;&#2342;+%28site%3Adrishtiias.com+OR+site%3Avisionias.in+OR+site%3Ancert.nic.in+OR+site%3Ajagranjosh.com+OR+site%3Agktoday.in%29" TargetMode="External"/><Relationship Id="rId42" Type="http://schemas.openxmlformats.org/officeDocument/2006/relationships/hyperlink" Target="https://www.google.com/search?q=BPSC+weekly+revision+notes+pdf+Drishti+IAS+Vision+IAS" TargetMode="External"/><Relationship Id="rId43" Type="http://schemas.openxmlformats.org/officeDocument/2006/relationships/hyperlink" Target="https://www.google.com/search?q=weekly+current+affairs+revision+%28site%3Adrishtiias.com+OR+site%3Avisionias.in+OR+site%3Apib.gov.in%29" TargetMode="External"/><Relationship Id="rId44" Type="http://schemas.openxmlformats.org/officeDocument/2006/relationships/hyperlink" Target="https://www.youtube.com/results?search_query=BPSC+prelims+mock+test+analysis+strategy+Drishti+IAS" TargetMode="External"/><Relationship Id="rId45" Type="http://schemas.openxmlformats.org/officeDocument/2006/relationships/hyperlink" Target="https://www.youtube.com/results?search_query=BPSC+Wallah+BPSC+prelims+test+series+discussion" TargetMode="External"/><Relationship Id="rId46" Type="http://schemas.openxmlformats.org/officeDocument/2006/relationships/hyperlink" Target="https://www.youtube.com/results?search_query=BPSC+Wallah+BPSC+revision+strategy" TargetMode="External"/><Relationship Id="rId47" Type="http://schemas.openxmlformats.org/officeDocument/2006/relationships/hyperlink" Target="https://www.google.com/search?q=Jainism%2C+Buddhism+%26+Heterodox+Sects+notes+pdf+Drishti+IAS+Vision+IAS+BPSC+Wallah" TargetMode="External"/><Relationship Id="rId48" Type="http://schemas.openxmlformats.org/officeDocument/2006/relationships/hyperlink" Target="https://www.google.com/search?q=Jainism%2C+Buddhism+%26+Heterodox+Sects+%28site%3Adrishtiias.com+OR+site%3Avisionias.in+OR+site%3Ancert.nic.in%29" TargetMode="External"/><Relationship Id="rId49" Type="http://schemas.openxmlformats.org/officeDocument/2006/relationships/hyperlink" Target="https://www.youtube.com/results?search_query=Jainism%2C+Buddhism+%26+Heterodox+Sects+Drishti+IAS+BPSC" TargetMode="External"/><Relationship Id="rId50" Type="http://schemas.openxmlformats.org/officeDocument/2006/relationships/hyperlink" Target="https://www.youtube.com/results?search_query=Jainism%2C+Buddhism+%26+Heterodox+Sects+BPSC+Wallah" TargetMode="External"/><Relationship Id="rId51" Type="http://schemas.openxmlformats.org/officeDocument/2006/relationships/hyperlink" Target="https://www.youtube.com/results?search_query=Bihar+&#8211;+Medieval+%26+Colonial+History+BPSC+Wallah" TargetMode="External"/><Relationship Id="rId52" Type="http://schemas.openxmlformats.org/officeDocument/2006/relationships/hyperlink" Target="https://www.google.com/search?q=&#2332;&#2376;&#2344;%2C+&#2348;&#2380;&#2342;&#2381;&#2343;+&#2319;&#2357;&#2306;+&#2309;&#2344;&#2381;&#2351;+&#2344;&#2366;&#2360;&#2381;&#2340;&#2367;&#2325;+&#2360;&#2306;&#2346;&#2381;&#2352;&#2342;&#2366;&#2351;+%28site%3Adrishtiias.com+OR+site%3Avisionias.in+OR+site%3Ancert.nic.in+OR+site%3Ajagranjosh.com+OR+site%3Agktoday.in%29" TargetMode="External"/><Relationship Id="rId53" Type="http://schemas.openxmlformats.org/officeDocument/2006/relationships/hyperlink" Target="https://www.google.com/search?q=Jainism%2C+Buddhism+%26+Heterodox+Sects+notes+pdf+Drishti+IAS+Vision+IAS+BPSC+Wallah" TargetMode="External"/><Relationship Id="rId54" Type="http://schemas.openxmlformats.org/officeDocument/2006/relationships/hyperlink" Target="https://www.google.com/search?q=Jainism%2C+Buddhism+%26+Heterodox+Sects+%28site%3Adrishtiias.com+OR+site%3Avisionias.in+OR+site%3Ancert.nic.in%29" TargetMode="External"/><Relationship Id="rId55" Type="http://schemas.openxmlformats.org/officeDocument/2006/relationships/hyperlink" Target="https://www.youtube.com/results?search_query=Jainism%2C+Buddhism+%26+Heterodox+Sects+Drishti+IAS+BPSC" TargetMode="External"/><Relationship Id="rId56" Type="http://schemas.openxmlformats.org/officeDocument/2006/relationships/hyperlink" Target="https://www.youtube.com/results?search_query=Jainism%2C+Buddhism+%26+Heterodox+Sects+BPSC+Wallah" TargetMode="External"/><Relationship Id="rId57" Type="http://schemas.openxmlformats.org/officeDocument/2006/relationships/hyperlink" Target="https://www.youtube.com/results?search_query=Bihar+&#8211;+Medieval+%26+Colonial+History+BPSC+Wallah" TargetMode="External"/><Relationship Id="rId58" Type="http://schemas.openxmlformats.org/officeDocument/2006/relationships/hyperlink" Target="https://www.google.com/search?q=&#2332;&#2376;&#2344;%2C+&#2348;&#2380;&#2342;&#2381;&#2343;+&#2319;&#2357;&#2306;+&#2309;&#2344;&#2381;&#2351;+&#2344;&#2366;&#2360;&#2381;&#2340;&#2367;&#2325;+&#2360;&#2306;&#2346;&#2381;&#2352;&#2342;&#2366;&#2351;+%28site%3Adrishtiias.com+OR+site%3Avisionias.in+OR+site%3Ancert.nic.in+OR+site%3Ajagranjosh.com+OR+site%3Agktoday.in%29" TargetMode="External"/><Relationship Id="rId59" Type="http://schemas.openxmlformats.org/officeDocument/2006/relationships/hyperlink" Target="https://www.google.com/search?q=Mauryan+Empire+notes+pdf+Drishti+IAS+Vision+IAS+BPSC+Wallah" TargetMode="External"/><Relationship Id="rId60" Type="http://schemas.openxmlformats.org/officeDocument/2006/relationships/hyperlink" Target="https://www.google.com/search?q=Mauryan+Empire+%28site%3Adrishtiias.com+OR+site%3Avisionias.in+OR+site%3Ancert.nic.in%29" TargetMode="External"/><Relationship Id="rId61" Type="http://schemas.openxmlformats.org/officeDocument/2006/relationships/hyperlink" Target="https://www.youtube.com/results?search_query=Mauryan+Empire+Drishti+IAS+BPSC" TargetMode="External"/><Relationship Id="rId62" Type="http://schemas.openxmlformats.org/officeDocument/2006/relationships/hyperlink" Target="https://www.youtube.com/results?search_query=Mauryan+Empire+BPSC+Wallah" TargetMode="External"/><Relationship Id="rId63" Type="http://schemas.openxmlformats.org/officeDocument/2006/relationships/hyperlink" Target="https://www.youtube.com/results?search_query=Bihar+&#8211;+Medieval+%26+Colonial+History+BPSC+Wallah" TargetMode="External"/><Relationship Id="rId64" Type="http://schemas.openxmlformats.org/officeDocument/2006/relationships/hyperlink" Target="https://www.google.com/search?q=&#2350;&#2380;&#2352;&#2381;&#2351;+&#2360;&#2366;&#2350;&#2381;&#2352;&#2366;&#2332;&#2381;&#2351;+%28site%3Adrishtiias.com+OR+site%3Avisionias.in+OR+site%3Ancert.nic.in+OR+site%3Ajagranjosh.com+OR+site%3Agktoday.in%29" TargetMode="External"/><Relationship Id="rId65" Type="http://schemas.openxmlformats.org/officeDocument/2006/relationships/hyperlink" Target="https://www.google.com/search?q=Mauryan+Empire+notes+pdf+Drishti+IAS+Vision+IAS+BPSC+Wallah" TargetMode="External"/><Relationship Id="rId66" Type="http://schemas.openxmlformats.org/officeDocument/2006/relationships/hyperlink" Target="https://www.google.com/search?q=Mauryan+Empire+%28site%3Adrishtiias.com+OR+site%3Avisionias.in+OR+site%3Ancert.nic.in%29" TargetMode="External"/><Relationship Id="rId67" Type="http://schemas.openxmlformats.org/officeDocument/2006/relationships/hyperlink" Target="https://www.youtube.com/results?search_query=Mauryan+Empire+Drishti+IAS+BPSC" TargetMode="External"/><Relationship Id="rId68" Type="http://schemas.openxmlformats.org/officeDocument/2006/relationships/hyperlink" Target="https://www.youtube.com/results?search_query=Mauryan+Empire+BPSC+Wallah" TargetMode="External"/><Relationship Id="rId69" Type="http://schemas.openxmlformats.org/officeDocument/2006/relationships/hyperlink" Target="https://www.youtube.com/results?search_query=Bihar+&#8211;+Medieval+%26+Colonial+History+BPSC+Wallah" TargetMode="External"/><Relationship Id="rId70" Type="http://schemas.openxmlformats.org/officeDocument/2006/relationships/hyperlink" Target="https://www.google.com/search?q=&#2350;&#2380;&#2352;&#2381;&#2351;+&#2360;&#2366;&#2350;&#2381;&#2352;&#2366;&#2332;&#2381;&#2351;+%28site%3Adrishtiias.com+OR+site%3Avisionias.in+OR+site%3Ancert.nic.in+OR+site%3Ajagranjosh.com+OR+site%3Agktoday.in%29" TargetMode="External"/><Relationship Id="rId71" Type="http://schemas.openxmlformats.org/officeDocument/2006/relationships/hyperlink" Target="https://www.google.com/search?q=Mauryan+Empire+notes+pdf+Drishti+IAS+Vision+IAS+BPSC+Wallah" TargetMode="External"/><Relationship Id="rId72" Type="http://schemas.openxmlformats.org/officeDocument/2006/relationships/hyperlink" Target="https://www.google.com/search?q=Mauryan+Empire+%28site%3Adrishtiias.com+OR+site%3Avisionias.in+OR+site%3Ancert.nic.in%29" TargetMode="External"/><Relationship Id="rId73" Type="http://schemas.openxmlformats.org/officeDocument/2006/relationships/hyperlink" Target="https://www.youtube.com/results?search_query=Mauryan+Empire+Drishti+IAS+BPSC" TargetMode="External"/><Relationship Id="rId74" Type="http://schemas.openxmlformats.org/officeDocument/2006/relationships/hyperlink" Target="https://www.youtube.com/results?search_query=Mauryan+Empire+BPSC+Wallah" TargetMode="External"/><Relationship Id="rId75" Type="http://schemas.openxmlformats.org/officeDocument/2006/relationships/hyperlink" Target="https://www.youtube.com/results?search_query=Bihar+&#8211;+Freedom+Struggle+%26+Modern+Politics+BPSC+Wallah" TargetMode="External"/><Relationship Id="rId76" Type="http://schemas.openxmlformats.org/officeDocument/2006/relationships/hyperlink" Target="https://www.google.com/search?q=&#2350;&#2380;&#2352;&#2381;&#2351;+&#2360;&#2366;&#2350;&#2381;&#2352;&#2366;&#2332;&#2381;&#2351;+%28site%3Adrishtiias.com+OR+site%3Avisionias.in+OR+site%3Ancert.nic.in+OR+site%3Ajagranjosh.com+OR+site%3Agktoday.in%29" TargetMode="External"/><Relationship Id="rId77" Type="http://schemas.openxmlformats.org/officeDocument/2006/relationships/hyperlink" Target="https://www.google.com/search?q=Post-Mauryan+Period+%28Shunga%2C+Kushan%2C+Satavahana%2C+Sangam%29+notes+pdf+Drishti+IAS+Vision+IAS+BPSC+Wallah" TargetMode="External"/><Relationship Id="rId78" Type="http://schemas.openxmlformats.org/officeDocument/2006/relationships/hyperlink" Target="https://www.google.com/search?q=Post-Mauryan+Period+%28Shunga%2C+Kushan%2C+Satavahana%2C+Sangam%29+%28site%3Adrishtiias.com+OR+site%3Avisionias.in+OR+site%3Ancert.nic.in%29" TargetMode="External"/><Relationship Id="rId79" Type="http://schemas.openxmlformats.org/officeDocument/2006/relationships/hyperlink" Target="https://www.youtube.com/results?search_query=Post-Mauryan+Period+%28Shunga%2C+Kushan%2C+Satavahana%2C+Sangam%29+Drishti+IAS+BPSC" TargetMode="External"/><Relationship Id="rId80" Type="http://schemas.openxmlformats.org/officeDocument/2006/relationships/hyperlink" Target="https://www.youtube.com/results?search_query=Post-Mauryan+Period+%28Shunga%2C+Kushan%2C+Satavahana%2C+Sangam%29+BPSC+Wallah" TargetMode="External"/><Relationship Id="rId81" Type="http://schemas.openxmlformats.org/officeDocument/2006/relationships/hyperlink" Target="https://www.youtube.com/results?search_query=Bihar+&#8211;+Freedom+Struggle+%26+Modern+Politics+BPSC+Wallah" TargetMode="External"/><Relationship Id="rId82" Type="http://schemas.openxmlformats.org/officeDocument/2006/relationships/hyperlink" Target="https://www.google.com/search?q=&#2350;&#2380;&#2352;&#2381;&#2351;&#2379;&#2340;&#2381;&#2340;&#2352;+&#2325;&#2366;&#2354;+%28&#2358;&#2369;&#2306;&#2327;%2C+&#2325;&#2369;&#2359;&#2366;&#2339;%2C+&#2360;&#2366;&#2340;&#2357;&#2366;&#2361;&#2344;%2C+&#2360;&#2306;&#2327;&#2350;%29+%28site%3Adrishtiias.com+OR+site%3Avisionias.in+OR+site%3Ancert.nic.in+OR+site%3Ajagranjosh.com+OR+site%3Agktoday.in%29" TargetMode="External"/><Relationship Id="rId83" Type="http://schemas.openxmlformats.org/officeDocument/2006/relationships/hyperlink" Target="https://www.google.com/search?q=BPSC+weekly+revision+notes+pdf+Drishti+IAS+Vision+IAS" TargetMode="External"/><Relationship Id="rId84" Type="http://schemas.openxmlformats.org/officeDocument/2006/relationships/hyperlink" Target="https://www.google.com/search?q=weekly+current+affairs+revision+%28site%3Adrishtiias.com+OR+site%3Avisionias.in+OR+site%3Apib.gov.in%29" TargetMode="External"/><Relationship Id="rId85" Type="http://schemas.openxmlformats.org/officeDocument/2006/relationships/hyperlink" Target="https://www.youtube.com/results?search_query=BPSC+prelims+mock+test+analysis+strategy+Drishti+IAS" TargetMode="External"/><Relationship Id="rId86" Type="http://schemas.openxmlformats.org/officeDocument/2006/relationships/hyperlink" Target="https://www.youtube.com/results?search_query=BPSC+Wallah+BPSC+prelims+test+series+discussion" TargetMode="External"/><Relationship Id="rId87" Type="http://schemas.openxmlformats.org/officeDocument/2006/relationships/hyperlink" Target="https://www.youtube.com/results?search_query=BPSC+Wallah+BPSC+revision+strategy" TargetMode="External"/><Relationship Id="rId88" Type="http://schemas.openxmlformats.org/officeDocument/2006/relationships/hyperlink" Target="https://www.google.com/search?q=Gupta+Empire%2C+Harsha+%26+Pala+Dynasty+notes+pdf+Drishti+IAS+Vision+IAS+BPSC+Wallah" TargetMode="External"/><Relationship Id="rId89" Type="http://schemas.openxmlformats.org/officeDocument/2006/relationships/hyperlink" Target="https://www.google.com/search?q=Gupta+Empire%2C+Harsha+%26+Pala+Dynasty+%28site%3Adrishtiias.com+OR+site%3Avisionias.in+OR+site%3Ancert.nic.in%29" TargetMode="External"/><Relationship Id="rId90" Type="http://schemas.openxmlformats.org/officeDocument/2006/relationships/hyperlink" Target="https://www.youtube.com/results?search_query=Gupta+Empire%2C+Harsha+%26+Pala+Dynasty+Drishti+IAS+BPSC" TargetMode="External"/><Relationship Id="rId91" Type="http://schemas.openxmlformats.org/officeDocument/2006/relationships/hyperlink" Target="https://www.youtube.com/results?search_query=Gupta+Empire%2C+Harsha+%26+Pala+Dynasty+BPSC+Wallah" TargetMode="External"/><Relationship Id="rId92" Type="http://schemas.openxmlformats.org/officeDocument/2006/relationships/hyperlink" Target="https://www.youtube.com/results?search_query=Bihar+&#8211;+Freedom+Struggle+%26+Modern+Politics+BPSC+Wallah" TargetMode="External"/><Relationship Id="rId93" Type="http://schemas.openxmlformats.org/officeDocument/2006/relationships/hyperlink" Target="https://www.google.com/search?q=&#2327;&#2369;&#2346;&#2381;&#2340;+&#2360;&#2366;&#2350;&#2381;&#2352;&#2366;&#2332;&#2381;&#2351;%2C+&#2361;&#2352;&#2381;&#2359;&#2357;&#2352;&#2381;&#2343;&#2344;+&#2319;&#2357;&#2306;+&#2346;&#2366;&#2354;+&#2357;&#2306;&#2358;+%28site%3Adrishtiias.com+OR+site%3Avisionias.in+OR+site%3Ancert.nic.in+OR+site%3Ajagranjosh.com+OR+site%3Agktoday.in%29" TargetMode="External"/><Relationship Id="rId94" Type="http://schemas.openxmlformats.org/officeDocument/2006/relationships/hyperlink" Target="https://www.google.com/search?q=Gupta+Empire%2C+Harsha+%26+Pala+Dynasty+notes+pdf+Drishti+IAS+Vision+IAS+BPSC+Wallah" TargetMode="External"/><Relationship Id="rId95" Type="http://schemas.openxmlformats.org/officeDocument/2006/relationships/hyperlink" Target="https://www.google.com/search?q=Gupta+Empire%2C+Harsha+%26+Pala+Dynasty+%28site%3Adrishtiias.com+OR+site%3Avisionias.in+OR+site%3Ancert.nic.in%29" TargetMode="External"/><Relationship Id="rId96" Type="http://schemas.openxmlformats.org/officeDocument/2006/relationships/hyperlink" Target="https://www.youtube.com/results?search_query=Gupta+Empire%2C+Harsha+%26+Pala+Dynasty+Drishti+IAS+BPSC" TargetMode="External"/><Relationship Id="rId97" Type="http://schemas.openxmlformats.org/officeDocument/2006/relationships/hyperlink" Target="https://www.youtube.com/results?search_query=Gupta+Empire%2C+Harsha+%26+Pala+Dynasty+BPSC+Wallah" TargetMode="External"/><Relationship Id="rId98" Type="http://schemas.openxmlformats.org/officeDocument/2006/relationships/hyperlink" Target="https://www.youtube.com/results?search_query=Bihar+&#8211;+Freedom+Struggle+%26+Modern+Politics+BPSC+Wallah" TargetMode="External"/><Relationship Id="rId99" Type="http://schemas.openxmlformats.org/officeDocument/2006/relationships/hyperlink" Target="https://www.google.com/search?q=&#2327;&#2369;&#2346;&#2381;&#2340;+&#2360;&#2366;&#2350;&#2381;&#2352;&#2366;&#2332;&#2381;&#2351;%2C+&#2361;&#2352;&#2381;&#2359;&#2357;&#2352;&#2381;&#2343;&#2344;+&#2319;&#2357;&#2306;+&#2346;&#2366;&#2354;+&#2357;&#2306;&#2358;+%28site%3Adrishtiias.com+OR+site%3Avisionias.in+OR+site%3Ancert.nic.in+OR+site%3Ajagranjosh.com+OR+site%3Agktoday.in%29" TargetMode="External"/><Relationship Id="rId100" Type="http://schemas.openxmlformats.org/officeDocument/2006/relationships/hyperlink" Target="https://www.google.com/search?q=Gupta+Empire%2C+Harsha+%26+Pala+Dynasty+notes+pdf+Drishti+IAS+Vision+IAS+BPSC+Wallah" TargetMode="External"/><Relationship Id="rId101" Type="http://schemas.openxmlformats.org/officeDocument/2006/relationships/hyperlink" Target="https://www.google.com/search?q=Gupta+Empire%2C+Harsha+%26+Pala+Dynasty+%28site%3Adrishtiias.com+OR+site%3Avisionias.in+OR+site%3Ancert.nic.in%29" TargetMode="External"/><Relationship Id="rId102" Type="http://schemas.openxmlformats.org/officeDocument/2006/relationships/hyperlink" Target="https://www.youtube.com/results?search_query=Gupta+Empire%2C+Harsha+%26+Pala+Dynasty+Drishti+IAS+BPSC" TargetMode="External"/><Relationship Id="rId103" Type="http://schemas.openxmlformats.org/officeDocument/2006/relationships/hyperlink" Target="https://www.youtube.com/results?search_query=Gupta+Empire%2C+Harsha+%26+Pala+Dynasty+BPSC+Wallah" TargetMode="External"/><Relationship Id="rId104" Type="http://schemas.openxmlformats.org/officeDocument/2006/relationships/hyperlink" Target="https://www.youtube.com/results?search_query=Bihar+&#8211;+Freedom+Struggle+%26+Modern+Politics+BPSC+Wallah" TargetMode="External"/><Relationship Id="rId105" Type="http://schemas.openxmlformats.org/officeDocument/2006/relationships/hyperlink" Target="https://www.google.com/search?q=&#2327;&#2369;&#2346;&#2381;&#2340;+&#2360;&#2366;&#2350;&#2381;&#2352;&#2366;&#2332;&#2381;&#2351;%2C+&#2361;&#2352;&#2381;&#2359;&#2357;&#2352;&#2381;&#2343;&#2344;+&#2319;&#2357;&#2306;+&#2346;&#2366;&#2354;+&#2357;&#2306;&#2358;+%28site%3Adrishtiias.com+OR+site%3Avisionias.in+OR+site%3Ancert.nic.in+OR+site%3Ajagranjosh.com+OR+site%3Agktoday.in%29" TargetMode="External"/><Relationship Id="rId106" Type="http://schemas.openxmlformats.org/officeDocument/2006/relationships/hyperlink" Target="https://www.google.com/search?q=Early+Medieval+India+%28Rajputs%2C+Cholas%2C+Chalukyas%2C+Pallavas%29+notes+pdf+Drishti+IAS+Vision+IAS+BPSC+Wallah" TargetMode="External"/><Relationship Id="rId107" Type="http://schemas.openxmlformats.org/officeDocument/2006/relationships/hyperlink" Target="https://www.google.com/search?q=Early+Medieval+India+%28Rajputs%2C+Cholas%2C+Chalukyas%2C+Pallavas%29+%28site%3Adrishtiias.com+OR+site%3Avisionias.in+OR+site%3Ancert.nic.in%29" TargetMode="External"/><Relationship Id="rId108" Type="http://schemas.openxmlformats.org/officeDocument/2006/relationships/hyperlink" Target="https://www.youtube.com/results?search_query=Early+Medieval+India+%28Rajputs%2C+Cholas%2C+Chalukyas%2C+Pallavas%29+Drishti+IAS+BPSC" TargetMode="External"/><Relationship Id="rId109" Type="http://schemas.openxmlformats.org/officeDocument/2006/relationships/hyperlink" Target="https://www.youtube.com/results?search_query=Early+Medieval+India+%28Rajputs%2C+Cholas%2C+Chalukyas%2C+Pallavas%29+BPSC+Wallah" TargetMode="External"/><Relationship Id="rId110" Type="http://schemas.openxmlformats.org/officeDocument/2006/relationships/hyperlink" Target="https://www.youtube.com/results?search_query=Bihar+&#8211;+Geography%3A+Physiography%2C+Rivers+%26+Climate+BPSC+Wallah" TargetMode="External"/><Relationship Id="rId111" Type="http://schemas.openxmlformats.org/officeDocument/2006/relationships/hyperlink" Target="https://www.google.com/search?q=&#2346;&#2370;&#2352;&#2381;&#2357;+&#2350;&#2343;&#2381;&#2351;&#2325;&#2366;&#2354;&#2368;&#2344;+&#2349;&#2366;&#2352;&#2340;+%28&#2352;&#2366;&#2332;&#2346;&#2370;&#2340;%2C+&#2330;&#2379;&#2354;%2C+&#2330;&#2366;&#2354;&#2369;&#2325;&#2381;&#2351;%2C+&#2346;&#2354;&#2381;&#2354;&#2357;%29+%28site%3Adrishtiias.com+OR+site%3Avisionias.in+OR+site%3Ancert.nic.in+OR+site%3Ajagranjosh.com+OR+site%3Agktoday.in%29" TargetMode="External"/><Relationship Id="rId112" Type="http://schemas.openxmlformats.org/officeDocument/2006/relationships/hyperlink" Target="https://www.google.com/search?q=Early+Medieval+India+%28Rajputs%2C+Cholas%2C+Chalukyas%2C+Pallavas%29+notes+pdf+Drishti+IAS+Vision+IAS+BPSC+Wallah" TargetMode="External"/><Relationship Id="rId113" Type="http://schemas.openxmlformats.org/officeDocument/2006/relationships/hyperlink" Target="https://www.google.com/search?q=Early+Medieval+India+%28Rajputs%2C+Cholas%2C+Chalukyas%2C+Pallavas%29+%28site%3Adrishtiias.com+OR+site%3Avisionias.in+OR+site%3Ancert.nic.in%29" TargetMode="External"/><Relationship Id="rId114" Type="http://schemas.openxmlformats.org/officeDocument/2006/relationships/hyperlink" Target="https://www.youtube.com/results?search_query=Early+Medieval+India+%28Rajputs%2C+Cholas%2C+Chalukyas%2C+Pallavas%29+Drishti+IAS+BPSC" TargetMode="External"/><Relationship Id="rId115" Type="http://schemas.openxmlformats.org/officeDocument/2006/relationships/hyperlink" Target="https://www.youtube.com/results?search_query=Early+Medieval+India+%28Rajputs%2C+Cholas%2C+Chalukyas%2C+Pallavas%29+BPSC+Wallah" TargetMode="External"/><Relationship Id="rId116" Type="http://schemas.openxmlformats.org/officeDocument/2006/relationships/hyperlink" Target="https://www.youtube.com/results?search_query=Bihar+&#8211;+Geography%3A+Physiography%2C+Rivers+%26+Climate+BPSC+Wallah" TargetMode="External"/><Relationship Id="rId117" Type="http://schemas.openxmlformats.org/officeDocument/2006/relationships/hyperlink" Target="https://www.google.com/search?q=&#2346;&#2370;&#2352;&#2381;&#2357;+&#2350;&#2343;&#2381;&#2351;&#2325;&#2366;&#2354;&#2368;&#2344;+&#2349;&#2366;&#2352;&#2340;+%28&#2352;&#2366;&#2332;&#2346;&#2370;&#2340;%2C+&#2330;&#2379;&#2354;%2C+&#2330;&#2366;&#2354;&#2369;&#2325;&#2381;&#2351;%2C+&#2346;&#2354;&#2381;&#2354;&#2357;%29+%28site%3Adrishtiias.com+OR+site%3Avisionias.in+OR+site%3Ancert.nic.in+OR+site%3Ajagranjosh.com+OR+site%3Agktoday.in%29" TargetMode="External"/><Relationship Id="rId118" Type="http://schemas.openxmlformats.org/officeDocument/2006/relationships/hyperlink" Target="https://www.google.com/search?q=Delhi+Sultanate+notes+pdf+Drishti+IAS+Vision+IAS+BPSC+Wallah" TargetMode="External"/><Relationship Id="rId119" Type="http://schemas.openxmlformats.org/officeDocument/2006/relationships/hyperlink" Target="https://www.google.com/search?q=Delhi+Sultanate+%28site%3Adrishtiias.com+OR+site%3Avisionias.in+OR+site%3Ancert.nic.in%29" TargetMode="External"/><Relationship Id="rId120" Type="http://schemas.openxmlformats.org/officeDocument/2006/relationships/hyperlink" Target="https://www.youtube.com/results?search_query=Delhi+Sultanate+Drishti+IAS+BPSC" TargetMode="External"/><Relationship Id="rId121" Type="http://schemas.openxmlformats.org/officeDocument/2006/relationships/hyperlink" Target="https://www.youtube.com/results?search_query=Delhi+Sultanate+BPSC+Wallah" TargetMode="External"/><Relationship Id="rId122" Type="http://schemas.openxmlformats.org/officeDocument/2006/relationships/hyperlink" Target="https://www.youtube.com/results?search_query=Bihar+&#8211;+Geography%3A+Physiography%2C+Rivers+%26+Climate+BPSC+Wallah" TargetMode="External"/><Relationship Id="rId123" Type="http://schemas.openxmlformats.org/officeDocument/2006/relationships/hyperlink" Target="https://www.google.com/search?q=&#2342;&#2367;&#2354;&#2381;&#2354;&#2368;+&#2360;&#2354;&#2381;&#2340;&#2344;&#2340;+%28site%3Adrishtiias.com+OR+site%3Avisionias.in+OR+site%3Ancert.nic.in+OR+site%3Ajagranjosh.com+OR+site%3Agktoday.in%29" TargetMode="External"/><Relationship Id="rId124" Type="http://schemas.openxmlformats.org/officeDocument/2006/relationships/hyperlink" Target="https://www.google.com/search?q=BPSC+weekly+revision+notes+pdf+Drishti+IAS+Vision+IAS" TargetMode="External"/><Relationship Id="rId125" Type="http://schemas.openxmlformats.org/officeDocument/2006/relationships/hyperlink" Target="https://www.google.com/search?q=weekly+current+affairs+revision+%28site%3Adrishtiias.com+OR+site%3Avisionias.in+OR+site%3Apib.gov.in%29" TargetMode="External"/><Relationship Id="rId126" Type="http://schemas.openxmlformats.org/officeDocument/2006/relationships/hyperlink" Target="https://www.youtube.com/results?search_query=BPSC+prelims+mock+test+analysis+strategy+Drishti+IAS" TargetMode="External"/><Relationship Id="rId127" Type="http://schemas.openxmlformats.org/officeDocument/2006/relationships/hyperlink" Target="https://www.youtube.com/results?search_query=BPSC+Wallah+BPSC+prelims+test+series+discussion" TargetMode="External"/><Relationship Id="rId128" Type="http://schemas.openxmlformats.org/officeDocument/2006/relationships/hyperlink" Target="https://www.youtube.com/results?search_query=BPSC+Wallah+BPSC+revision+strategy" TargetMode="External"/><Relationship Id="rId129" Type="http://schemas.openxmlformats.org/officeDocument/2006/relationships/hyperlink" Target="https://www.google.com/search?q=Delhi+Sultanate+notes+pdf+Drishti+IAS+Vision+IAS+BPSC+Wallah" TargetMode="External"/><Relationship Id="rId130" Type="http://schemas.openxmlformats.org/officeDocument/2006/relationships/hyperlink" Target="https://www.google.com/search?q=Delhi+Sultanate+%28site%3Adrishtiias.com+OR+site%3Avisionias.in+OR+site%3Ancert.nic.in%29" TargetMode="External"/><Relationship Id="rId131" Type="http://schemas.openxmlformats.org/officeDocument/2006/relationships/hyperlink" Target="https://www.youtube.com/results?search_query=Delhi+Sultanate+Drishti+IAS+BPSC" TargetMode="External"/><Relationship Id="rId132" Type="http://schemas.openxmlformats.org/officeDocument/2006/relationships/hyperlink" Target="https://www.youtube.com/results?search_query=Delhi+Sultanate+BPSC+Wallah" TargetMode="External"/><Relationship Id="rId133" Type="http://schemas.openxmlformats.org/officeDocument/2006/relationships/hyperlink" Target="https://www.youtube.com/results?search_query=Bihar+&#8211;+Geography%3A+Physiography%2C+Rivers+%26+Climate+BPSC+Wallah" TargetMode="External"/><Relationship Id="rId134" Type="http://schemas.openxmlformats.org/officeDocument/2006/relationships/hyperlink" Target="https://www.google.com/search?q=&#2342;&#2367;&#2354;&#2381;&#2354;&#2368;+&#2360;&#2354;&#2381;&#2340;&#2344;&#2340;+%28site%3Adrishtiias.com+OR+site%3Avisionias.in+OR+site%3Ancert.nic.in+OR+site%3Ajagranjosh.com+OR+site%3Agktoday.in%29" TargetMode="External"/><Relationship Id="rId135" Type="http://schemas.openxmlformats.org/officeDocument/2006/relationships/hyperlink" Target="https://www.google.com/search?q=Delhi+Sultanate+notes+pdf+Drishti+IAS+Vision+IAS+BPSC+Wallah" TargetMode="External"/><Relationship Id="rId136" Type="http://schemas.openxmlformats.org/officeDocument/2006/relationships/hyperlink" Target="https://www.google.com/search?q=Delhi+Sultanate+%28site%3Adrishtiias.com+OR+site%3Avisionias.in+OR+site%3Ancert.nic.in%29" TargetMode="External"/><Relationship Id="rId137" Type="http://schemas.openxmlformats.org/officeDocument/2006/relationships/hyperlink" Target="https://www.youtube.com/results?search_query=Delhi+Sultanate+Drishti+IAS+BPSC" TargetMode="External"/><Relationship Id="rId138" Type="http://schemas.openxmlformats.org/officeDocument/2006/relationships/hyperlink" Target="https://www.youtube.com/results?search_query=Delhi+Sultanate+BPSC+Wallah" TargetMode="External"/><Relationship Id="rId139" Type="http://schemas.openxmlformats.org/officeDocument/2006/relationships/hyperlink" Target="https://www.youtube.com/results?search_query=Bihar+&#8211;+Geography%3A+Physiography%2C+Rivers+%26+Climate+BPSC+Wallah" TargetMode="External"/><Relationship Id="rId140" Type="http://schemas.openxmlformats.org/officeDocument/2006/relationships/hyperlink" Target="https://www.google.com/search?q=&#2342;&#2367;&#2354;&#2381;&#2354;&#2368;+&#2360;&#2354;&#2381;&#2340;&#2344;&#2340;+%28site%3Adrishtiias.com+OR+site%3Avisionias.in+OR+site%3Ancert.nic.in+OR+site%3Ajagranjosh.com+OR+site%3Agktoday.in%29" TargetMode="External"/><Relationship Id="rId141" Type="http://schemas.openxmlformats.org/officeDocument/2006/relationships/hyperlink" Target="https://www.google.com/search?q=Bhakti+%26+Sufi+Movements+notes+pdf+Drishti+IAS+Vision+IAS+BPSC+Wallah" TargetMode="External"/><Relationship Id="rId142" Type="http://schemas.openxmlformats.org/officeDocument/2006/relationships/hyperlink" Target="https://www.google.com/search?q=Bhakti+%26+Sufi+Movements+%28site%3Adrishtiias.com+OR+site%3Avisionias.in+OR+site%3Ancert.nic.in%29" TargetMode="External"/><Relationship Id="rId143" Type="http://schemas.openxmlformats.org/officeDocument/2006/relationships/hyperlink" Target="https://www.youtube.com/results?search_query=Bhakti+%26+Sufi+Movements+Drishti+IAS+BPSC" TargetMode="External"/><Relationship Id="rId144" Type="http://schemas.openxmlformats.org/officeDocument/2006/relationships/hyperlink" Target="https://www.youtube.com/results?search_query=Bhakti+%26+Sufi+Movements+BPSC+Wallah" TargetMode="External"/><Relationship Id="rId145" Type="http://schemas.openxmlformats.org/officeDocument/2006/relationships/hyperlink" Target="https://www.youtube.com/results?search_query=Bihar+&#8211;+Geography%3A+Physiography%2C+Rivers+%26+Climate+BPSC+Wallah" TargetMode="External"/><Relationship Id="rId146" Type="http://schemas.openxmlformats.org/officeDocument/2006/relationships/hyperlink" Target="https://www.google.com/search?q=&#2349;&#2325;&#2381;&#2340;&#2367;+&#2319;&#2357;&#2306;+&#2360;&#2370;&#2347;&#2368;+&#2310;&#2306;&#2342;&#2379;&#2354;&#2344;+%28site%3Adrishtiias.com+OR+site%3Avisionias.in+OR+site%3Ancert.nic.in+OR+site%3Ajagranjosh.com+OR+site%3Agktoday.in%29" TargetMode="External"/><Relationship Id="rId147" Type="http://schemas.openxmlformats.org/officeDocument/2006/relationships/hyperlink" Target="https://www.google.com/search?q=Mughal+Empire+notes+pdf+Drishti+IAS+Vision+IAS+BPSC+Wallah" TargetMode="External"/><Relationship Id="rId148" Type="http://schemas.openxmlformats.org/officeDocument/2006/relationships/hyperlink" Target="https://www.google.com/search?q=Mughal+Empire+%28site%3Adrishtiias.com+OR+site%3Avisionias.in+OR+site%3Ancert.nic.in%29" TargetMode="External"/><Relationship Id="rId149" Type="http://schemas.openxmlformats.org/officeDocument/2006/relationships/hyperlink" Target="https://www.youtube.com/results?search_query=Mughal+Empire+Drishti+IAS+BPSC" TargetMode="External"/><Relationship Id="rId150" Type="http://schemas.openxmlformats.org/officeDocument/2006/relationships/hyperlink" Target="https://www.youtube.com/results?search_query=Mughal+Empire+BPSC+Wallah" TargetMode="External"/><Relationship Id="rId151" Type="http://schemas.openxmlformats.org/officeDocument/2006/relationships/hyperlink" Target="https://www.youtube.com/results?search_query=Bihar+&#8211;+Geography%3A+Physiography%2C+Rivers+%26+Climate+BPSC+Wallah" TargetMode="External"/><Relationship Id="rId152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53" Type="http://schemas.openxmlformats.org/officeDocument/2006/relationships/hyperlink" Target="https://www.google.com/search?q=Mughal+Empire+notes+pdf+Drishti+IAS+Vision+IAS+BPSC+Wallah" TargetMode="External"/><Relationship Id="rId154" Type="http://schemas.openxmlformats.org/officeDocument/2006/relationships/hyperlink" Target="https://www.google.com/search?q=Mughal+Empire+%28site%3Adrishtiias.com+OR+site%3Avisionias.in+OR+site%3Ancert.nic.in%29" TargetMode="External"/><Relationship Id="rId155" Type="http://schemas.openxmlformats.org/officeDocument/2006/relationships/hyperlink" Target="https://www.youtube.com/results?search_query=Mughal+Empire+Drishti+IAS+BPSC" TargetMode="External"/><Relationship Id="rId156" Type="http://schemas.openxmlformats.org/officeDocument/2006/relationships/hyperlink" Target="https://www.youtube.com/results?search_query=Mughal+Empire+BPSC+Wallah" TargetMode="External"/><Relationship Id="rId157" Type="http://schemas.openxmlformats.org/officeDocument/2006/relationships/hyperlink" Target="https://www.youtube.com/results?search_query=Bihar+&#8211;+Geography%3A+Physiography%2C+Rivers+%26+Climate+BPSC+Wallah" TargetMode="External"/><Relationship Id="rId158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59" Type="http://schemas.openxmlformats.org/officeDocument/2006/relationships/hyperlink" Target="https://www.google.com/search?q=Mughal+Empire+notes+pdf+Drishti+IAS+Vision+IAS+BPSC+Wallah" TargetMode="External"/><Relationship Id="rId160" Type="http://schemas.openxmlformats.org/officeDocument/2006/relationships/hyperlink" Target="https://www.google.com/search?q=Mughal+Empire+%28site%3Adrishtiias.com+OR+site%3Avisionias.in+OR+site%3Ancert.nic.in%29" TargetMode="External"/><Relationship Id="rId161" Type="http://schemas.openxmlformats.org/officeDocument/2006/relationships/hyperlink" Target="https://www.youtube.com/results?search_query=Mughal+Empire+Drishti+IAS+BPSC" TargetMode="External"/><Relationship Id="rId162" Type="http://schemas.openxmlformats.org/officeDocument/2006/relationships/hyperlink" Target="https://www.youtube.com/results?search_query=Mughal+Empire+BPSC+Wallah" TargetMode="External"/><Relationship Id="rId163" Type="http://schemas.openxmlformats.org/officeDocument/2006/relationships/hyperlink" Target="https://www.youtube.com/results?search_query=Bihar+&#8211;+Agriculture%2C+Irrigation+%26+Industries+BPSC+Wallah" TargetMode="External"/><Relationship Id="rId164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65" Type="http://schemas.openxmlformats.org/officeDocument/2006/relationships/hyperlink" Target="https://www.google.com/search?q=BPSC+weekly+revision+notes+pdf+Drishti+IAS+Vision+IAS" TargetMode="External"/><Relationship Id="rId166" Type="http://schemas.openxmlformats.org/officeDocument/2006/relationships/hyperlink" Target="https://www.google.com/search?q=weekly+current+affairs+revision+%28site%3Adrishtiias.com+OR+site%3Avisionias.in+OR+site%3Apib.gov.in%29" TargetMode="External"/><Relationship Id="rId167" Type="http://schemas.openxmlformats.org/officeDocument/2006/relationships/hyperlink" Target="https://www.youtube.com/results?search_query=BPSC+prelims+mock+test+analysis+strategy+Drishti+IAS" TargetMode="External"/><Relationship Id="rId168" Type="http://schemas.openxmlformats.org/officeDocument/2006/relationships/hyperlink" Target="https://www.youtube.com/results?search_query=BPSC+Wallah+BPSC+prelims+test+series+discussion" TargetMode="External"/><Relationship Id="rId169" Type="http://schemas.openxmlformats.org/officeDocument/2006/relationships/hyperlink" Target="https://www.youtube.com/results?search_query=BPSC+Wallah+BPSC+revision+strategy" TargetMode="External"/><Relationship Id="rId170" Type="http://schemas.openxmlformats.org/officeDocument/2006/relationships/hyperlink" Target="https://www.google.com/search?q=Mughal+Empire+notes+pdf+Drishti+IAS+Vision+IAS+BPSC+Wallah" TargetMode="External"/><Relationship Id="rId171" Type="http://schemas.openxmlformats.org/officeDocument/2006/relationships/hyperlink" Target="https://www.google.com/search?q=Mughal+Empire+%28site%3Adrishtiias.com+OR+site%3Avisionias.in+OR+site%3Ancert.nic.in%29" TargetMode="External"/><Relationship Id="rId172" Type="http://schemas.openxmlformats.org/officeDocument/2006/relationships/hyperlink" Target="https://www.youtube.com/results?search_query=Mughal+Empire+Drishti+IAS+BPSC" TargetMode="External"/><Relationship Id="rId173" Type="http://schemas.openxmlformats.org/officeDocument/2006/relationships/hyperlink" Target="https://www.youtube.com/results?search_query=Mughal+Empire+BPSC+Wallah" TargetMode="External"/><Relationship Id="rId174" Type="http://schemas.openxmlformats.org/officeDocument/2006/relationships/hyperlink" Target="https://www.youtube.com/results?search_query=Bihar+&#8211;+Agriculture%2C+Irrigation+%26+Industries+BPSC+Wallah" TargetMode="External"/><Relationship Id="rId175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76" Type="http://schemas.openxmlformats.org/officeDocument/2006/relationships/hyperlink" Target="https://www.google.com/search?q=Mughal+Empire+notes+pdf+Drishti+IAS+Vision+IAS+BPSC+Wallah" TargetMode="External"/><Relationship Id="rId177" Type="http://schemas.openxmlformats.org/officeDocument/2006/relationships/hyperlink" Target="https://www.google.com/search?q=Mughal+Empire+%28site%3Adrishtiias.com+OR+site%3Avisionias.in+OR+site%3Ancert.nic.in%29" TargetMode="External"/><Relationship Id="rId178" Type="http://schemas.openxmlformats.org/officeDocument/2006/relationships/hyperlink" Target="https://www.youtube.com/results?search_query=Mughal+Empire+Drishti+IAS+BPSC" TargetMode="External"/><Relationship Id="rId179" Type="http://schemas.openxmlformats.org/officeDocument/2006/relationships/hyperlink" Target="https://www.youtube.com/results?search_query=Mughal+Empire+BPSC+Wallah" TargetMode="External"/><Relationship Id="rId180" Type="http://schemas.openxmlformats.org/officeDocument/2006/relationships/hyperlink" Target="https://www.youtube.com/results?search_query=Bihar+&#8211;+Agriculture%2C+Irrigation+%26+Industries+BPSC+Wallah" TargetMode="External"/><Relationship Id="rId181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82" Type="http://schemas.openxmlformats.org/officeDocument/2006/relationships/hyperlink" Target="https://www.google.com/search?q=Marathas+%26+Regional+Powers+%2818th+century%29+notes+pdf+Drishti+IAS+Vision+IAS+BPSC+Wallah" TargetMode="External"/><Relationship Id="rId183" Type="http://schemas.openxmlformats.org/officeDocument/2006/relationships/hyperlink" Target="https://www.google.com/search?q=Marathas+%26+Regional+Powers+%2818th+century%29+%28site%3Adrishtiias.com+OR+site%3Avisionias.in+OR+site%3Ancert.nic.in%29" TargetMode="External"/><Relationship Id="rId184" Type="http://schemas.openxmlformats.org/officeDocument/2006/relationships/hyperlink" Target="https://www.youtube.com/results?search_query=Marathas+%26+Regional+Powers+%2818th+century%29+Drishti+IAS+BPSC" TargetMode="External"/><Relationship Id="rId185" Type="http://schemas.openxmlformats.org/officeDocument/2006/relationships/hyperlink" Target="https://www.youtube.com/results?search_query=Marathas+%26+Regional+Powers+%2818th+century%29+BPSC+Wallah" TargetMode="External"/><Relationship Id="rId186" Type="http://schemas.openxmlformats.org/officeDocument/2006/relationships/hyperlink" Target="https://www.youtube.com/results?search_query=Bihar+&#8211;+Agriculture%2C+Irrigation+%26+Industries+BPSC+Wallah" TargetMode="External"/><Relationship Id="rId187" Type="http://schemas.openxmlformats.org/officeDocument/2006/relationships/hyperlink" Target="https://www.google.com/search?q=&#2350;&#2352;&#2366;&#2336;&#2366;+&#2319;&#2357;&#2306;+&#2325;&#2381;&#2359;&#2375;&#2340;&#2381;&#2352;&#2368;&#2351;+&#2358;&#2325;&#2381;&#2340;&#2367;&#2351;&#2366;&#2305;+%2818&#2357;&#2368;&#2306;+&#2358;&#2340;&#2366;&#2348;&#2381;&#2342;&#2368;%29+%28site%3Adrishtiias.com+OR+site%3Avisionias.in+OR+site%3Ancert.nic.in+OR+site%3Ajagranjosh.com+OR+site%3Agktoday.in%29" TargetMode="External"/><Relationship Id="rId188" Type="http://schemas.openxmlformats.org/officeDocument/2006/relationships/hyperlink" Target="https://www.google.com/search?q=European+Advent+%26+British+Expansion+notes+pdf+Drishti+IAS+Vision+IAS+BPSC+Wallah" TargetMode="External"/><Relationship Id="rId189" Type="http://schemas.openxmlformats.org/officeDocument/2006/relationships/hyperlink" Target="https://www.google.com/search?q=European+Advent+%26+British+Expansion+%28site%3Adrishtiias.com+OR+site%3Avisionias.in+OR+site%3Ancert.nic.in%29" TargetMode="External"/><Relationship Id="rId190" Type="http://schemas.openxmlformats.org/officeDocument/2006/relationships/hyperlink" Target="https://www.youtube.com/results?search_query=European+Advent+%26+British+Expansion+Drishti+IAS+BPSC" TargetMode="External"/><Relationship Id="rId191" Type="http://schemas.openxmlformats.org/officeDocument/2006/relationships/hyperlink" Target="https://www.youtube.com/results?search_query=European+Advent+%26+British+Expansion+BPSC+Wallah" TargetMode="External"/><Relationship Id="rId192" Type="http://schemas.openxmlformats.org/officeDocument/2006/relationships/hyperlink" Target="https://www.youtube.com/results?search_query=Bihar+&#8211;+Agriculture%2C+Irrigation+%26+Industries+BPSC+Wallah" TargetMode="External"/><Relationship Id="rId193" Type="http://schemas.openxmlformats.org/officeDocument/2006/relationships/hyperlink" Target="https://www.google.com/search?q=&#2351;&#2370;&#2352;&#2379;&#2346;&#2368;&#2351;+&#2310;&#2327;&#2350;&#2344;+&#2319;&#2357;&#2306;+&#2348;&#2381;&#2352;&#2367;&#2335;&#2367;&#2358;+&#2357;&#2367;&#2360;&#2381;&#2340;&#2366;&#2352;+%28site%3Adrishtiias.com+OR+site%3Avisionias.in+OR+site%3Ancert.nic.in+OR+site%3Ajagranjosh.com+OR+site%3Agktoday.in%29" TargetMode="External"/><Relationship Id="rId194" Type="http://schemas.openxmlformats.org/officeDocument/2006/relationships/hyperlink" Target="https://www.google.com/search?q=European+Advent+%26+British+Expansion+notes+pdf+Drishti+IAS+Vision+IAS+BPSC+Wallah" TargetMode="External"/><Relationship Id="rId195" Type="http://schemas.openxmlformats.org/officeDocument/2006/relationships/hyperlink" Target="https://www.google.com/search?q=European+Advent+%26+British+Expansion+%28site%3Adrishtiias.com+OR+site%3Avisionias.in+OR+site%3Ancert.nic.in%29" TargetMode="External"/><Relationship Id="rId196" Type="http://schemas.openxmlformats.org/officeDocument/2006/relationships/hyperlink" Target="https://www.youtube.com/results?search_query=European+Advent+%26+British+Expansion+Drishti+IAS+BPSC" TargetMode="External"/><Relationship Id="rId197" Type="http://schemas.openxmlformats.org/officeDocument/2006/relationships/hyperlink" Target="https://www.youtube.com/results?search_query=European+Advent+%26+British+Expansion+BPSC+Wallah" TargetMode="External"/><Relationship Id="rId198" Type="http://schemas.openxmlformats.org/officeDocument/2006/relationships/hyperlink" Target="https://www.youtube.com/results?search_query=Bihar+&#8211;+Economy%2C+Budget+%26+Government+Schemes+BPSC+Wallah" TargetMode="External"/><Relationship Id="rId199" Type="http://schemas.openxmlformats.org/officeDocument/2006/relationships/hyperlink" Target="https://www.google.com/search?q=&#2351;&#2370;&#2352;&#2379;&#2346;&#2368;&#2351;+&#2310;&#2327;&#2350;&#2344;+&#2319;&#2357;&#2306;+&#2348;&#2381;&#2352;&#2367;&#2335;&#2367;&#2358;+&#2357;&#2367;&#2360;&#2381;&#2340;&#2366;&#2352;+%28site%3Adrishtiias.com+OR+site%3Avisionias.in+OR+site%3Ancert.nic.in+OR+site%3Ajagranjosh.com+OR+site%3Agktoday.in%29" TargetMode="External"/><Relationship Id="rId200" Type="http://schemas.openxmlformats.org/officeDocument/2006/relationships/hyperlink" Target="https://www.google.com/search?q=European+Advent+%26+British+Expansion+notes+pdf+Drishti+IAS+Vision+IAS+BPSC+Wallah" TargetMode="External"/><Relationship Id="rId201" Type="http://schemas.openxmlformats.org/officeDocument/2006/relationships/hyperlink" Target="https://www.google.com/search?q=European+Advent+%26+British+Expansion+%28site%3Adrishtiias.com+OR+site%3Avisionias.in+OR+site%3Ancert.nic.in%29" TargetMode="External"/><Relationship Id="rId202" Type="http://schemas.openxmlformats.org/officeDocument/2006/relationships/hyperlink" Target="https://www.youtube.com/results?search_query=European+Advent+%26+British+Expansion+Drishti+IAS+BPSC" TargetMode="External"/><Relationship Id="rId203" Type="http://schemas.openxmlformats.org/officeDocument/2006/relationships/hyperlink" Target="https://www.youtube.com/results?search_query=European+Advent+%26+British+Expansion+BPSC+Wallah" TargetMode="External"/><Relationship Id="rId204" Type="http://schemas.openxmlformats.org/officeDocument/2006/relationships/hyperlink" Target="https://www.youtube.com/results?search_query=Bihar+&#8211;+Economy%2C+Budget+%26+Government+Schemes+BPSC+Wallah" TargetMode="External"/><Relationship Id="rId205" Type="http://schemas.openxmlformats.org/officeDocument/2006/relationships/hyperlink" Target="https://www.google.com/search?q=&#2351;&#2370;&#2352;&#2379;&#2346;&#2368;&#2351;+&#2310;&#2327;&#2350;&#2344;+&#2319;&#2357;&#2306;+&#2348;&#2381;&#2352;&#2367;&#2335;&#2367;&#2358;+&#2357;&#2367;&#2360;&#2381;&#2340;&#2366;&#2352;+%28site%3Adrishtiias.com+OR+site%3Avisionias.in+OR+site%3Ancert.nic.in+OR+site%3Ajagranjosh.com+OR+site%3Agktoday.in%29" TargetMode="External"/><Relationship Id="rId206" Type="http://schemas.openxmlformats.org/officeDocument/2006/relationships/hyperlink" Target="https://www.google.com/search?q=BPSC+weekly+revision+notes+pdf+Drishti+IAS+Vision+IAS" TargetMode="External"/><Relationship Id="rId207" Type="http://schemas.openxmlformats.org/officeDocument/2006/relationships/hyperlink" Target="https://www.google.com/search?q=weekly+current+affairs+revision+%28site%3Adrishtiias.com+OR+site%3Avisionias.in+OR+site%3Apib.gov.in%29" TargetMode="External"/><Relationship Id="rId208" Type="http://schemas.openxmlformats.org/officeDocument/2006/relationships/hyperlink" Target="https://www.youtube.com/results?search_query=BPSC+prelims+mock+test+analysis+strategy+Drishti+IAS" TargetMode="External"/><Relationship Id="rId209" Type="http://schemas.openxmlformats.org/officeDocument/2006/relationships/hyperlink" Target="https://www.youtube.com/results?search_query=BPSC+Wallah+BPSC+prelims+test+series+discussion" TargetMode="External"/><Relationship Id="rId210" Type="http://schemas.openxmlformats.org/officeDocument/2006/relationships/hyperlink" Target="https://www.youtube.com/results?search_query=BPSC+Wallah+BPSC+revision+strategy" TargetMode="External"/><Relationship Id="rId211" Type="http://schemas.openxmlformats.org/officeDocument/2006/relationships/hyperlink" Target="https://www.google.com/search?q=Revolt+of+1857+notes+pdf+Drishti+IAS+Vision+IAS+BPSC+Wallah" TargetMode="External"/><Relationship Id="rId212" Type="http://schemas.openxmlformats.org/officeDocument/2006/relationships/hyperlink" Target="https://www.google.com/search?q=Revolt+of+1857+%28site%3Adrishtiias.com+OR+site%3Avisionias.in+OR+site%3Ancert.nic.in%29" TargetMode="External"/><Relationship Id="rId213" Type="http://schemas.openxmlformats.org/officeDocument/2006/relationships/hyperlink" Target="https://www.youtube.com/results?search_query=Revolt+of+1857+Drishti+IAS+BPSC" TargetMode="External"/><Relationship Id="rId214" Type="http://schemas.openxmlformats.org/officeDocument/2006/relationships/hyperlink" Target="https://www.youtube.com/results?search_query=Revolt+of+1857+BPSC+Wallah" TargetMode="External"/><Relationship Id="rId215" Type="http://schemas.openxmlformats.org/officeDocument/2006/relationships/hyperlink" Target="https://www.youtube.com/results?search_query=Bihar+&#8211;+Economy%2C+Budget+%26+Government+Schemes+BPSC+Wallah" TargetMode="External"/><Relationship Id="rId216" Type="http://schemas.openxmlformats.org/officeDocument/2006/relationships/hyperlink" Target="https://www.google.com/search?q=1857+&#2325;&#2366;+&#2357;&#2367;&#2342;&#2381;&#2352;&#2379;&#2361;+%28site%3Adrishtiias.com+OR+site%3Avisionias.in+OR+site%3Ancert.nic.in+OR+site%3Ajagranjosh.com+OR+site%3Agktoday.in%29" TargetMode="External"/><Relationship Id="rId217" Type="http://schemas.openxmlformats.org/officeDocument/2006/relationships/hyperlink" Target="https://www.google.com/search?q=Revolt+of+1857+notes+pdf+Drishti+IAS+Vision+IAS+BPSC+Wallah" TargetMode="External"/><Relationship Id="rId218" Type="http://schemas.openxmlformats.org/officeDocument/2006/relationships/hyperlink" Target="https://www.google.com/search?q=Revolt+of+1857+%28site%3Adrishtiias.com+OR+site%3Avisionias.in+OR+site%3Ancert.nic.in%29" TargetMode="External"/><Relationship Id="rId219" Type="http://schemas.openxmlformats.org/officeDocument/2006/relationships/hyperlink" Target="https://www.youtube.com/results?search_query=Revolt+of+1857+Drishti+IAS+BPSC" TargetMode="External"/><Relationship Id="rId220" Type="http://schemas.openxmlformats.org/officeDocument/2006/relationships/hyperlink" Target="https://www.youtube.com/results?search_query=Revolt+of+1857+BPSC+Wallah" TargetMode="External"/><Relationship Id="rId221" Type="http://schemas.openxmlformats.org/officeDocument/2006/relationships/hyperlink" Target="https://www.youtube.com/results?search_query=Bihar+&#8211;+Economy%2C+Budget+%26+Government+Schemes+BPSC+Wallah" TargetMode="External"/><Relationship Id="rId222" Type="http://schemas.openxmlformats.org/officeDocument/2006/relationships/hyperlink" Target="https://www.google.com/search?q=1857+&#2325;&#2366;+&#2357;&#2367;&#2342;&#2381;&#2352;&#2379;&#2361;+%28site%3Adrishtiias.com+OR+site%3Avisionias.in+OR+site%3Ancert.nic.in+OR+site%3Ajagranjosh.com+OR+site%3Agktoday.in%29" TargetMode="External"/><Relationship Id="rId223" Type="http://schemas.openxmlformats.org/officeDocument/2006/relationships/hyperlink" Target="https://www.google.com/search?q=Socio-Religious+Reform+Movements+notes+pdf+Drishti+IAS+Vision+IAS+BPSC+Wallah" TargetMode="External"/><Relationship Id="rId224" Type="http://schemas.openxmlformats.org/officeDocument/2006/relationships/hyperlink" Target="https://www.google.com/search?q=Socio-Religious+Reform+Movements+%28site%3Adrishtiias.com+OR+site%3Avisionias.in+OR+site%3Ancert.nic.in%29" TargetMode="External"/><Relationship Id="rId225" Type="http://schemas.openxmlformats.org/officeDocument/2006/relationships/hyperlink" Target="https://www.youtube.com/results?search_query=Socio-Religious+Reform+Movements+Drishti+IAS+BPSC" TargetMode="External"/><Relationship Id="rId226" Type="http://schemas.openxmlformats.org/officeDocument/2006/relationships/hyperlink" Target="https://www.youtube.com/results?search_query=Socio-Religious+Reform+Movements+BPSC+Wallah" TargetMode="External"/><Relationship Id="rId227" Type="http://schemas.openxmlformats.org/officeDocument/2006/relationships/hyperlink" Target="https://www.youtube.com/results?search_query=Bihar+&#8211;+Economy%2C+Budget+%26+Government+Schemes+BPSC+Wallah" TargetMode="External"/><Relationship Id="rId228" Type="http://schemas.openxmlformats.org/officeDocument/2006/relationships/hyperlink" Target="https://www.google.com/search?q=&#2360;&#2366;&#2350;&#2366;&#2332;&#2367;&#2325;-&#2343;&#2366;&#2352;&#2381;&#2350;&#2367;&#2325;+&#2360;&#2369;&#2343;&#2366;&#2352;+&#2310;&#2306;&#2342;&#2379;&#2354;&#2344;+%28site%3Adrishtiias.com+OR+site%3Avisionias.in+OR+site%3Ancert.nic.in+OR+site%3Ajagranjosh.com+OR+site%3Agktoday.in%29" TargetMode="External"/><Relationship Id="rId229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230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231" Type="http://schemas.openxmlformats.org/officeDocument/2006/relationships/hyperlink" Target="https://www.youtube.com/results?search_query=Early+Nationalism%3A+INC%2C+Moderates%2C+Extremists%2C+Swadeshi+Drishti+IAS+BPSC" TargetMode="External"/><Relationship Id="rId232" Type="http://schemas.openxmlformats.org/officeDocument/2006/relationships/hyperlink" Target="https://www.youtube.com/results?search_query=Early+Nationalism%3A+INC%2C+Moderates%2C+Extremists%2C+Swadeshi+BPSC+Wallah" TargetMode="External"/><Relationship Id="rId233" Type="http://schemas.openxmlformats.org/officeDocument/2006/relationships/hyperlink" Target="https://www.youtube.com/results?search_query=Bihar+&#8211;+Economy%2C+Budget+%26+Government+Schemes+BPSC+Wallah" TargetMode="External"/><Relationship Id="rId234" Type="http://schemas.openxmlformats.org/officeDocument/2006/relationships/hyperlink" Target="https://www.google.com/search?q=&#2346;&#2381;&#2352;&#2366;&#2352;&#2306;&#2349;&#2367;&#2325;+&#2352;&#2366;&#2359;&#2381;&#2335;&#2381;&#2352;&#2357;&#2366;&#2342;%3A+&#2325;&#2366;&#2306;&#2327;&#2381;&#2352;&#2375;&#2360;%2C+&#2344;&#2352;&#2350;&#2346;&#2306;&#2341;&#2368;%2C+&#2327;&#2352;&#2350;&#2346;&#2306;&#2341;&#2368;%2C+&#2360;&#2381;&#2357;&#2342;&#2375;&#2358;&#2368;+%28site%3Adrishtiias.com+OR+site%3Avisionias.in+OR+site%3Ancert.nic.in+OR+site%3Ajagranjosh.com+OR+site%3Agktoday.in%29" TargetMode="External"/><Relationship Id="rId235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236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237" Type="http://schemas.openxmlformats.org/officeDocument/2006/relationships/hyperlink" Target="https://www.youtube.com/results?search_query=Early+Nationalism%3A+INC%2C+Moderates%2C+Extremists%2C+Swadeshi+Drishti+IAS+BPSC" TargetMode="External"/><Relationship Id="rId238" Type="http://schemas.openxmlformats.org/officeDocument/2006/relationships/hyperlink" Target="https://www.youtube.com/results?search_query=Early+Nationalism%3A+INC%2C+Moderates%2C+Extremists%2C+Swadeshi+BPSC+Wallah" TargetMode="External"/><Relationship Id="rId239" Type="http://schemas.openxmlformats.org/officeDocument/2006/relationships/hyperlink" Target="https://www.youtube.com/results?search_query=Bihar+&#8211;+Economy%2C+Budget+%26+Government+Schemes+BPSC+Wallah" TargetMode="External"/><Relationship Id="rId240" Type="http://schemas.openxmlformats.org/officeDocument/2006/relationships/hyperlink" Target="https://www.google.com/search?q=&#2346;&#2381;&#2352;&#2366;&#2352;&#2306;&#2349;&#2367;&#2325;+&#2352;&#2366;&#2359;&#2381;&#2335;&#2381;&#2352;&#2357;&#2366;&#2342;%3A+&#2325;&#2366;&#2306;&#2327;&#2381;&#2352;&#2375;&#2360;%2C+&#2344;&#2352;&#2350;&#2346;&#2306;&#2341;&#2368;%2C+&#2327;&#2352;&#2350;&#2346;&#2306;&#2341;&#2368;%2C+&#2360;&#2381;&#2357;&#2342;&#2375;&#2358;&#2368;+%28site%3Adrishtiias.com+OR+site%3Avisionias.in+OR+site%3Ancert.nic.in+OR+site%3Ajagranjosh.com+OR+site%3Agktoday.in%29" TargetMode="External"/><Relationship Id="rId241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242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243" Type="http://schemas.openxmlformats.org/officeDocument/2006/relationships/hyperlink" Target="https://www.youtube.com/results?search_query=Early+Nationalism%3A+INC%2C+Moderates%2C+Extremists%2C+Swadeshi+Drishti+IAS+BPSC" TargetMode="External"/><Relationship Id="rId244" Type="http://schemas.openxmlformats.org/officeDocument/2006/relationships/hyperlink" Target="https://www.youtube.com/results?search_query=Early+Nationalism%3A+INC%2C+Moderates%2C+Extremists%2C+Swadeshi+BPSC+Wallah" TargetMode="External"/><Relationship Id="rId245" Type="http://schemas.openxmlformats.org/officeDocument/2006/relationships/hyperlink" Target="https://www.youtube.com/results?search_query=Bihar+&#8211;+Polity+%26+Administration+BPSC+Wallah" TargetMode="External"/><Relationship Id="rId246" Type="http://schemas.openxmlformats.org/officeDocument/2006/relationships/hyperlink" Target="https://www.google.com/search?q=&#2346;&#2381;&#2352;&#2366;&#2352;&#2306;&#2349;&#2367;&#2325;+&#2352;&#2366;&#2359;&#2381;&#2335;&#2381;&#2352;&#2357;&#2366;&#2342;%3A+&#2325;&#2366;&#2306;&#2327;&#2381;&#2352;&#2375;&#2360;%2C+&#2344;&#2352;&#2350;&#2346;&#2306;&#2341;&#2368;%2C+&#2327;&#2352;&#2350;&#2346;&#2306;&#2341;&#2368;%2C+&#2360;&#2381;&#2357;&#2342;&#2375;&#2358;&#2368;+%28site%3Adrishtiias.com+OR+site%3Avisionias.in+OR+site%3Ancert.nic.in+OR+site%3Ajagranjosh.com+OR+site%3Agktoday.in%29" TargetMode="External"/><Relationship Id="rId247" Type="http://schemas.openxmlformats.org/officeDocument/2006/relationships/hyperlink" Target="https://www.google.com/search?q=BPSC+weekly+revision+notes+pdf+Drishti+IAS+Vision+IAS" TargetMode="External"/><Relationship Id="rId248" Type="http://schemas.openxmlformats.org/officeDocument/2006/relationships/hyperlink" Target="https://www.google.com/search?q=weekly+current+affairs+revision+%28site%3Adrishtiias.com+OR+site%3Avisionias.in+OR+site%3Apib.gov.in%29" TargetMode="External"/><Relationship Id="rId249" Type="http://schemas.openxmlformats.org/officeDocument/2006/relationships/hyperlink" Target="https://www.youtube.com/results?search_query=BPSC+prelims+mock+test+analysis+strategy+Drishti+IAS" TargetMode="External"/><Relationship Id="rId250" Type="http://schemas.openxmlformats.org/officeDocument/2006/relationships/hyperlink" Target="https://www.youtube.com/results?search_query=BPSC+Wallah+BPSC+prelims+test+series+discussion" TargetMode="External"/><Relationship Id="rId251" Type="http://schemas.openxmlformats.org/officeDocument/2006/relationships/hyperlink" Target="https://www.youtube.com/results?search_query=BPSC+Wallah+BPSC+revision+strategy" TargetMode="External"/><Relationship Id="rId252" Type="http://schemas.openxmlformats.org/officeDocument/2006/relationships/hyperlink" Target="https://www.google.com/search?q=Gandhian+Era%3A+Champaran+to+Quit+India+notes+pdf+Drishti+IAS+Vision+IAS+BPSC+Wallah" TargetMode="External"/><Relationship Id="rId253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254" Type="http://schemas.openxmlformats.org/officeDocument/2006/relationships/hyperlink" Target="https://www.youtube.com/results?search_query=Gandhian+Era%3A+Champaran+to+Quit+India+Drishti+IAS+BPSC" TargetMode="External"/><Relationship Id="rId255" Type="http://schemas.openxmlformats.org/officeDocument/2006/relationships/hyperlink" Target="https://www.youtube.com/results?search_query=Gandhian+Era%3A+Champaran+to+Quit+India+BPSC+Wallah" TargetMode="External"/><Relationship Id="rId256" Type="http://schemas.openxmlformats.org/officeDocument/2006/relationships/hyperlink" Target="https://www.youtube.com/results?search_query=Bihar+&#8211;+Polity+%26+Administration+BPSC+Wallah" TargetMode="External"/><Relationship Id="rId257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258" Type="http://schemas.openxmlformats.org/officeDocument/2006/relationships/hyperlink" Target="https://www.google.com/search?q=Gandhian+Era%3A+Champaran+to+Quit+India+notes+pdf+Drishti+IAS+Vision+IAS+BPSC+Wallah" TargetMode="External"/><Relationship Id="rId259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260" Type="http://schemas.openxmlformats.org/officeDocument/2006/relationships/hyperlink" Target="https://www.youtube.com/results?search_query=Gandhian+Era%3A+Champaran+to+Quit+India+Drishti+IAS+BPSC" TargetMode="External"/><Relationship Id="rId261" Type="http://schemas.openxmlformats.org/officeDocument/2006/relationships/hyperlink" Target="https://www.youtube.com/results?search_query=Gandhian+Era%3A+Champaran+to+Quit+India+BPSC+Wallah" TargetMode="External"/><Relationship Id="rId262" Type="http://schemas.openxmlformats.org/officeDocument/2006/relationships/hyperlink" Target="https://www.youtube.com/results?search_query=Bihar+&#8211;+Polity+%26+Administration+BPSC+Wallah" TargetMode="External"/><Relationship Id="rId263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264" Type="http://schemas.openxmlformats.org/officeDocument/2006/relationships/hyperlink" Target="https://www.google.com/search?q=Gandhian+Era%3A+Champaran+to+Quit+India+notes+pdf+Drishti+IAS+Vision+IAS+BPSC+Wallah" TargetMode="External"/><Relationship Id="rId265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266" Type="http://schemas.openxmlformats.org/officeDocument/2006/relationships/hyperlink" Target="https://www.youtube.com/results?search_query=Gandhian+Era%3A+Champaran+to+Quit+India+Drishti+IAS+BPSC" TargetMode="External"/><Relationship Id="rId267" Type="http://schemas.openxmlformats.org/officeDocument/2006/relationships/hyperlink" Target="https://www.youtube.com/results?search_query=Gandhian+Era%3A+Champaran+to+Quit+India+BPSC+Wallah" TargetMode="External"/><Relationship Id="rId268" Type="http://schemas.openxmlformats.org/officeDocument/2006/relationships/hyperlink" Target="https://www.youtube.com/results?search_query=Bihar+&#8211;+Polity+%26+Administration+BPSC+Wallah" TargetMode="External"/><Relationship Id="rId269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270" Type="http://schemas.openxmlformats.org/officeDocument/2006/relationships/hyperlink" Target="https://www.google.com/search?q=Gandhian+Era%3A+Champaran+to+Quit+India+notes+pdf+Drishti+IAS+Vision+IAS+BPSC+Wallah" TargetMode="External"/><Relationship Id="rId271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272" Type="http://schemas.openxmlformats.org/officeDocument/2006/relationships/hyperlink" Target="https://www.youtube.com/results?search_query=Gandhian+Era%3A+Champaran+to+Quit+India+Drishti+IAS+BPSC" TargetMode="External"/><Relationship Id="rId273" Type="http://schemas.openxmlformats.org/officeDocument/2006/relationships/hyperlink" Target="https://www.youtube.com/results?search_query=Gandhian+Era%3A+Champaran+to+Quit+India+BPSC+Wallah" TargetMode="External"/><Relationship Id="rId274" Type="http://schemas.openxmlformats.org/officeDocument/2006/relationships/hyperlink" Target="https://www.youtube.com/results?search_query=Bihar+&#8211;+Polity+%26+Administration+BPSC+Wallah" TargetMode="External"/><Relationship Id="rId275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276" Type="http://schemas.openxmlformats.org/officeDocument/2006/relationships/hyperlink" Target="https://www.google.com/search?q=Gandhian+Era%3A+Champaran+to+Quit+India+notes+pdf+Drishti+IAS+Vision+IAS+BPSC+Wallah" TargetMode="External"/><Relationship Id="rId277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278" Type="http://schemas.openxmlformats.org/officeDocument/2006/relationships/hyperlink" Target="https://www.youtube.com/results?search_query=Gandhian+Era%3A+Champaran+to+Quit+India+Drishti+IAS+BPSC" TargetMode="External"/><Relationship Id="rId279" Type="http://schemas.openxmlformats.org/officeDocument/2006/relationships/hyperlink" Target="https://www.youtube.com/results?search_query=Gandhian+Era%3A+Champaran+to+Quit+India+BPSC+Wallah" TargetMode="External"/><Relationship Id="rId280" Type="http://schemas.openxmlformats.org/officeDocument/2006/relationships/hyperlink" Target="https://www.youtube.com/results?search_query=Bihar+&#8211;+Art%2C+Culture%2C+Literature+%26+Tourism+BPSC+Wallah" TargetMode="External"/><Relationship Id="rId281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282" Type="http://schemas.openxmlformats.org/officeDocument/2006/relationships/hyperlink" Target="https://www.google.com/search?q=Revolutionaries%2C+Constitutional+Developments+%26+Partition+notes+pdf+Drishti+IAS+Vision+IAS+BPSC+Wallah" TargetMode="External"/><Relationship Id="rId283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284" Type="http://schemas.openxmlformats.org/officeDocument/2006/relationships/hyperlink" Target="https://www.youtube.com/results?search_query=Revolutionaries%2C+Constitutional+Developments+%26+Partition+Drishti+IAS+BPSC" TargetMode="External"/><Relationship Id="rId285" Type="http://schemas.openxmlformats.org/officeDocument/2006/relationships/hyperlink" Target="https://www.youtube.com/results?search_query=Revolutionaries%2C+Constitutional+Developments+%26+Partition+BPSC+Wallah" TargetMode="External"/><Relationship Id="rId286" Type="http://schemas.openxmlformats.org/officeDocument/2006/relationships/hyperlink" Target="https://www.youtube.com/results?search_query=Bihar+&#8211;+Art%2C+Culture%2C+Literature+%26+Tourism+BPSC+Wallah" TargetMode="External"/><Relationship Id="rId287" Type="http://schemas.openxmlformats.org/officeDocument/2006/relationships/hyperlink" Target="https://www.google.com/search?q=&#2325;&#2381;&#2352;&#2366;&#2306;&#2340;&#2367;&#2325;&#2366;&#2352;&#2368;+&#2310;&#2306;&#2342;&#2379;&#2354;&#2344;%2C+&#2360;&#2306;&#2357;&#2376;&#2343;&#2366;&#2344;&#2367;&#2325;+&#2357;&#2367;&#2325;&#2366;&#2360;+&#2319;&#2357;&#2306;+&#2357;&#2367;&#2349;&#2366;&#2332;&#2344;+%28site%3Adrishtiias.com+OR+site%3Avisionias.in+OR+site%3Ancert.nic.in+OR+site%3Ajagranjosh.com+OR+site%3Agktoday.in%29" TargetMode="External"/><Relationship Id="rId288" Type="http://schemas.openxmlformats.org/officeDocument/2006/relationships/hyperlink" Target="https://www.google.com/search?q=BPSC+weekly+revision+notes+pdf+Drishti+IAS+Vision+IAS" TargetMode="External"/><Relationship Id="rId289" Type="http://schemas.openxmlformats.org/officeDocument/2006/relationships/hyperlink" Target="https://www.google.com/search?q=weekly+current+affairs+revision+%28site%3Adrishtiias.com+OR+site%3Avisionias.in+OR+site%3Apib.gov.in%29" TargetMode="External"/><Relationship Id="rId290" Type="http://schemas.openxmlformats.org/officeDocument/2006/relationships/hyperlink" Target="https://www.youtube.com/results?search_query=BPSC+prelims+mock+test+analysis+strategy+Drishti+IAS" TargetMode="External"/><Relationship Id="rId291" Type="http://schemas.openxmlformats.org/officeDocument/2006/relationships/hyperlink" Target="https://www.youtube.com/results?search_query=BPSC+Wallah+BPSC+prelims+test+series+discussion" TargetMode="External"/><Relationship Id="rId292" Type="http://schemas.openxmlformats.org/officeDocument/2006/relationships/hyperlink" Target="https://www.youtube.com/results?search_query=BPSC+Wallah+BPSC+revision+strategy" TargetMode="External"/><Relationship Id="rId293" Type="http://schemas.openxmlformats.org/officeDocument/2006/relationships/hyperlink" Target="https://www.google.com/search?q=Revolutionaries%2C+Constitutional+Developments+%26+Partition+notes+pdf+Drishti+IAS+Vision+IAS+BPSC+Wallah" TargetMode="External"/><Relationship Id="rId294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295" Type="http://schemas.openxmlformats.org/officeDocument/2006/relationships/hyperlink" Target="https://www.youtube.com/results?search_query=Revolutionaries%2C+Constitutional+Developments+%26+Partition+Drishti+IAS+BPSC" TargetMode="External"/><Relationship Id="rId296" Type="http://schemas.openxmlformats.org/officeDocument/2006/relationships/hyperlink" Target="https://www.youtube.com/results?search_query=Revolutionaries%2C+Constitutional+Developments+%26+Partition+BPSC+Wallah" TargetMode="External"/><Relationship Id="rId297" Type="http://schemas.openxmlformats.org/officeDocument/2006/relationships/hyperlink" Target="https://www.youtube.com/results?search_query=Bihar+&#8211;+Art%2C+Culture%2C+Literature+%26+Tourism+BPSC+Wallah" TargetMode="External"/><Relationship Id="rId298" Type="http://schemas.openxmlformats.org/officeDocument/2006/relationships/hyperlink" Target="https://www.google.com/search?q=&#2325;&#2381;&#2352;&#2366;&#2306;&#2340;&#2367;&#2325;&#2366;&#2352;&#2368;+&#2310;&#2306;&#2342;&#2379;&#2354;&#2344;%2C+&#2360;&#2306;&#2357;&#2376;&#2343;&#2366;&#2344;&#2367;&#2325;+&#2357;&#2367;&#2325;&#2366;&#2360;+&#2319;&#2357;&#2306;+&#2357;&#2367;&#2349;&#2366;&#2332;&#2344;+%28site%3Adrishtiias.com+OR+site%3Avisionias.in+OR+site%3Ancert.nic.in+OR+site%3Ajagranjosh.com+OR+site%3Agktoday.in%29" TargetMode="External"/><Relationship Id="rId299" Type="http://schemas.openxmlformats.org/officeDocument/2006/relationships/hyperlink" Target="https://www.google.com/search?q=Revolutionaries%2C+Constitutional+Developments+%26+Partition+notes+pdf+Drishti+IAS+Vision+IAS+BPSC+Wallah" TargetMode="External"/><Relationship Id="rId300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301" Type="http://schemas.openxmlformats.org/officeDocument/2006/relationships/hyperlink" Target="https://www.youtube.com/results?search_query=Revolutionaries%2C+Constitutional+Developments+%26+Partition+Drishti+IAS+BPSC" TargetMode="External"/><Relationship Id="rId302" Type="http://schemas.openxmlformats.org/officeDocument/2006/relationships/hyperlink" Target="https://www.youtube.com/results?search_query=Revolutionaries%2C+Constitutional+Developments+%26+Partition+BPSC+Wallah" TargetMode="External"/><Relationship Id="rId303" Type="http://schemas.openxmlformats.org/officeDocument/2006/relationships/hyperlink" Target="https://www.youtube.com/results?search_query=Bihar+&#8211;+Art%2C+Culture%2C+Literature+%26+Tourism+BPSC+Wallah" TargetMode="External"/><Relationship Id="rId304" Type="http://schemas.openxmlformats.org/officeDocument/2006/relationships/hyperlink" Target="https://www.google.com/search?q=&#2325;&#2381;&#2352;&#2366;&#2306;&#2340;&#2367;&#2325;&#2366;&#2352;&#2368;+&#2310;&#2306;&#2342;&#2379;&#2354;&#2344;%2C+&#2360;&#2306;&#2357;&#2376;&#2343;&#2366;&#2344;&#2367;&#2325;+&#2357;&#2367;&#2325;&#2366;&#2360;+&#2319;&#2357;&#2306;+&#2357;&#2367;&#2349;&#2366;&#2332;&#2344;+%28site%3Adrishtiias.com+OR+site%3Avisionias.in+OR+site%3Ancert.nic.in+OR+site%3Ajagranjosh.com+OR+site%3Agktoday.in%29" TargetMode="External"/><Relationship Id="rId305" Type="http://schemas.openxmlformats.org/officeDocument/2006/relationships/hyperlink" Target="https://www.google.com/search?q=Post-Independence+India+%281947+onwards%29+notes+pdf+Drishti+IAS+Vision+IAS+BPSC+Wallah" TargetMode="External"/><Relationship Id="rId306" Type="http://schemas.openxmlformats.org/officeDocument/2006/relationships/hyperlink" Target="https://www.google.com/search?q=Post-Independence+India+%281947+onwards%29+%28site%3Adrishtiias.com+OR+site%3Avisionias.in+OR+site%3Ancert.nic.in%29" TargetMode="External"/><Relationship Id="rId307" Type="http://schemas.openxmlformats.org/officeDocument/2006/relationships/hyperlink" Target="https://www.youtube.com/results?search_query=Post-Independence+India+%281947+onwards%29+Drishti+IAS+BPSC" TargetMode="External"/><Relationship Id="rId308" Type="http://schemas.openxmlformats.org/officeDocument/2006/relationships/hyperlink" Target="https://www.youtube.com/results?search_query=Post-Independence+India+%281947+onwards%29+BPSC+Wallah" TargetMode="External"/><Relationship Id="rId309" Type="http://schemas.openxmlformats.org/officeDocument/2006/relationships/hyperlink" Target="https://www.youtube.com/results?search_query=Bihar+&#8211;+Art%2C+Culture%2C+Literature+%26+Tourism+BPSC+Wallah" TargetMode="External"/><Relationship Id="rId310" Type="http://schemas.openxmlformats.org/officeDocument/2006/relationships/hyperlink" Target="https://www.google.com/search?q=&#2360;&#2381;&#2357;&#2366;&#2340;&#2306;&#2340;&#2381;&#2352;&#2381;&#2351;&#2379;&#2340;&#2381;&#2340;&#2352;+&#2349;&#2366;&#2352;&#2340;+%281947+&#2325;&#2375;+&#2348;&#2366;&#2342;%29+%28site%3Adrishtiias.com+OR+site%3Avisionias.in+OR+site%3Ancert.nic.in+OR+site%3Ajagranjosh.com+OR+site%3Agktoday.in%29" TargetMode="External"/><Relationship Id="rId311" Type="http://schemas.openxmlformats.org/officeDocument/2006/relationships/hyperlink" Target="https://www.google.com/search?q=Art+%26+Architecture+of+India+notes+pdf+Drishti+IAS+Vision+IAS+BPSC+Wallah" TargetMode="External"/><Relationship Id="rId312" Type="http://schemas.openxmlformats.org/officeDocument/2006/relationships/hyperlink" Target="https://www.google.com/search?q=Art+%26+Architecture+of+India+%28site%3Adrishtiias.com+OR+site%3Avisionias.in+OR+site%3Ancert.nic.in%29" TargetMode="External"/><Relationship Id="rId313" Type="http://schemas.openxmlformats.org/officeDocument/2006/relationships/hyperlink" Target="https://www.youtube.com/results?search_query=Art+%26+Architecture+of+India+Drishti+IAS+BPSC" TargetMode="External"/><Relationship Id="rId314" Type="http://schemas.openxmlformats.org/officeDocument/2006/relationships/hyperlink" Target="https://www.youtube.com/results?search_query=Art+%26+Architecture+of+India+BPSC+Wallah" TargetMode="External"/><Relationship Id="rId315" Type="http://schemas.openxmlformats.org/officeDocument/2006/relationships/hyperlink" Target="https://www.youtube.com/results?search_query=Bihar+&#8211;+Demography%2C+Education+%26+Health+BPSC+Wallah" TargetMode="External"/><Relationship Id="rId316" Type="http://schemas.openxmlformats.org/officeDocument/2006/relationships/hyperlink" Target="https://www.google.com/search?q=&#2349;&#2366;&#2352;&#2340;&#2368;&#2351;+&#2325;&#2354;&#2366;+&#2319;&#2357;&#2306;+&#2360;&#2381;&#2341;&#2366;&#2346;&#2340;&#2381;&#2351;+%28site%3Adrishtiias.com+OR+site%3Avisionias.in+OR+site%3Ancert.nic.in+OR+site%3Ajagranjosh.com+OR+site%3Agktoday.in%29" TargetMode="External"/><Relationship Id="rId317" Type="http://schemas.openxmlformats.org/officeDocument/2006/relationships/hyperlink" Target="https://www.google.com/search?q=Art+%26+Architecture+of+India+notes+pdf+Drishti+IAS+Vision+IAS+BPSC+Wallah" TargetMode="External"/><Relationship Id="rId318" Type="http://schemas.openxmlformats.org/officeDocument/2006/relationships/hyperlink" Target="https://www.google.com/search?q=Art+%26+Architecture+of+India+%28site%3Adrishtiias.com+OR+site%3Avisionias.in+OR+site%3Ancert.nic.in%29" TargetMode="External"/><Relationship Id="rId319" Type="http://schemas.openxmlformats.org/officeDocument/2006/relationships/hyperlink" Target="https://www.youtube.com/results?search_query=Art+%26+Architecture+of+India+Drishti+IAS+BPSC" TargetMode="External"/><Relationship Id="rId320" Type="http://schemas.openxmlformats.org/officeDocument/2006/relationships/hyperlink" Target="https://www.youtube.com/results?search_query=Art+%26+Architecture+of+India+BPSC+Wallah" TargetMode="External"/><Relationship Id="rId321" Type="http://schemas.openxmlformats.org/officeDocument/2006/relationships/hyperlink" Target="https://www.youtube.com/results?search_query=Bihar+&#8211;+Demography%2C+Education+%26+Health+BPSC+Wallah" TargetMode="External"/><Relationship Id="rId322" Type="http://schemas.openxmlformats.org/officeDocument/2006/relationships/hyperlink" Target="https://www.google.com/search?q=&#2349;&#2366;&#2352;&#2340;&#2368;&#2351;+&#2325;&#2354;&#2366;+&#2319;&#2357;&#2306;+&#2360;&#2381;&#2341;&#2366;&#2346;&#2340;&#2381;&#2351;+%28site%3Adrishtiias.com+OR+site%3Avisionias.in+OR+site%3Ancert.nic.in+OR+site%3Ajagranjosh.com+OR+site%3Agktoday.in%29" TargetMode="External"/><Relationship Id="rId323" Type="http://schemas.openxmlformats.org/officeDocument/2006/relationships/hyperlink" Target="https://www.google.com/search?q=Art+%26+Architecture+of+India+notes+pdf+Drishti+IAS+Vision+IAS+BPSC+Wallah" TargetMode="External"/><Relationship Id="rId324" Type="http://schemas.openxmlformats.org/officeDocument/2006/relationships/hyperlink" Target="https://www.google.com/search?q=Art+%26+Architecture+of+India+%28site%3Adrishtiias.com+OR+site%3Avisionias.in+OR+site%3Ancert.nic.in%29" TargetMode="External"/><Relationship Id="rId325" Type="http://schemas.openxmlformats.org/officeDocument/2006/relationships/hyperlink" Target="https://www.youtube.com/results?search_query=Art+%26+Architecture+of+India+Drishti+IAS+BPSC" TargetMode="External"/><Relationship Id="rId326" Type="http://schemas.openxmlformats.org/officeDocument/2006/relationships/hyperlink" Target="https://www.youtube.com/results?search_query=Art+%26+Architecture+of+India+BPSC+Wallah" TargetMode="External"/><Relationship Id="rId327" Type="http://schemas.openxmlformats.org/officeDocument/2006/relationships/hyperlink" Target="https://www.youtube.com/results?search_query=Bihar+&#8211;+Demography%2C+Education+%26+Health+BPSC+Wallah" TargetMode="External"/><Relationship Id="rId328" Type="http://schemas.openxmlformats.org/officeDocument/2006/relationships/hyperlink" Target="https://www.google.com/search?q=&#2349;&#2366;&#2352;&#2340;&#2368;&#2351;+&#2325;&#2354;&#2366;+&#2319;&#2357;&#2306;+&#2360;&#2381;&#2341;&#2366;&#2346;&#2340;&#2381;&#2351;+%28site%3Adrishtiias.com+OR+site%3Avisionias.in+OR+site%3Ancert.nic.in+OR+site%3Ajagranjosh.com+OR+site%3Agktoday.in%29" TargetMode="External"/><Relationship Id="rId329" Type="http://schemas.openxmlformats.org/officeDocument/2006/relationships/hyperlink" Target="https://www.google.com/search?q=BPSC+weekly+revision+notes+pdf+Drishti+IAS+Vision+IAS" TargetMode="External"/><Relationship Id="rId330" Type="http://schemas.openxmlformats.org/officeDocument/2006/relationships/hyperlink" Target="https://www.google.com/search?q=weekly+current+affairs+revision+%28site%3Adrishtiias.com+OR+site%3Avisionias.in+OR+site%3Apib.gov.in%29" TargetMode="External"/><Relationship Id="rId331" Type="http://schemas.openxmlformats.org/officeDocument/2006/relationships/hyperlink" Target="https://www.youtube.com/results?search_query=BPSC+prelims+mock+test+analysis+strategy+Drishti+IAS" TargetMode="External"/><Relationship Id="rId332" Type="http://schemas.openxmlformats.org/officeDocument/2006/relationships/hyperlink" Target="https://www.youtube.com/results?search_query=BPSC+Wallah+BPSC+prelims+test+series+discussion" TargetMode="External"/><Relationship Id="rId333" Type="http://schemas.openxmlformats.org/officeDocument/2006/relationships/hyperlink" Target="https://www.youtube.com/results?search_query=BPSC+Wallah+BPSC+revision+strategy" TargetMode="External"/><Relationship Id="rId334" Type="http://schemas.openxmlformats.org/officeDocument/2006/relationships/hyperlink" Target="https://www.google.com/search?q=Performing+Arts%2C+Literature%2C+Festivals+%26+UNESCO+Sites+notes+pdf+Drishti+IAS+Vision+IAS+BPSC+Wallah" TargetMode="External"/><Relationship Id="rId335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336" Type="http://schemas.openxmlformats.org/officeDocument/2006/relationships/hyperlink" Target="https://www.youtube.com/results?search_query=Performing+Arts%2C+Literature%2C+Festivals+%26+UNESCO+Sites+Drishti+IAS+BPSC" TargetMode="External"/><Relationship Id="rId337" Type="http://schemas.openxmlformats.org/officeDocument/2006/relationships/hyperlink" Target="https://www.youtube.com/results?search_query=Performing+Arts%2C+Literature%2C+Festivals+%26+UNESCO+Sites+BPSC+Wallah" TargetMode="External"/><Relationship Id="rId338" Type="http://schemas.openxmlformats.org/officeDocument/2006/relationships/hyperlink" Target="https://www.youtube.com/results?search_query=Bihar+&#8211;+Demography%2C+Education+%26+Health+BPSC+Wallah" TargetMode="External"/><Relationship Id="rId339" Type="http://schemas.openxmlformats.org/officeDocument/2006/relationships/hyperlink" Target="https://www.google.com/search?q=&#2346;&#2381;&#2352;&#2342;&#2352;&#2381;&#2358;&#2344;+&#2325;&#2354;&#2366;&#2319;&#2305;%2C+&#2360;&#2366;&#2361;&#2367;&#2340;&#2381;&#2351;%2C+&#2340;&#2381;&#2351;&#2379;&#2361;&#2366;&#2352;+&#2319;&#2357;&#2306;+&#2351;&#2370;&#2344;&#2375;&#2360;&#2381;&#2325;&#2379;+&#2360;&#2381;&#2341;&#2354;+%28site%3Adrishtiias.com+OR+site%3Avisionias.in+OR+site%3Ancert.nic.in+OR+site%3Ajagranjosh.com+OR+site%3Agktoday.in%29" TargetMode="External"/><Relationship Id="rId340" Type="http://schemas.openxmlformats.org/officeDocument/2006/relationships/hyperlink" Target="https://www.google.com/search?q=Performing+Arts%2C+Literature%2C+Festivals+%26+UNESCO+Sites+notes+pdf+Drishti+IAS+Vision+IAS+BPSC+Wallah" TargetMode="External"/><Relationship Id="rId341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342" Type="http://schemas.openxmlformats.org/officeDocument/2006/relationships/hyperlink" Target="https://www.youtube.com/results?search_query=Performing+Arts%2C+Literature%2C+Festivals+%26+UNESCO+Sites+Drishti+IAS+BPSC" TargetMode="External"/><Relationship Id="rId343" Type="http://schemas.openxmlformats.org/officeDocument/2006/relationships/hyperlink" Target="https://www.youtube.com/results?search_query=Performing+Arts%2C+Literature%2C+Festivals+%26+UNESCO+Sites+BPSC+Wallah" TargetMode="External"/><Relationship Id="rId344" Type="http://schemas.openxmlformats.org/officeDocument/2006/relationships/hyperlink" Target="https://www.youtube.com/results?search_query=Bihar+&#8211;+Demography%2C+Education+%26+Health+BPSC+Wallah" TargetMode="External"/><Relationship Id="rId345" Type="http://schemas.openxmlformats.org/officeDocument/2006/relationships/hyperlink" Target="https://www.google.com/search?q=&#2346;&#2381;&#2352;&#2342;&#2352;&#2381;&#2358;&#2344;+&#2325;&#2354;&#2366;&#2319;&#2305;%2C+&#2360;&#2366;&#2361;&#2367;&#2340;&#2381;&#2351;%2C+&#2340;&#2381;&#2351;&#2379;&#2361;&#2366;&#2352;+&#2319;&#2357;&#2306;+&#2351;&#2370;&#2344;&#2375;&#2360;&#2381;&#2325;&#2379;+&#2360;&#2381;&#2341;&#2354;+%28site%3Adrishtiias.com+OR+site%3Avisionias.in+OR+site%3Ancert.nic.in+OR+site%3Ajagranjosh.com+OR+site%3Agktoday.in%29" TargetMode="External"/><Relationship Id="rId346" Type="http://schemas.openxmlformats.org/officeDocument/2006/relationships/hyperlink" Target="https://www.google.com/search?q=Performing+Arts%2C+Literature%2C+Festivals+%26+UNESCO+Sites+notes+pdf+Drishti+IAS+Vision+IAS+BPSC+Wallah" TargetMode="External"/><Relationship Id="rId347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348" Type="http://schemas.openxmlformats.org/officeDocument/2006/relationships/hyperlink" Target="https://www.youtube.com/results?search_query=Performing+Arts%2C+Literature%2C+Festivals+%26+UNESCO+Sites+Drishti+IAS+BPSC" TargetMode="External"/><Relationship Id="rId349" Type="http://schemas.openxmlformats.org/officeDocument/2006/relationships/hyperlink" Target="https://www.youtube.com/results?search_query=Performing+Arts%2C+Literature%2C+Festivals+%26+UNESCO+Sites+BPSC+Wallah" TargetMode="External"/><Relationship Id="rId350" Type="http://schemas.openxmlformats.org/officeDocument/2006/relationships/hyperlink" Target="https://www.youtube.com/results?search_query=Physics+I%3A+Motion%2C+Force%2C+Work+%26+Gravitation+BPSC+Wallah" TargetMode="External"/><Relationship Id="rId351" Type="http://schemas.openxmlformats.org/officeDocument/2006/relationships/hyperlink" Target="https://www.google.com/search?q=&#2346;&#2381;&#2352;&#2342;&#2352;&#2381;&#2358;&#2344;+&#2325;&#2354;&#2366;&#2319;&#2305;%2C+&#2360;&#2366;&#2361;&#2367;&#2340;&#2381;&#2351;%2C+&#2340;&#2381;&#2351;&#2379;&#2361;&#2366;&#2352;+&#2319;&#2357;&#2306;+&#2351;&#2370;&#2344;&#2375;&#2360;&#2381;&#2325;&#2379;+&#2360;&#2381;&#2341;&#2354;+%28site%3Adrishtiias.com+OR+site%3Avisionias.in+OR+site%3Ancert.nic.in+OR+site%3Ajagranjosh.com+OR+site%3Agktoday.in%29" TargetMode="External"/><Relationship Id="rId352" Type="http://schemas.openxmlformats.org/officeDocument/2006/relationships/hyperlink" Target="https://www.google.com/search?q=Universe%2C+Solar+System+%26+Earth+notes+pdf+Drishti+IAS+Vision+IAS+BPSC+Wallah" TargetMode="External"/><Relationship Id="rId353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354" Type="http://schemas.openxmlformats.org/officeDocument/2006/relationships/hyperlink" Target="https://www.youtube.com/results?search_query=Universe%2C+Solar+System+%26+Earth+Drishti+IAS+BPSC" TargetMode="External"/><Relationship Id="rId355" Type="http://schemas.openxmlformats.org/officeDocument/2006/relationships/hyperlink" Target="https://www.youtube.com/results?search_query=Universe%2C+Solar+System+%26+Earth+BPSC+Wallah" TargetMode="External"/><Relationship Id="rId356" Type="http://schemas.openxmlformats.org/officeDocument/2006/relationships/hyperlink" Target="https://www.youtube.com/results?search_query=Physics+I%3A+Motion%2C+Force%2C+Work+%26+Gravitation+BPSC+Wallah" TargetMode="External"/><Relationship Id="rId357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358" Type="http://schemas.openxmlformats.org/officeDocument/2006/relationships/hyperlink" Target="https://www.google.com/search?q=Universe%2C+Solar+System+%26+Earth+notes+pdf+Drishti+IAS+Vision+IAS+BPSC+Wallah" TargetMode="External"/><Relationship Id="rId359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360" Type="http://schemas.openxmlformats.org/officeDocument/2006/relationships/hyperlink" Target="https://www.youtube.com/results?search_query=Universe%2C+Solar+System+%26+Earth+Drishti+IAS+BPSC" TargetMode="External"/><Relationship Id="rId361" Type="http://schemas.openxmlformats.org/officeDocument/2006/relationships/hyperlink" Target="https://www.youtube.com/results?search_query=Universe%2C+Solar+System+%26+Earth+BPSC+Wallah" TargetMode="External"/><Relationship Id="rId362" Type="http://schemas.openxmlformats.org/officeDocument/2006/relationships/hyperlink" Target="https://www.youtube.com/results?search_query=Physics+I%3A+Motion%2C+Force%2C+Work+%26+Gravitation+BPSC+Wallah" TargetMode="External"/><Relationship Id="rId363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364" Type="http://schemas.openxmlformats.org/officeDocument/2006/relationships/hyperlink" Target="https://www.google.com/search?q=Universe%2C+Solar+System+%26+Earth+notes+pdf+Drishti+IAS+Vision+IAS+BPSC+Wallah" TargetMode="External"/><Relationship Id="rId365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366" Type="http://schemas.openxmlformats.org/officeDocument/2006/relationships/hyperlink" Target="https://www.youtube.com/results?search_query=Universe%2C+Solar+System+%26+Earth+Drishti+IAS+BPSC" TargetMode="External"/><Relationship Id="rId367" Type="http://schemas.openxmlformats.org/officeDocument/2006/relationships/hyperlink" Target="https://www.youtube.com/results?search_query=Universe%2C+Solar+System+%26+Earth+BPSC+Wallah" TargetMode="External"/><Relationship Id="rId368" Type="http://schemas.openxmlformats.org/officeDocument/2006/relationships/hyperlink" Target="https://www.youtube.com/results?search_query=Physics+I%3A+Motion%2C+Force%2C+Work+%26+Gravitation+BPSC+Wallah" TargetMode="External"/><Relationship Id="rId369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370" Type="http://schemas.openxmlformats.org/officeDocument/2006/relationships/hyperlink" Target="https://www.google.com/search?q=BPSC+weekly+revision+notes+pdf+Drishti+IAS+Vision+IAS" TargetMode="External"/><Relationship Id="rId371" Type="http://schemas.openxmlformats.org/officeDocument/2006/relationships/hyperlink" Target="https://www.google.com/search?q=weekly+current+affairs+revision+%28site%3Adrishtiias.com+OR+site%3Avisionias.in+OR+site%3Apib.gov.in%29" TargetMode="External"/><Relationship Id="rId372" Type="http://schemas.openxmlformats.org/officeDocument/2006/relationships/hyperlink" Target="https://www.youtube.com/results?search_query=BPSC+prelims+mock+test+analysis+strategy+Drishti+IAS" TargetMode="External"/><Relationship Id="rId373" Type="http://schemas.openxmlformats.org/officeDocument/2006/relationships/hyperlink" Target="https://www.youtube.com/results?search_query=BPSC+Wallah+BPSC+prelims+test+series+discussion" TargetMode="External"/><Relationship Id="rId374" Type="http://schemas.openxmlformats.org/officeDocument/2006/relationships/hyperlink" Target="https://www.youtube.com/results?search_query=BPSC+Wallah+BPSC+revision+strategy" TargetMode="External"/><Relationship Id="rId375" Type="http://schemas.openxmlformats.org/officeDocument/2006/relationships/hyperlink" Target="https://www.google.com/search?q=Universe%2C+Solar+System+%26+Earth+notes+pdf+Drishti+IAS+Vision+IAS+BPSC+Wallah" TargetMode="External"/><Relationship Id="rId376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377" Type="http://schemas.openxmlformats.org/officeDocument/2006/relationships/hyperlink" Target="https://www.youtube.com/results?search_query=Universe%2C+Solar+System+%26+Earth+Drishti+IAS+BPSC" TargetMode="External"/><Relationship Id="rId378" Type="http://schemas.openxmlformats.org/officeDocument/2006/relationships/hyperlink" Target="https://www.youtube.com/results?search_query=Universe%2C+Solar+System+%26+Earth+BPSC+Wallah" TargetMode="External"/><Relationship Id="rId379" Type="http://schemas.openxmlformats.org/officeDocument/2006/relationships/hyperlink" Target="https://www.youtube.com/results?search_query=Physics+I%3A+Motion%2C+Force%2C+Work+%26+Gravitation+BPSC+Wallah" TargetMode="External"/><Relationship Id="rId380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381" Type="http://schemas.openxmlformats.org/officeDocument/2006/relationships/hyperlink" Target="https://www.google.com/search?q=Geomorphology%3A+Earth%27s+Interior%2C+Rocks+%26+Landforms+notes+pdf+Drishti+IAS+Vision+IAS+BPSC+Wallah" TargetMode="External"/><Relationship Id="rId382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383" Type="http://schemas.openxmlformats.org/officeDocument/2006/relationships/hyperlink" Target="https://www.youtube.com/results?search_query=Geomorphology%3A+Earth%27s+Interior%2C+Rocks+%26+Landforms+Drishti+IAS+BPSC" TargetMode="External"/><Relationship Id="rId384" Type="http://schemas.openxmlformats.org/officeDocument/2006/relationships/hyperlink" Target="https://www.youtube.com/results?search_query=Geomorphology%3A+Earth%27s+Interior%2C+Rocks+%26+Landforms+BPSC+Wallah" TargetMode="External"/><Relationship Id="rId385" Type="http://schemas.openxmlformats.org/officeDocument/2006/relationships/hyperlink" Target="https://www.youtube.com/results?search_query=Physics+II%3A+Heat%2C+Light%2C+Sound%2C+Electricity+%26+Modern+Physics+BPSC+Wallah" TargetMode="External"/><Relationship Id="rId386" Type="http://schemas.openxmlformats.org/officeDocument/2006/relationships/hyperlink" Target="https://www.google.com/search?q=&#2349;&#2370;-&#2310;&#2325;&#2371;&#2340;&#2367;+&#2357;&#2367;&#2332;&#2381;&#2334;&#2366;&#2344;%3A+&#2346;&#2371;&#2341;&#2381;&#2357;&#2368;+&#2325;&#2366;+&#2310;&#2306;&#2340;&#2352;&#2367;&#2325;+&#2349;&#2366;&#2327;%2C+&#2330;&#2335;&#2381;&#2335;&#2366;&#2344;&#2375;&#2306;+&#2319;&#2357;&#2306;+&#2360;&#2381;&#2341;&#2354;&#2352;&#2370;&#2346;+%28site%3Adrishtiias.com+OR+site%3Avisionias.in+OR+site%3Ancert.nic.in+OR+site%3Ajagranjosh.com+OR+site%3Agktoday.in%29" TargetMode="External"/><Relationship Id="rId387" Type="http://schemas.openxmlformats.org/officeDocument/2006/relationships/hyperlink" Target="https://www.google.com/search?q=Geomorphology%3A+Earth%27s+Interior%2C+Rocks+%26+Landforms+notes+pdf+Drishti+IAS+Vision+IAS+BPSC+Wallah" TargetMode="External"/><Relationship Id="rId388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389" Type="http://schemas.openxmlformats.org/officeDocument/2006/relationships/hyperlink" Target="https://www.youtube.com/results?search_query=Geomorphology%3A+Earth%27s+Interior%2C+Rocks+%26+Landforms+Drishti+IAS+BPSC" TargetMode="External"/><Relationship Id="rId390" Type="http://schemas.openxmlformats.org/officeDocument/2006/relationships/hyperlink" Target="https://www.youtube.com/results?search_query=Geomorphology%3A+Earth%27s+Interior%2C+Rocks+%26+Landforms+BPSC+Wallah" TargetMode="External"/><Relationship Id="rId391" Type="http://schemas.openxmlformats.org/officeDocument/2006/relationships/hyperlink" Target="https://www.youtube.com/results?search_query=Physics+II%3A+Heat%2C+Light%2C+Sound%2C+Electricity+%26+Modern+Physics+BPSC+Wallah" TargetMode="External"/><Relationship Id="rId392" Type="http://schemas.openxmlformats.org/officeDocument/2006/relationships/hyperlink" Target="https://www.google.com/search?q=&#2349;&#2370;-&#2310;&#2325;&#2371;&#2340;&#2367;+&#2357;&#2367;&#2332;&#2381;&#2334;&#2366;&#2344;%3A+&#2346;&#2371;&#2341;&#2381;&#2357;&#2368;+&#2325;&#2366;+&#2310;&#2306;&#2340;&#2352;&#2367;&#2325;+&#2349;&#2366;&#2327;%2C+&#2330;&#2335;&#2381;&#2335;&#2366;&#2344;&#2375;&#2306;+&#2319;&#2357;&#2306;+&#2360;&#2381;&#2341;&#2354;&#2352;&#2370;&#2346;+%28site%3Adrishtiias.com+OR+site%3Avisionias.in+OR+site%3Ancert.nic.in+OR+site%3Ajagranjosh.com+OR+site%3Agktoday.in%29" TargetMode="External"/><Relationship Id="rId393" Type="http://schemas.openxmlformats.org/officeDocument/2006/relationships/hyperlink" Target="https://www.google.com/search?q=Geomorphology%3A+Earth%27s+Interior%2C+Rocks+%26+Landforms+notes+pdf+Drishti+IAS+Vision+IAS+BPSC+Wallah" TargetMode="External"/><Relationship Id="rId394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395" Type="http://schemas.openxmlformats.org/officeDocument/2006/relationships/hyperlink" Target="https://www.youtube.com/results?search_query=Geomorphology%3A+Earth%27s+Interior%2C+Rocks+%26+Landforms+Drishti+IAS+BPSC" TargetMode="External"/><Relationship Id="rId396" Type="http://schemas.openxmlformats.org/officeDocument/2006/relationships/hyperlink" Target="https://www.youtube.com/results?search_query=Geomorphology%3A+Earth%27s+Interior%2C+Rocks+%26+Landforms+BPSC+Wallah" TargetMode="External"/><Relationship Id="rId397" Type="http://schemas.openxmlformats.org/officeDocument/2006/relationships/hyperlink" Target="https://www.youtube.com/results?search_query=Physics+II%3A+Heat%2C+Light%2C+Sound%2C+Electricity+%26+Modern+Physics+BPSC+Wallah" TargetMode="External"/><Relationship Id="rId398" Type="http://schemas.openxmlformats.org/officeDocument/2006/relationships/hyperlink" Target="https://www.google.com/search?q=&#2349;&#2370;-&#2310;&#2325;&#2371;&#2340;&#2367;+&#2357;&#2367;&#2332;&#2381;&#2334;&#2366;&#2344;%3A+&#2346;&#2371;&#2341;&#2381;&#2357;&#2368;+&#2325;&#2366;+&#2310;&#2306;&#2340;&#2352;&#2367;&#2325;+&#2349;&#2366;&#2327;%2C+&#2330;&#2335;&#2381;&#2335;&#2366;&#2344;&#2375;&#2306;+&#2319;&#2357;&#2306;+&#2360;&#2381;&#2341;&#2354;&#2352;&#2370;&#2346;+%28site%3Adrishtiias.com+OR+site%3Avisionias.in+OR+site%3Ancert.nic.in+OR+site%3Ajagranjosh.com+OR+site%3Agktoday.in%29" TargetMode="External"/><Relationship Id="rId399" Type="http://schemas.openxmlformats.org/officeDocument/2006/relationships/hyperlink" Target="https://www.google.com/search?q=Climatology%3A+Atmosphere%2C+Winds+%26+Climate+notes+pdf+Drishti+IAS+Vision+IAS+BPSC+Wallah" TargetMode="External"/><Relationship Id="rId400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401" Type="http://schemas.openxmlformats.org/officeDocument/2006/relationships/hyperlink" Target="https://www.youtube.com/results?search_query=Climatology%3A+Atmosphere%2C+Winds+%26+Climate+Drishti+IAS+BPSC" TargetMode="External"/><Relationship Id="rId402" Type="http://schemas.openxmlformats.org/officeDocument/2006/relationships/hyperlink" Target="https://www.youtube.com/results?search_query=Climatology%3A+Atmosphere%2C+Winds+%26+Climate+BPSC+Wallah" TargetMode="External"/><Relationship Id="rId403" Type="http://schemas.openxmlformats.org/officeDocument/2006/relationships/hyperlink" Target="https://www.youtube.com/results?search_query=Physics+II%3A+Heat%2C+Light%2C+Sound%2C+Electricity+%26+Modern+Physics+BPSC+Wallah" TargetMode="External"/><Relationship Id="rId404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405" Type="http://schemas.openxmlformats.org/officeDocument/2006/relationships/hyperlink" Target="https://www.google.com/search?q=Climatology%3A+Atmosphere%2C+Winds+%26+Climate+notes+pdf+Drishti+IAS+Vision+IAS+BPSC+Wallah" TargetMode="External"/><Relationship Id="rId406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407" Type="http://schemas.openxmlformats.org/officeDocument/2006/relationships/hyperlink" Target="https://www.youtube.com/results?search_query=Climatology%3A+Atmosphere%2C+Winds+%26+Climate+Drishti+IAS+BPSC" TargetMode="External"/><Relationship Id="rId408" Type="http://schemas.openxmlformats.org/officeDocument/2006/relationships/hyperlink" Target="https://www.youtube.com/results?search_query=Climatology%3A+Atmosphere%2C+Winds+%26+Climate+BPSC+Wallah" TargetMode="External"/><Relationship Id="rId409" Type="http://schemas.openxmlformats.org/officeDocument/2006/relationships/hyperlink" Target="https://www.youtube.com/results?search_query=Physics+II%3A+Heat%2C+Light%2C+Sound%2C+Electricity+%26+Modern+Physics+BPSC+Wallah" TargetMode="External"/><Relationship Id="rId410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411" Type="http://schemas.openxmlformats.org/officeDocument/2006/relationships/hyperlink" Target="https://www.google.com/search?q=BPSC+weekly+revision+notes+pdf+Drishti+IAS+Vision+IAS" TargetMode="External"/><Relationship Id="rId412" Type="http://schemas.openxmlformats.org/officeDocument/2006/relationships/hyperlink" Target="https://www.google.com/search?q=weekly+current+affairs+revision+%28site%3Adrishtiias.com+OR+site%3Avisionias.in+OR+site%3Apib.gov.in%29" TargetMode="External"/><Relationship Id="rId413" Type="http://schemas.openxmlformats.org/officeDocument/2006/relationships/hyperlink" Target="https://www.youtube.com/results?search_query=BPSC+prelims+mock+test+analysis+strategy+Drishti+IAS" TargetMode="External"/><Relationship Id="rId414" Type="http://schemas.openxmlformats.org/officeDocument/2006/relationships/hyperlink" Target="https://www.youtube.com/results?search_query=BPSC+Wallah+BPSC+prelims+test+series+discussion" TargetMode="External"/><Relationship Id="rId415" Type="http://schemas.openxmlformats.org/officeDocument/2006/relationships/hyperlink" Target="https://www.youtube.com/results?search_query=BPSC+Wallah+BPSC+revision+strategy" TargetMode="External"/><Relationship Id="rId416" Type="http://schemas.openxmlformats.org/officeDocument/2006/relationships/hyperlink" Target="https://www.google.com/search?q=Climatology%3A+Atmosphere%2C+Winds+%26+Climate+notes+pdf+Drishti+IAS+Vision+IAS+BPSC+Wallah" TargetMode="External"/><Relationship Id="rId417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418" Type="http://schemas.openxmlformats.org/officeDocument/2006/relationships/hyperlink" Target="https://www.youtube.com/results?search_query=Climatology%3A+Atmosphere%2C+Winds+%26+Climate+Drishti+IAS+BPSC" TargetMode="External"/><Relationship Id="rId419" Type="http://schemas.openxmlformats.org/officeDocument/2006/relationships/hyperlink" Target="https://www.youtube.com/results?search_query=Climatology%3A+Atmosphere%2C+Winds+%26+Climate+BPSC+Wallah" TargetMode="External"/><Relationship Id="rId420" Type="http://schemas.openxmlformats.org/officeDocument/2006/relationships/hyperlink" Target="https://www.youtube.com/results?search_query=Physics+II%3A+Heat%2C+Light%2C+Sound%2C+Electricity+%26+Modern+Physics+BPSC+Wallah" TargetMode="External"/><Relationship Id="rId421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422" Type="http://schemas.openxmlformats.org/officeDocument/2006/relationships/hyperlink" Target="https://www.google.com/search?q=Climatology%3A+Atmosphere%2C+Winds+%26+Climate+notes+pdf+Drishti+IAS+Vision+IAS+BPSC+Wallah" TargetMode="External"/><Relationship Id="rId423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424" Type="http://schemas.openxmlformats.org/officeDocument/2006/relationships/hyperlink" Target="https://www.youtube.com/results?search_query=Climatology%3A+Atmosphere%2C+Winds+%26+Climate+Drishti+IAS+BPSC" TargetMode="External"/><Relationship Id="rId425" Type="http://schemas.openxmlformats.org/officeDocument/2006/relationships/hyperlink" Target="https://www.youtube.com/results?search_query=Climatology%3A+Atmosphere%2C+Winds+%26+Climate+BPSC+Wallah" TargetMode="External"/><Relationship Id="rId426" Type="http://schemas.openxmlformats.org/officeDocument/2006/relationships/hyperlink" Target="https://www.youtube.com/results?search_query=Physics+II%3A+Heat%2C+Light%2C+Sound%2C+Electricity+%26+Modern+Physics+BPSC+Wallah" TargetMode="External"/><Relationship Id="rId427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428" Type="http://schemas.openxmlformats.org/officeDocument/2006/relationships/hyperlink" Target="https://www.google.com/search?q=Oceanography+notes+pdf+Drishti+IAS+Vision+IAS+BPSC+Wallah" TargetMode="External"/><Relationship Id="rId429" Type="http://schemas.openxmlformats.org/officeDocument/2006/relationships/hyperlink" Target="https://www.google.com/search?q=Oceanography+%28site%3Adrishtiias.com+OR+site%3Avisionias.in+OR+site%3Ancert.nic.in%29" TargetMode="External"/><Relationship Id="rId430" Type="http://schemas.openxmlformats.org/officeDocument/2006/relationships/hyperlink" Target="https://www.youtube.com/results?search_query=Oceanography+Drishti+IAS+BPSC" TargetMode="External"/><Relationship Id="rId431" Type="http://schemas.openxmlformats.org/officeDocument/2006/relationships/hyperlink" Target="https://www.youtube.com/results?search_query=Oceanography+BPSC+Wallah" TargetMode="External"/><Relationship Id="rId432" Type="http://schemas.openxmlformats.org/officeDocument/2006/relationships/hyperlink" Target="https://www.youtube.com/results?search_query=Physics+II%3A+Heat%2C+Light%2C+Sound%2C+Electricity+%26+Modern+Physics+BPSC+Wallah" TargetMode="External"/><Relationship Id="rId433" Type="http://schemas.openxmlformats.org/officeDocument/2006/relationships/hyperlink" Target="https://www.google.com/search?q=&#2360;&#2350;&#2369;&#2342;&#2381;&#2352;+&#2357;&#2367;&#2332;&#2381;&#2334;&#2366;&#2344;+%28site%3Adrishtiias.com+OR+site%3Avisionias.in+OR+site%3Ancert.nic.in+OR+site%3Ajagranjosh.com+OR+site%3Agktoday.in%29" TargetMode="External"/><Relationship Id="rId434" Type="http://schemas.openxmlformats.org/officeDocument/2006/relationships/hyperlink" Target="https://www.google.com/search?q=Oceanography+notes+pdf+Drishti+IAS+Vision+IAS+BPSC+Wallah" TargetMode="External"/><Relationship Id="rId435" Type="http://schemas.openxmlformats.org/officeDocument/2006/relationships/hyperlink" Target="https://www.google.com/search?q=Oceanography+%28site%3Adrishtiias.com+OR+site%3Avisionias.in+OR+site%3Ancert.nic.in%29" TargetMode="External"/><Relationship Id="rId436" Type="http://schemas.openxmlformats.org/officeDocument/2006/relationships/hyperlink" Target="https://www.youtube.com/results?search_query=Oceanography+Drishti+IAS+BPSC" TargetMode="External"/><Relationship Id="rId437" Type="http://schemas.openxmlformats.org/officeDocument/2006/relationships/hyperlink" Target="https://www.youtube.com/results?search_query=Oceanography+BPSC+Wallah" TargetMode="External"/><Relationship Id="rId438" Type="http://schemas.openxmlformats.org/officeDocument/2006/relationships/hyperlink" Target="https://www.youtube.com/results?search_query=Chemistry+I%3A+Matter%2C+Atom%2C+Periodic+Table+%26+Acids-Bases+BPSC+Wallah" TargetMode="External"/><Relationship Id="rId439" Type="http://schemas.openxmlformats.org/officeDocument/2006/relationships/hyperlink" Target="https://www.google.com/search?q=&#2360;&#2350;&#2369;&#2342;&#2381;&#2352;+&#2357;&#2367;&#2332;&#2381;&#2334;&#2366;&#2344;+%28site%3Adrishtiias.com+OR+site%3Avisionias.in+OR+site%3Ancert.nic.in+OR+site%3Ajagranjosh.com+OR+site%3Agktoday.in%29" TargetMode="External"/><Relationship Id="rId440" Type="http://schemas.openxmlformats.org/officeDocument/2006/relationships/hyperlink" Target="https://www.google.com/search?q=Indian+Physiography+notes+pdf+Drishti+IAS+Vision+IAS+BPSC+Wallah" TargetMode="External"/><Relationship Id="rId441" Type="http://schemas.openxmlformats.org/officeDocument/2006/relationships/hyperlink" Target="https://www.google.com/search?q=Indian+Physiography+%28site%3Adrishtiias.com+OR+site%3Avisionias.in+OR+site%3Ancert.nic.in%29" TargetMode="External"/><Relationship Id="rId442" Type="http://schemas.openxmlformats.org/officeDocument/2006/relationships/hyperlink" Target="https://www.youtube.com/results?search_query=Indian+Physiography+Drishti+IAS+BPSC" TargetMode="External"/><Relationship Id="rId443" Type="http://schemas.openxmlformats.org/officeDocument/2006/relationships/hyperlink" Target="https://www.youtube.com/results?search_query=Indian+Physiography+BPSC+Wallah" TargetMode="External"/><Relationship Id="rId444" Type="http://schemas.openxmlformats.org/officeDocument/2006/relationships/hyperlink" Target="https://www.youtube.com/results?search_query=Chemistry+I%3A+Matter%2C+Atom%2C+Periodic+Table+%26+Acids-Bases+BPSC+Wallah" TargetMode="External"/><Relationship Id="rId445" Type="http://schemas.openxmlformats.org/officeDocument/2006/relationships/hyperlink" Target="https://www.google.com/search?q=&#2349;&#2366;&#2352;&#2340;+&#2325;&#2366;+&#2349;&#2380;&#2340;&#2367;&#2325;+&#2360;&#2381;&#2357;&#2352;&#2370;&#2346;+%28site%3Adrishtiias.com+OR+site%3Avisionias.in+OR+site%3Ancert.nic.in+OR+site%3Ajagranjosh.com+OR+site%3Agktoday.in%29" TargetMode="External"/><Relationship Id="rId446" Type="http://schemas.openxmlformats.org/officeDocument/2006/relationships/hyperlink" Target="https://www.google.com/search?q=Indian+Physiography+notes+pdf+Drishti+IAS+Vision+IAS+BPSC+Wallah" TargetMode="External"/><Relationship Id="rId447" Type="http://schemas.openxmlformats.org/officeDocument/2006/relationships/hyperlink" Target="https://www.google.com/search?q=Indian+Physiography+%28site%3Adrishtiias.com+OR+site%3Avisionias.in+OR+site%3Ancert.nic.in%29" TargetMode="External"/><Relationship Id="rId448" Type="http://schemas.openxmlformats.org/officeDocument/2006/relationships/hyperlink" Target="https://www.youtube.com/results?search_query=Indian+Physiography+Drishti+IAS+BPSC" TargetMode="External"/><Relationship Id="rId449" Type="http://schemas.openxmlformats.org/officeDocument/2006/relationships/hyperlink" Target="https://www.youtube.com/results?search_query=Indian+Physiography+BPSC+Wallah" TargetMode="External"/><Relationship Id="rId450" Type="http://schemas.openxmlformats.org/officeDocument/2006/relationships/hyperlink" Target="https://www.youtube.com/results?search_query=Chemistry+I%3A+Matter%2C+Atom%2C+Periodic+Table+%26+Acids-Bases+BPSC+Wallah" TargetMode="External"/><Relationship Id="rId451" Type="http://schemas.openxmlformats.org/officeDocument/2006/relationships/hyperlink" Target="https://www.google.com/search?q=&#2349;&#2366;&#2352;&#2340;+&#2325;&#2366;+&#2349;&#2380;&#2340;&#2367;&#2325;+&#2360;&#2381;&#2357;&#2352;&#2370;&#2346;+%28site%3Adrishtiias.com+OR+site%3Avisionias.in+OR+site%3Ancert.nic.in+OR+site%3Ajagranjosh.com+OR+site%3Agktoday.in%29" TargetMode="External"/><Relationship Id="rId452" Type="http://schemas.openxmlformats.org/officeDocument/2006/relationships/hyperlink" Target="https://www.google.com/search?q=BPSC+weekly+revision+notes+pdf+Drishti+IAS+Vision+IAS" TargetMode="External"/><Relationship Id="rId453" Type="http://schemas.openxmlformats.org/officeDocument/2006/relationships/hyperlink" Target="https://www.google.com/search?q=weekly+current+affairs+revision+%28site%3Adrishtiias.com+OR+site%3Avisionias.in+OR+site%3Apib.gov.in%29" TargetMode="External"/><Relationship Id="rId454" Type="http://schemas.openxmlformats.org/officeDocument/2006/relationships/hyperlink" Target="https://www.youtube.com/results?search_query=BPSC+prelims+mock+test+analysis+strategy+Drishti+IAS" TargetMode="External"/><Relationship Id="rId455" Type="http://schemas.openxmlformats.org/officeDocument/2006/relationships/hyperlink" Target="https://www.youtube.com/results?search_query=BPSC+Wallah+BPSC+prelims+test+series+discussion" TargetMode="External"/><Relationship Id="rId456" Type="http://schemas.openxmlformats.org/officeDocument/2006/relationships/hyperlink" Target="https://www.youtube.com/results?search_query=BPSC+Wallah+BPSC+revision+strategy" TargetMode="External"/><Relationship Id="rId457" Type="http://schemas.openxmlformats.org/officeDocument/2006/relationships/hyperlink" Target="https://www.google.com/search?q=Indian+Physiography+notes+pdf+Drishti+IAS+Vision+IAS+BPSC+Wallah" TargetMode="External"/><Relationship Id="rId458" Type="http://schemas.openxmlformats.org/officeDocument/2006/relationships/hyperlink" Target="https://www.google.com/search?q=Indian+Physiography+%28site%3Adrishtiias.com+OR+site%3Avisionias.in+OR+site%3Ancert.nic.in%29" TargetMode="External"/><Relationship Id="rId459" Type="http://schemas.openxmlformats.org/officeDocument/2006/relationships/hyperlink" Target="https://www.youtube.com/results?search_query=Indian+Physiography+Drishti+IAS+BPSC" TargetMode="External"/><Relationship Id="rId460" Type="http://schemas.openxmlformats.org/officeDocument/2006/relationships/hyperlink" Target="https://www.youtube.com/results?search_query=Indian+Physiography+BPSC+Wallah" TargetMode="External"/><Relationship Id="rId461" Type="http://schemas.openxmlformats.org/officeDocument/2006/relationships/hyperlink" Target="https://www.youtube.com/results?search_query=Chemistry+I%3A+Matter%2C+Atom%2C+Periodic+Table+%26+Acids-Bases+BPSC+Wallah" TargetMode="External"/><Relationship Id="rId462" Type="http://schemas.openxmlformats.org/officeDocument/2006/relationships/hyperlink" Target="https://www.google.com/search?q=&#2349;&#2366;&#2352;&#2340;+&#2325;&#2366;+&#2349;&#2380;&#2340;&#2367;&#2325;+&#2360;&#2381;&#2357;&#2352;&#2370;&#2346;+%28site%3Adrishtiias.com+OR+site%3Avisionias.in+OR+site%3Ancert.nic.in+OR+site%3Ajagranjosh.com+OR+site%3Agktoday.in%29" TargetMode="External"/><Relationship Id="rId463" Type="http://schemas.openxmlformats.org/officeDocument/2006/relationships/hyperlink" Target="https://www.google.com/search?q=Indian+Drainage+System+notes+pdf+Drishti+IAS+Vision+IAS+BPSC+Wallah" TargetMode="External"/><Relationship Id="rId464" Type="http://schemas.openxmlformats.org/officeDocument/2006/relationships/hyperlink" Target="https://www.google.com/search?q=Indian+Drainage+System+%28site%3Adrishtiias.com+OR+site%3Avisionias.in+OR+site%3Ancert.nic.in%29" TargetMode="External"/><Relationship Id="rId465" Type="http://schemas.openxmlformats.org/officeDocument/2006/relationships/hyperlink" Target="https://www.youtube.com/results?search_query=Indian+Drainage+System+Drishti+IAS+BPSC" TargetMode="External"/><Relationship Id="rId466" Type="http://schemas.openxmlformats.org/officeDocument/2006/relationships/hyperlink" Target="https://www.youtube.com/results?search_query=Indian+Drainage+System+BPSC+Wallah" TargetMode="External"/><Relationship Id="rId467" Type="http://schemas.openxmlformats.org/officeDocument/2006/relationships/hyperlink" Target="https://www.youtube.com/results?search_query=Chemistry+I%3A+Matter%2C+Atom%2C+Periodic+Table+%26+Acids-Bases+BPSC+Wallah" TargetMode="External"/><Relationship Id="rId468" Type="http://schemas.openxmlformats.org/officeDocument/2006/relationships/hyperlink" Target="https://www.google.com/search?q=&#2349;&#2366;&#2352;&#2340;&#2368;&#2351;+&#2309;&#2346;&#2357;&#2366;&#2361;+&#2340;&#2306;&#2340;&#2381;&#2352;+%28site%3Adrishtiias.com+OR+site%3Avisionias.in+OR+site%3Ancert.nic.in+OR+site%3Ajagranjosh.com+OR+site%3Agktoday.in%29" TargetMode="External"/><Relationship Id="rId469" Type="http://schemas.openxmlformats.org/officeDocument/2006/relationships/hyperlink" Target="https://www.google.com/search?q=Indian+Drainage+System+notes+pdf+Drishti+IAS+Vision+IAS+BPSC+Wallah" TargetMode="External"/><Relationship Id="rId470" Type="http://schemas.openxmlformats.org/officeDocument/2006/relationships/hyperlink" Target="https://www.google.com/search?q=Indian+Drainage+System+%28site%3Adrishtiias.com+OR+site%3Avisionias.in+OR+site%3Ancert.nic.in%29" TargetMode="External"/><Relationship Id="rId471" Type="http://schemas.openxmlformats.org/officeDocument/2006/relationships/hyperlink" Target="https://www.youtube.com/results?search_query=Indian+Drainage+System+Drishti+IAS+BPSC" TargetMode="External"/><Relationship Id="rId472" Type="http://schemas.openxmlformats.org/officeDocument/2006/relationships/hyperlink" Target="https://www.youtube.com/results?search_query=Indian+Drainage+System+BPSC+Wallah" TargetMode="External"/><Relationship Id="rId473" Type="http://schemas.openxmlformats.org/officeDocument/2006/relationships/hyperlink" Target="https://www.youtube.com/results?search_query=Chemistry+II%3A+Metals%2C+Carbon+Compounds+%26+Everyday+Chemistry+BPSC+Wallah" TargetMode="External"/><Relationship Id="rId474" Type="http://schemas.openxmlformats.org/officeDocument/2006/relationships/hyperlink" Target="https://www.google.com/search?q=&#2349;&#2366;&#2352;&#2340;&#2368;&#2351;+&#2309;&#2346;&#2357;&#2366;&#2361;+&#2340;&#2306;&#2340;&#2381;&#2352;+%28site%3Adrishtiias.com+OR+site%3Avisionias.in+OR+site%3Ancert.nic.in+OR+site%3Ajagranjosh.com+OR+site%3Agktoday.in%29" TargetMode="External"/><Relationship Id="rId475" Type="http://schemas.openxmlformats.org/officeDocument/2006/relationships/hyperlink" Target="https://www.google.com/search?q=Indian+Drainage+System+notes+pdf+Drishti+IAS+Vision+IAS+BPSC+Wallah" TargetMode="External"/><Relationship Id="rId476" Type="http://schemas.openxmlformats.org/officeDocument/2006/relationships/hyperlink" Target="https://www.google.com/search?q=Indian+Drainage+System+%28site%3Adrishtiias.com+OR+site%3Avisionias.in+OR+site%3Ancert.nic.in%29" TargetMode="External"/><Relationship Id="rId477" Type="http://schemas.openxmlformats.org/officeDocument/2006/relationships/hyperlink" Target="https://www.youtube.com/results?search_query=Indian+Drainage+System+Drishti+IAS+BPSC" TargetMode="External"/><Relationship Id="rId478" Type="http://schemas.openxmlformats.org/officeDocument/2006/relationships/hyperlink" Target="https://www.youtube.com/results?search_query=Indian+Drainage+System+BPSC+Wallah" TargetMode="External"/><Relationship Id="rId479" Type="http://schemas.openxmlformats.org/officeDocument/2006/relationships/hyperlink" Target="https://www.youtube.com/results?search_query=Chemistry+II%3A+Metals%2C+Carbon+Compounds+%26+Everyday+Chemistry+BPSC+Wallah" TargetMode="External"/><Relationship Id="rId480" Type="http://schemas.openxmlformats.org/officeDocument/2006/relationships/hyperlink" Target="https://www.google.com/search?q=&#2349;&#2366;&#2352;&#2340;&#2368;&#2351;+&#2309;&#2346;&#2357;&#2366;&#2361;+&#2340;&#2306;&#2340;&#2381;&#2352;+%28site%3Adrishtiias.com+OR+site%3Avisionias.in+OR+site%3Ancert.nic.in+OR+site%3Ajagranjosh.com+OR+site%3Agktoday.in%29" TargetMode="External"/><Relationship Id="rId481" Type="http://schemas.openxmlformats.org/officeDocument/2006/relationships/hyperlink" Target="https://www.google.com/search?q=Indian+Climate%2C+Monsoon%2C+Soils+%26+Vegetation+notes+pdf+Drishti+IAS+Vision+IAS+BPSC+Wallah" TargetMode="External"/><Relationship Id="rId482" Type="http://schemas.openxmlformats.org/officeDocument/2006/relationships/hyperlink" Target="https://www.google.com/search?q=Indian+Climate%2C+Monsoon%2C+Soils+%26+Vegetation+%28site%3Adrishtiias.com+OR+site%3Avisionias.in+OR+site%3Ancert.nic.in%29" TargetMode="External"/><Relationship Id="rId483" Type="http://schemas.openxmlformats.org/officeDocument/2006/relationships/hyperlink" Target="https://www.youtube.com/results?search_query=Indian+Climate%2C+Monsoon%2C+Soils+%26+Vegetation+Drishti+IAS+BPSC" TargetMode="External"/><Relationship Id="rId484" Type="http://schemas.openxmlformats.org/officeDocument/2006/relationships/hyperlink" Target="https://www.youtube.com/results?search_query=Indian+Climate%2C+Monsoon%2C+Soils+%26+Vegetation+BPSC+Wallah" TargetMode="External"/><Relationship Id="rId485" Type="http://schemas.openxmlformats.org/officeDocument/2006/relationships/hyperlink" Target="https://www.youtube.com/results?search_query=Chemistry+II%3A+Metals%2C+Carbon+Compounds+%26+Everyday+Chemistry+BPSC+Wallah" TargetMode="External"/><Relationship Id="rId486" Type="http://schemas.openxmlformats.org/officeDocument/2006/relationships/hyperlink" Target="https://www.google.com/search?q=&#2349;&#2366;&#2352;&#2340;+&#2325;&#2368;+&#2332;&#2354;&#2357;&#2366;&#2351;&#2369;%2C+&#2350;&#2366;&#2344;&#2360;&#2370;&#2344;%2C+&#2350;&#2371;&#2342;&#2366;+&#2319;&#2357;&#2306;+&#2357;&#2344;&#2360;&#2381;&#2346;&#2340;&#2367;+%28site%3Adrishtiias.com+OR+site%3Avisionias.in+OR+site%3Ancert.nic.in+OR+site%3Ajagranjosh.com+OR+site%3Agktoday.in%29" TargetMode="External"/><Relationship Id="rId487" Type="http://schemas.openxmlformats.org/officeDocument/2006/relationships/hyperlink" Target="https://www.google.com/search?q=Indian+Climate%2C+Monsoon%2C+Soils+%26+Vegetation+notes+pdf+Drishti+IAS+Vision+IAS+BPSC+Wallah" TargetMode="External"/><Relationship Id="rId488" Type="http://schemas.openxmlformats.org/officeDocument/2006/relationships/hyperlink" Target="https://www.google.com/search?q=Indian+Climate%2C+Monsoon%2C+Soils+%26+Vegetation+%28site%3Adrishtiias.com+OR+site%3Avisionias.in+OR+site%3Ancert.nic.in%29" TargetMode="External"/><Relationship Id="rId489" Type="http://schemas.openxmlformats.org/officeDocument/2006/relationships/hyperlink" Target="https://www.youtube.com/results?search_query=Indian+Climate%2C+Monsoon%2C+Soils+%26+Vegetation+Drishti+IAS+BPSC" TargetMode="External"/><Relationship Id="rId490" Type="http://schemas.openxmlformats.org/officeDocument/2006/relationships/hyperlink" Target="https://www.youtube.com/results?search_query=Indian+Climate%2C+Monsoon%2C+Soils+%26+Vegetation+BPSC+Wallah" TargetMode="External"/><Relationship Id="rId491" Type="http://schemas.openxmlformats.org/officeDocument/2006/relationships/hyperlink" Target="https://www.youtube.com/results?search_query=Chemistry+II%3A+Metals%2C+Carbon+Compounds+%26+Everyday+Chemistry+BPSC+Wallah" TargetMode="External"/><Relationship Id="rId492" Type="http://schemas.openxmlformats.org/officeDocument/2006/relationships/hyperlink" Target="https://www.google.com/search?q=&#2349;&#2366;&#2352;&#2340;+&#2325;&#2368;+&#2332;&#2354;&#2357;&#2366;&#2351;&#2369;%2C+&#2350;&#2366;&#2344;&#2360;&#2370;&#2344;%2C+&#2350;&#2371;&#2342;&#2366;+&#2319;&#2357;&#2306;+&#2357;&#2344;&#2360;&#2381;&#2346;&#2340;&#2367;+%28site%3Adrishtiias.com+OR+site%3Avisionias.in+OR+site%3Ancert.nic.in+OR+site%3Ajagranjosh.com+OR+site%3Agktoday.in%29" TargetMode="External"/><Relationship Id="rId493" Type="http://schemas.openxmlformats.org/officeDocument/2006/relationships/hyperlink" Target="https://www.google.com/search?q=BPSC+weekly+revision+notes+pdf+Drishti+IAS+Vision+IAS" TargetMode="External"/><Relationship Id="rId494" Type="http://schemas.openxmlformats.org/officeDocument/2006/relationships/hyperlink" Target="https://www.google.com/search?q=weekly+current+affairs+revision+%28site%3Adrishtiias.com+OR+site%3Avisionias.in+OR+site%3Apib.gov.in%29" TargetMode="External"/><Relationship Id="rId495" Type="http://schemas.openxmlformats.org/officeDocument/2006/relationships/hyperlink" Target="https://www.youtube.com/results?search_query=BPSC+prelims+mock+test+analysis+strategy+Drishti+IAS" TargetMode="External"/><Relationship Id="rId496" Type="http://schemas.openxmlformats.org/officeDocument/2006/relationships/hyperlink" Target="https://www.youtube.com/results?search_query=BPSC+Wallah+BPSC+prelims+test+series+discussion" TargetMode="External"/><Relationship Id="rId497" Type="http://schemas.openxmlformats.org/officeDocument/2006/relationships/hyperlink" Target="https://www.youtube.com/results?search_query=BPSC+Wallah+BPSC+revision+strategy" TargetMode="External"/><Relationship Id="rId498" Type="http://schemas.openxmlformats.org/officeDocument/2006/relationships/hyperlink" Target="https://www.google.com/search?q=Indian+Climate%2C+Monsoon%2C+Soils+%26+Vegetation+notes+pdf+Drishti+IAS+Vision+IAS+BPSC+Wallah" TargetMode="External"/><Relationship Id="rId499" Type="http://schemas.openxmlformats.org/officeDocument/2006/relationships/hyperlink" Target="https://www.google.com/search?q=Indian+Climate%2C+Monsoon%2C+Soils+%26+Vegetation+%28site%3Adrishtiias.com+OR+site%3Avisionias.in+OR+site%3Ancert.nic.in%29" TargetMode="External"/><Relationship Id="rId500" Type="http://schemas.openxmlformats.org/officeDocument/2006/relationships/hyperlink" Target="https://www.youtube.com/results?search_query=Indian+Climate%2C+Monsoon%2C+Soils+%26+Vegetation+Drishti+IAS+BPSC" TargetMode="External"/><Relationship Id="rId501" Type="http://schemas.openxmlformats.org/officeDocument/2006/relationships/hyperlink" Target="https://www.youtube.com/results?search_query=Indian+Climate%2C+Monsoon%2C+Soils+%26+Vegetation+BPSC+Wallah" TargetMode="External"/><Relationship Id="rId502" Type="http://schemas.openxmlformats.org/officeDocument/2006/relationships/hyperlink" Target="https://www.youtube.com/results?search_query=Chemistry+II%3A+Metals%2C+Carbon+Compounds+%26+Everyday+Chemistry+BPSC+Wallah" TargetMode="External"/><Relationship Id="rId503" Type="http://schemas.openxmlformats.org/officeDocument/2006/relationships/hyperlink" Target="https://www.google.com/search?q=&#2349;&#2366;&#2352;&#2340;+&#2325;&#2368;+&#2332;&#2354;&#2357;&#2366;&#2351;&#2369;%2C+&#2350;&#2366;&#2344;&#2360;&#2370;&#2344;%2C+&#2350;&#2371;&#2342;&#2366;+&#2319;&#2357;&#2306;+&#2357;&#2344;&#2360;&#2381;&#2346;&#2340;&#2367;+%28site%3Adrishtiias.com+OR+site%3Avisionias.in+OR+site%3Ancert.nic.in+OR+site%3Ajagranjosh.com+OR+site%3Agktoday.in%29" TargetMode="External"/><Relationship Id="rId504" Type="http://schemas.openxmlformats.org/officeDocument/2006/relationships/hyperlink" Target="https://www.google.com/search?q=Indian+Agriculture+notes+pdf+Drishti+IAS+Vision+IAS+BPSC+Wallah" TargetMode="External"/><Relationship Id="rId505" Type="http://schemas.openxmlformats.org/officeDocument/2006/relationships/hyperlink" Target="https://www.google.com/search?q=Indian+Agriculture+%28site%3Adrishtiias.com+OR+site%3Avisionias.in+OR+site%3Ancert.nic.in%29" TargetMode="External"/><Relationship Id="rId506" Type="http://schemas.openxmlformats.org/officeDocument/2006/relationships/hyperlink" Target="https://www.youtube.com/results?search_query=Indian+Agriculture+Drishti+IAS+BPSC" TargetMode="External"/><Relationship Id="rId507" Type="http://schemas.openxmlformats.org/officeDocument/2006/relationships/hyperlink" Target="https://www.youtube.com/results?search_query=Indian+Agriculture+BPSC+Wallah" TargetMode="External"/><Relationship Id="rId508" Type="http://schemas.openxmlformats.org/officeDocument/2006/relationships/hyperlink" Target="https://www.youtube.com/results?search_query=Biology+I%3A+Cell%2C+Plant+%26+Animal+Kingdom+BPSC+Wallah" TargetMode="External"/><Relationship Id="rId509" Type="http://schemas.openxmlformats.org/officeDocument/2006/relationships/hyperlink" Target="https://www.google.com/search?q=&#2349;&#2366;&#2352;&#2340;&#2368;&#2351;+&#2325;&#2371;&#2359;&#2367;+%28site%3Adrishtiias.com+OR+site%3Avisionias.in+OR+site%3Ancert.nic.in+OR+site%3Ajagranjosh.com+OR+site%3Agktoday.in%29" TargetMode="External"/><Relationship Id="rId510" Type="http://schemas.openxmlformats.org/officeDocument/2006/relationships/hyperlink" Target="https://www.google.com/search?q=Indian+Agriculture+notes+pdf+Drishti+IAS+Vision+IAS+BPSC+Wallah" TargetMode="External"/><Relationship Id="rId511" Type="http://schemas.openxmlformats.org/officeDocument/2006/relationships/hyperlink" Target="https://www.google.com/search?q=Indian+Agriculture+%28site%3Adrishtiias.com+OR+site%3Avisionias.in+OR+site%3Ancert.nic.in%29" TargetMode="External"/><Relationship Id="rId512" Type="http://schemas.openxmlformats.org/officeDocument/2006/relationships/hyperlink" Target="https://www.youtube.com/results?search_query=Indian+Agriculture+Drishti+IAS+BPSC" TargetMode="External"/><Relationship Id="rId513" Type="http://schemas.openxmlformats.org/officeDocument/2006/relationships/hyperlink" Target="https://www.youtube.com/results?search_query=Indian+Agriculture+BPSC+Wallah" TargetMode="External"/><Relationship Id="rId514" Type="http://schemas.openxmlformats.org/officeDocument/2006/relationships/hyperlink" Target="https://www.youtube.com/results?search_query=Biology+I%3A+Cell%2C+Plant+%26+Animal+Kingdom+BPSC+Wallah" TargetMode="External"/><Relationship Id="rId515" Type="http://schemas.openxmlformats.org/officeDocument/2006/relationships/hyperlink" Target="https://www.google.com/search?q=&#2349;&#2366;&#2352;&#2340;&#2368;&#2351;+&#2325;&#2371;&#2359;&#2367;+%28site%3Adrishtiias.com+OR+site%3Avisionias.in+OR+site%3Ancert.nic.in+OR+site%3Ajagranjosh.com+OR+site%3Agktoday.in%29" TargetMode="External"/><Relationship Id="rId516" Type="http://schemas.openxmlformats.org/officeDocument/2006/relationships/hyperlink" Target="https://www.google.com/search?q=Indian+Agriculture+notes+pdf+Drishti+IAS+Vision+IAS+BPSC+Wallah" TargetMode="External"/><Relationship Id="rId517" Type="http://schemas.openxmlformats.org/officeDocument/2006/relationships/hyperlink" Target="https://www.google.com/search?q=Indian+Agriculture+%28site%3Adrishtiias.com+OR+site%3Avisionias.in+OR+site%3Ancert.nic.in%29" TargetMode="External"/><Relationship Id="rId518" Type="http://schemas.openxmlformats.org/officeDocument/2006/relationships/hyperlink" Target="https://www.youtube.com/results?search_query=Indian+Agriculture+Drishti+IAS+BPSC" TargetMode="External"/><Relationship Id="rId519" Type="http://schemas.openxmlformats.org/officeDocument/2006/relationships/hyperlink" Target="https://www.youtube.com/results?search_query=Indian+Agriculture+BPSC+Wallah" TargetMode="External"/><Relationship Id="rId520" Type="http://schemas.openxmlformats.org/officeDocument/2006/relationships/hyperlink" Target="https://www.youtube.com/results?search_query=Biology+I%3A+Cell%2C+Plant+%26+Animal+Kingdom+BPSC+Wallah" TargetMode="External"/><Relationship Id="rId521" Type="http://schemas.openxmlformats.org/officeDocument/2006/relationships/hyperlink" Target="https://www.google.com/search?q=&#2349;&#2366;&#2352;&#2340;&#2368;&#2351;+&#2325;&#2371;&#2359;&#2367;+%28site%3Adrishtiias.com+OR+site%3Avisionias.in+OR+site%3Ancert.nic.in+OR+site%3Ajagranjosh.com+OR+site%3Agktoday.in%29" TargetMode="External"/><Relationship Id="rId522" Type="http://schemas.openxmlformats.org/officeDocument/2006/relationships/hyperlink" Target="https://www.google.com/search?q=Minerals%2C+Energy+%26+Industries+notes+pdf+Drishti+IAS+Vision+IAS+BPSC+Wallah" TargetMode="External"/><Relationship Id="rId523" Type="http://schemas.openxmlformats.org/officeDocument/2006/relationships/hyperlink" Target="https://www.google.com/search?q=Minerals%2C+Energy+%26+Industries+%28site%3Adrishtiias.com+OR+site%3Avisionias.in+OR+site%3Ancert.nic.in%29" TargetMode="External"/><Relationship Id="rId524" Type="http://schemas.openxmlformats.org/officeDocument/2006/relationships/hyperlink" Target="https://www.youtube.com/results?search_query=Minerals%2C+Energy+%26+Industries+Drishti+IAS+BPSC" TargetMode="External"/><Relationship Id="rId525" Type="http://schemas.openxmlformats.org/officeDocument/2006/relationships/hyperlink" Target="https://www.youtube.com/results?search_query=Minerals%2C+Energy+%26+Industries+BPSC+Wallah" TargetMode="External"/><Relationship Id="rId526" Type="http://schemas.openxmlformats.org/officeDocument/2006/relationships/hyperlink" Target="https://www.youtube.com/results?search_query=Biology+I%3A+Cell%2C+Plant+%26+Animal+Kingdom+BPSC+Wallah" TargetMode="External"/><Relationship Id="rId527" Type="http://schemas.openxmlformats.org/officeDocument/2006/relationships/hyperlink" Target="https://www.google.com/search?q=&#2326;&#2344;&#2367;&#2332;%2C+&#2314;&#2352;&#2381;&#2332;&#2366;+&#2319;&#2357;&#2306;+&#2313;&#2342;&#2381;&#2351;&#2379;&#2327;+%28site%3Adrishtiias.com+OR+site%3Avisionias.in+OR+site%3Ancert.nic.in+OR+site%3Ajagranjosh.com+OR+site%3Agktoday.in%29" TargetMode="External"/><Relationship Id="rId528" Type="http://schemas.openxmlformats.org/officeDocument/2006/relationships/hyperlink" Target="https://www.google.com/search?q=Minerals%2C+Energy+%26+Industries+notes+pdf+Drishti+IAS+Vision+IAS+BPSC+Wallah" TargetMode="External"/><Relationship Id="rId529" Type="http://schemas.openxmlformats.org/officeDocument/2006/relationships/hyperlink" Target="https://www.google.com/search?q=Minerals%2C+Energy+%26+Industries+%28site%3Adrishtiias.com+OR+site%3Avisionias.in+OR+site%3Ancert.nic.in%29" TargetMode="External"/><Relationship Id="rId530" Type="http://schemas.openxmlformats.org/officeDocument/2006/relationships/hyperlink" Target="https://www.youtube.com/results?search_query=Minerals%2C+Energy+%26+Industries+Drishti+IAS+BPSC" TargetMode="External"/><Relationship Id="rId531" Type="http://schemas.openxmlformats.org/officeDocument/2006/relationships/hyperlink" Target="https://www.youtube.com/results?search_query=Minerals%2C+Energy+%26+Industries+BPSC+Wallah" TargetMode="External"/><Relationship Id="rId532" Type="http://schemas.openxmlformats.org/officeDocument/2006/relationships/hyperlink" Target="https://www.youtube.com/results?search_query=Biology+I%3A+Cell%2C+Plant+%26+Animal+Kingdom+BPSC+Wallah" TargetMode="External"/><Relationship Id="rId533" Type="http://schemas.openxmlformats.org/officeDocument/2006/relationships/hyperlink" Target="https://www.google.com/search?q=&#2326;&#2344;&#2367;&#2332;%2C+&#2314;&#2352;&#2381;&#2332;&#2366;+&#2319;&#2357;&#2306;+&#2313;&#2342;&#2381;&#2351;&#2379;&#2327;+%28site%3Adrishtiias.com+OR+site%3Avisionias.in+OR+site%3Ancert.nic.in+OR+site%3Ajagranjosh.com+OR+site%3Agktoday.in%29" TargetMode="External"/><Relationship Id="rId534" Type="http://schemas.openxmlformats.org/officeDocument/2006/relationships/hyperlink" Target="https://www.google.com/search?q=BPSC+weekly+revision+notes+pdf+Drishti+IAS+Vision+IAS" TargetMode="External"/><Relationship Id="rId535" Type="http://schemas.openxmlformats.org/officeDocument/2006/relationships/hyperlink" Target="https://www.google.com/search?q=weekly+current+affairs+revision+%28site%3Adrishtiias.com+OR+site%3Avisionias.in+OR+site%3Apib.gov.in%29" TargetMode="External"/><Relationship Id="rId536" Type="http://schemas.openxmlformats.org/officeDocument/2006/relationships/hyperlink" Target="https://www.youtube.com/results?search_query=BPSC+prelims+mock+test+analysis+strategy+Drishti+IAS" TargetMode="External"/><Relationship Id="rId537" Type="http://schemas.openxmlformats.org/officeDocument/2006/relationships/hyperlink" Target="https://www.youtube.com/results?search_query=BPSC+Wallah+BPSC+prelims+test+series+discussion" TargetMode="External"/><Relationship Id="rId538" Type="http://schemas.openxmlformats.org/officeDocument/2006/relationships/hyperlink" Target="https://www.youtube.com/results?search_query=BPSC+Wallah+BPSC+revision+strategy" TargetMode="External"/><Relationship Id="rId539" Type="http://schemas.openxmlformats.org/officeDocument/2006/relationships/hyperlink" Target="https://www.google.com/search?q=Minerals%2C+Energy+%26+Industries+notes+pdf+Drishti+IAS+Vision+IAS+BPSC+Wallah" TargetMode="External"/><Relationship Id="rId540" Type="http://schemas.openxmlformats.org/officeDocument/2006/relationships/hyperlink" Target="https://www.google.com/search?q=Minerals%2C+Energy+%26+Industries+%28site%3Adrishtiias.com+OR+site%3Avisionias.in+OR+site%3Ancert.nic.in%29" TargetMode="External"/><Relationship Id="rId541" Type="http://schemas.openxmlformats.org/officeDocument/2006/relationships/hyperlink" Target="https://www.youtube.com/results?search_query=Minerals%2C+Energy+%26+Industries+Drishti+IAS+BPSC" TargetMode="External"/><Relationship Id="rId542" Type="http://schemas.openxmlformats.org/officeDocument/2006/relationships/hyperlink" Target="https://www.youtube.com/results?search_query=Minerals%2C+Energy+%26+Industries+BPSC+Wallah" TargetMode="External"/><Relationship Id="rId543" Type="http://schemas.openxmlformats.org/officeDocument/2006/relationships/hyperlink" Target="https://www.youtube.com/results?search_query=Biology+II%3A+Human+Body%2C+Nutrition+%26+Diseases+BPSC+Wallah" TargetMode="External"/><Relationship Id="rId544" Type="http://schemas.openxmlformats.org/officeDocument/2006/relationships/hyperlink" Target="https://www.google.com/search?q=&#2326;&#2344;&#2367;&#2332;%2C+&#2314;&#2352;&#2381;&#2332;&#2366;+&#2319;&#2357;&#2306;+&#2313;&#2342;&#2381;&#2351;&#2379;&#2327;+%28site%3Adrishtiias.com+OR+site%3Avisionias.in+OR+site%3Ancert.nic.in+OR+site%3Ajagranjosh.com+OR+site%3Agktoday.in%29" TargetMode="External"/><Relationship Id="rId545" Type="http://schemas.openxmlformats.org/officeDocument/2006/relationships/hyperlink" Target="https://www.google.com/search?q=Transport%2C+Population%2C+Census+%26+Urbanisation+notes+pdf+Drishti+IAS+Vision+IAS+BPSC+Wallah" TargetMode="External"/><Relationship Id="rId546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547" Type="http://schemas.openxmlformats.org/officeDocument/2006/relationships/hyperlink" Target="https://www.youtube.com/results?search_query=Transport%2C+Population%2C+Census+%26+Urbanisation+Drishti+IAS+BPSC" TargetMode="External"/><Relationship Id="rId548" Type="http://schemas.openxmlformats.org/officeDocument/2006/relationships/hyperlink" Target="https://www.youtube.com/results?search_query=Transport%2C+Population%2C+Census+%26+Urbanisation+BPSC+Wallah" TargetMode="External"/><Relationship Id="rId549" Type="http://schemas.openxmlformats.org/officeDocument/2006/relationships/hyperlink" Target="https://www.youtube.com/results?search_query=Biology+II%3A+Human+Body%2C+Nutrition+%26+Diseases+BPSC+Wallah" TargetMode="External"/><Relationship Id="rId550" Type="http://schemas.openxmlformats.org/officeDocument/2006/relationships/hyperlink" Target="https://www.google.com/search?q=&#2346;&#2352;&#2367;&#2357;&#2361;&#2344;%2C+&#2332;&#2344;&#2360;&#2306;&#2326;&#2381;&#2351;&#2366;%2C+&#2332;&#2344;&#2327;&#2339;&#2344;&#2366;+&#2319;&#2357;&#2306;+&#2344;&#2327;&#2352;&#2368;&#2325;&#2352;&#2339;+%28site%3Adrishtiias.com+OR+site%3Avisionias.in+OR+site%3Ancert.nic.in+OR+site%3Ajagranjosh.com+OR+site%3Agktoday.in%29" TargetMode="External"/><Relationship Id="rId551" Type="http://schemas.openxmlformats.org/officeDocument/2006/relationships/hyperlink" Target="https://www.google.com/search?q=Transport%2C+Population%2C+Census+%26+Urbanisation+notes+pdf+Drishti+IAS+Vision+IAS+BPSC+Wallah" TargetMode="External"/><Relationship Id="rId552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553" Type="http://schemas.openxmlformats.org/officeDocument/2006/relationships/hyperlink" Target="https://www.youtube.com/results?search_query=Transport%2C+Population%2C+Census+%26+Urbanisation+Drishti+IAS+BPSC" TargetMode="External"/><Relationship Id="rId554" Type="http://schemas.openxmlformats.org/officeDocument/2006/relationships/hyperlink" Target="https://www.youtube.com/results?search_query=Transport%2C+Population%2C+Census+%26+Urbanisation+BPSC+Wallah" TargetMode="External"/><Relationship Id="rId555" Type="http://schemas.openxmlformats.org/officeDocument/2006/relationships/hyperlink" Target="https://www.youtube.com/results?search_query=Biology+II%3A+Human+Body%2C+Nutrition+%26+Diseases+BPSC+Wallah" TargetMode="External"/><Relationship Id="rId556" Type="http://schemas.openxmlformats.org/officeDocument/2006/relationships/hyperlink" Target="https://www.google.com/search?q=&#2346;&#2352;&#2367;&#2357;&#2361;&#2344;%2C+&#2332;&#2344;&#2360;&#2306;&#2326;&#2381;&#2351;&#2366;%2C+&#2332;&#2344;&#2327;&#2339;&#2344;&#2366;+&#2319;&#2357;&#2306;+&#2344;&#2327;&#2352;&#2368;&#2325;&#2352;&#2339;+%28site%3Adrishtiias.com+OR+site%3Avisionias.in+OR+site%3Ancert.nic.in+OR+site%3Ajagranjosh.com+OR+site%3Agktoday.in%29" TargetMode="External"/><Relationship Id="rId557" Type="http://schemas.openxmlformats.org/officeDocument/2006/relationships/hyperlink" Target="https://www.google.com/search?q=Transport%2C+Population%2C+Census+%26+Urbanisation+notes+pdf+Drishti+IAS+Vision+IAS+BPSC+Wallah" TargetMode="External"/><Relationship Id="rId558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559" Type="http://schemas.openxmlformats.org/officeDocument/2006/relationships/hyperlink" Target="https://www.youtube.com/results?search_query=Transport%2C+Population%2C+Census+%26+Urbanisation+Drishti+IAS+BPSC" TargetMode="External"/><Relationship Id="rId560" Type="http://schemas.openxmlformats.org/officeDocument/2006/relationships/hyperlink" Target="https://www.youtube.com/results?search_query=Transport%2C+Population%2C+Census+%26+Urbanisation+BPSC+Wallah" TargetMode="External"/><Relationship Id="rId561" Type="http://schemas.openxmlformats.org/officeDocument/2006/relationships/hyperlink" Target="https://www.youtube.com/results?search_query=Biology+II%3A+Human+Body%2C+Nutrition+%26+Diseases+BPSC+Wallah" TargetMode="External"/><Relationship Id="rId562" Type="http://schemas.openxmlformats.org/officeDocument/2006/relationships/hyperlink" Target="https://www.google.com/search?q=&#2346;&#2352;&#2367;&#2357;&#2361;&#2344;%2C+&#2332;&#2344;&#2360;&#2306;&#2326;&#2381;&#2351;&#2366;%2C+&#2332;&#2344;&#2327;&#2339;&#2344;&#2366;+&#2319;&#2357;&#2306;+&#2344;&#2327;&#2352;&#2368;&#2325;&#2352;&#2339;+%28site%3Adrishtiias.com+OR+site%3Avisionias.in+OR+site%3Ancert.nic.in+OR+site%3Ajagranjosh.com+OR+site%3Agktoday.in%29" TargetMode="External"/><Relationship Id="rId563" Type="http://schemas.openxmlformats.org/officeDocument/2006/relationships/hyperlink" Target="https://www.google.com/search?q=World+Geography+notes+pdf+Drishti+IAS+Vision+IAS+BPSC+Wallah" TargetMode="External"/><Relationship Id="rId564" Type="http://schemas.openxmlformats.org/officeDocument/2006/relationships/hyperlink" Target="https://www.google.com/search?q=World+Geography+%28site%3Adrishtiias.com+OR+site%3Avisionias.in+OR+site%3Ancert.nic.in%29" TargetMode="External"/><Relationship Id="rId565" Type="http://schemas.openxmlformats.org/officeDocument/2006/relationships/hyperlink" Target="https://www.youtube.com/results?search_query=World+Geography+Drishti+IAS+BPSC" TargetMode="External"/><Relationship Id="rId566" Type="http://schemas.openxmlformats.org/officeDocument/2006/relationships/hyperlink" Target="https://www.youtube.com/results?search_query=World+Geography+BPSC+Wallah" TargetMode="External"/><Relationship Id="rId567" Type="http://schemas.openxmlformats.org/officeDocument/2006/relationships/hyperlink" Target="https://www.youtube.com/results?search_query=Biology+II%3A+Human+Body%2C+Nutrition+%26+Diseases+BPSC+Wallah" TargetMode="External"/><Relationship Id="rId568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569" Type="http://schemas.openxmlformats.org/officeDocument/2006/relationships/hyperlink" Target="https://www.google.com/search?q=World+Geography+notes+pdf+Drishti+IAS+Vision+IAS+BPSC+Wallah" TargetMode="External"/><Relationship Id="rId570" Type="http://schemas.openxmlformats.org/officeDocument/2006/relationships/hyperlink" Target="https://www.google.com/search?q=World+Geography+%28site%3Adrishtiias.com+OR+site%3Avisionias.in+OR+site%3Ancert.nic.in%29" TargetMode="External"/><Relationship Id="rId571" Type="http://schemas.openxmlformats.org/officeDocument/2006/relationships/hyperlink" Target="https://www.youtube.com/results?search_query=World+Geography+Drishti+IAS+BPSC" TargetMode="External"/><Relationship Id="rId572" Type="http://schemas.openxmlformats.org/officeDocument/2006/relationships/hyperlink" Target="https://www.youtube.com/results?search_query=World+Geography+BPSC+Wallah" TargetMode="External"/><Relationship Id="rId573" Type="http://schemas.openxmlformats.org/officeDocument/2006/relationships/hyperlink" Target="https://www.youtube.com/results?search_query=Biology+II%3A+Human+Body%2C+Nutrition+%26+Diseases+BPSC+Wallah" TargetMode="External"/><Relationship Id="rId574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575" Type="http://schemas.openxmlformats.org/officeDocument/2006/relationships/hyperlink" Target="https://www.google.com/search?q=BPSC+weekly+revision+notes+pdf+Drishti+IAS+Vision+IAS" TargetMode="External"/><Relationship Id="rId576" Type="http://schemas.openxmlformats.org/officeDocument/2006/relationships/hyperlink" Target="https://www.google.com/search?q=weekly+current+affairs+revision+%28site%3Adrishtiias.com+OR+site%3Avisionias.in+OR+site%3Apib.gov.in%29" TargetMode="External"/><Relationship Id="rId577" Type="http://schemas.openxmlformats.org/officeDocument/2006/relationships/hyperlink" Target="https://www.youtube.com/results?search_query=BPSC+prelims+mock+test+analysis+strategy+Drishti+IAS" TargetMode="External"/><Relationship Id="rId578" Type="http://schemas.openxmlformats.org/officeDocument/2006/relationships/hyperlink" Target="https://www.youtube.com/results?search_query=BPSC+Wallah+BPSC+prelims+test+series+discussion" TargetMode="External"/><Relationship Id="rId579" Type="http://schemas.openxmlformats.org/officeDocument/2006/relationships/hyperlink" Target="https://www.youtube.com/results?search_query=BPSC+Wallah+BPSC+revision+strategy" TargetMode="External"/><Relationship Id="rId580" Type="http://schemas.openxmlformats.org/officeDocument/2006/relationships/hyperlink" Target="https://www.google.com/search?q=World+Geography+notes+pdf+Drishti+IAS+Vision+IAS+BPSC+Wallah" TargetMode="External"/><Relationship Id="rId581" Type="http://schemas.openxmlformats.org/officeDocument/2006/relationships/hyperlink" Target="https://www.google.com/search?q=World+Geography+%28site%3Adrishtiias.com+OR+site%3Avisionias.in+OR+site%3Ancert.nic.in%29" TargetMode="External"/><Relationship Id="rId582" Type="http://schemas.openxmlformats.org/officeDocument/2006/relationships/hyperlink" Target="https://www.youtube.com/results?search_query=World+Geography+Drishti+IAS+BPSC" TargetMode="External"/><Relationship Id="rId583" Type="http://schemas.openxmlformats.org/officeDocument/2006/relationships/hyperlink" Target="https://www.youtube.com/results?search_query=World+Geography+BPSC+Wallah" TargetMode="External"/><Relationship Id="rId584" Type="http://schemas.openxmlformats.org/officeDocument/2006/relationships/hyperlink" Target="https://www.youtube.com/results?search_query=Biology+II%3A+Human+Body%2C+Nutrition+%26+Diseases+BPSC+Wallah" TargetMode="External"/><Relationship Id="rId585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586" Type="http://schemas.openxmlformats.org/officeDocument/2006/relationships/hyperlink" Target="https://www.google.com/search?q=World+Geography+notes+pdf+Drishti+IAS+Vision+IAS+BPSC+Wallah" TargetMode="External"/><Relationship Id="rId587" Type="http://schemas.openxmlformats.org/officeDocument/2006/relationships/hyperlink" Target="https://www.google.com/search?q=World+Geography+%28site%3Adrishtiias.com+OR+site%3Avisionias.in+OR+site%3Ancert.nic.in%29" TargetMode="External"/><Relationship Id="rId588" Type="http://schemas.openxmlformats.org/officeDocument/2006/relationships/hyperlink" Target="https://www.youtube.com/results?search_query=World+Geography+Drishti+IAS+BPSC" TargetMode="External"/><Relationship Id="rId589" Type="http://schemas.openxmlformats.org/officeDocument/2006/relationships/hyperlink" Target="https://www.youtube.com/results?search_query=World+Geography+BPSC+Wallah" TargetMode="External"/><Relationship Id="rId590" Type="http://schemas.openxmlformats.org/officeDocument/2006/relationships/hyperlink" Target="https://www.youtube.com/results?search_query=Biology+II%3A+Human+Body%2C+Nutrition+%26+Diseases+BPSC+Wallah" TargetMode="External"/><Relationship Id="rId591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592" Type="http://schemas.openxmlformats.org/officeDocument/2006/relationships/hyperlink" Target="https://www.google.com/search?q=Constitution+Making%2C+Preamble+%26+Features+notes+pdf+Drishti+IAS+Vision+IAS+BPSC+Wallah" TargetMode="External"/><Relationship Id="rId593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594" Type="http://schemas.openxmlformats.org/officeDocument/2006/relationships/hyperlink" Target="https://www.youtube.com/results?search_query=Constitution+Making%2C+Preamble+%26+Features+Drishti+IAS+BPSC" TargetMode="External"/><Relationship Id="rId595" Type="http://schemas.openxmlformats.org/officeDocument/2006/relationships/hyperlink" Target="https://www.youtube.com/results?search_query=Constitution+Making%2C+Preamble+%26+Features+BPSC+Wallah" TargetMode="External"/><Relationship Id="rId596" Type="http://schemas.openxmlformats.org/officeDocument/2006/relationships/hyperlink" Target="https://www.youtube.com/results?search_query=Science+%26+Technology%3A+Space%2C+Defence%2C+IT+%26+Emerging+Tech+BPSC+Wallah" TargetMode="External"/><Relationship Id="rId597" Type="http://schemas.openxmlformats.org/officeDocument/2006/relationships/hyperlink" Target="https://www.google.com/search?q=&#2360;&#2306;&#2357;&#2367;&#2343;&#2366;&#2344;+&#2344;&#2367;&#2352;&#2381;&#2350;&#2366;&#2339;%2C+&#2346;&#2381;&#2352;&#2360;&#2381;&#2340;&#2366;&#2357;&#2344;&#2366;+&#2319;&#2357;&#2306;+&#2357;&#2367;&#2358;&#2375;&#2359;&#2340;&#2366;&#2319;&#2305;+%28site%3Adrishtiias.com+OR+site%3Avisionias.in+OR+site%3Ancert.nic.in+OR+site%3Ajagranjosh.com+OR+site%3Agktoday.in%29" TargetMode="External"/><Relationship Id="rId598" Type="http://schemas.openxmlformats.org/officeDocument/2006/relationships/hyperlink" Target="https://www.google.com/search?q=Constitution+Making%2C+Preamble+%26+Features+notes+pdf+Drishti+IAS+Vision+IAS+BPSC+Wallah" TargetMode="External"/><Relationship Id="rId599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600" Type="http://schemas.openxmlformats.org/officeDocument/2006/relationships/hyperlink" Target="https://www.youtube.com/results?search_query=Constitution+Making%2C+Preamble+%26+Features+Drishti+IAS+BPSC" TargetMode="External"/><Relationship Id="rId601" Type="http://schemas.openxmlformats.org/officeDocument/2006/relationships/hyperlink" Target="https://www.youtube.com/results?search_query=Constitution+Making%2C+Preamble+%26+Features+BPSC+Wallah" TargetMode="External"/><Relationship Id="rId602" Type="http://schemas.openxmlformats.org/officeDocument/2006/relationships/hyperlink" Target="https://www.youtube.com/results?search_query=Science+%26+Technology%3A+Space%2C+Defence%2C+IT+%26+Emerging+Tech+BPSC+Wallah" TargetMode="External"/><Relationship Id="rId603" Type="http://schemas.openxmlformats.org/officeDocument/2006/relationships/hyperlink" Target="https://www.google.com/search?q=&#2360;&#2306;&#2357;&#2367;&#2343;&#2366;&#2344;+&#2344;&#2367;&#2352;&#2381;&#2350;&#2366;&#2339;%2C+&#2346;&#2381;&#2352;&#2360;&#2381;&#2340;&#2366;&#2357;&#2344;&#2366;+&#2319;&#2357;&#2306;+&#2357;&#2367;&#2358;&#2375;&#2359;&#2340;&#2366;&#2319;&#2305;+%28site%3Adrishtiias.com+OR+site%3Avisionias.in+OR+site%3Ancert.nic.in+OR+site%3Ajagranjosh.com+OR+site%3Agktoday.in%29" TargetMode="External"/><Relationship Id="rId604" Type="http://schemas.openxmlformats.org/officeDocument/2006/relationships/hyperlink" Target="https://www.google.com/search?q=Constitution+Making%2C+Preamble+%26+Features+notes+pdf+Drishti+IAS+Vision+IAS+BPSC+Wallah" TargetMode="External"/><Relationship Id="rId605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606" Type="http://schemas.openxmlformats.org/officeDocument/2006/relationships/hyperlink" Target="https://www.youtube.com/results?search_query=Constitution+Making%2C+Preamble+%26+Features+Drishti+IAS+BPSC" TargetMode="External"/><Relationship Id="rId607" Type="http://schemas.openxmlformats.org/officeDocument/2006/relationships/hyperlink" Target="https://www.youtube.com/results?search_query=Constitution+Making%2C+Preamble+%26+Features+BPSC+Wallah" TargetMode="External"/><Relationship Id="rId608" Type="http://schemas.openxmlformats.org/officeDocument/2006/relationships/hyperlink" Target="https://www.youtube.com/results?search_query=Science+%26+Technology%3A+Space%2C+Defence%2C+IT+%26+Emerging+Tech+BPSC+Wallah" TargetMode="External"/><Relationship Id="rId609" Type="http://schemas.openxmlformats.org/officeDocument/2006/relationships/hyperlink" Target="https://www.google.com/search?q=&#2360;&#2306;&#2357;&#2367;&#2343;&#2366;&#2344;+&#2344;&#2367;&#2352;&#2381;&#2350;&#2366;&#2339;%2C+&#2346;&#2381;&#2352;&#2360;&#2381;&#2340;&#2366;&#2357;&#2344;&#2366;+&#2319;&#2357;&#2306;+&#2357;&#2367;&#2358;&#2375;&#2359;&#2340;&#2366;&#2319;&#2305;+%28site%3Adrishtiias.com+OR+site%3Avisionias.in+OR+site%3Ancert.nic.in+OR+site%3Ajagranjosh.com+OR+site%3Agktoday.in%29" TargetMode="External"/><Relationship Id="rId610" Type="http://schemas.openxmlformats.org/officeDocument/2006/relationships/hyperlink" Target="https://www.google.com/search?q=Union%2C+Citizenship+%26+Fundamental+Rights+notes+pdf+Drishti+IAS+Vision+IAS+BPSC+Wallah" TargetMode="External"/><Relationship Id="rId611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612" Type="http://schemas.openxmlformats.org/officeDocument/2006/relationships/hyperlink" Target="https://www.youtube.com/results?search_query=Union%2C+Citizenship+%26+Fundamental+Rights+Drishti+IAS+BPSC" TargetMode="External"/><Relationship Id="rId613" Type="http://schemas.openxmlformats.org/officeDocument/2006/relationships/hyperlink" Target="https://www.youtube.com/results?search_query=Union%2C+Citizenship+%26+Fundamental+Rights+BPSC+Wallah" TargetMode="External"/><Relationship Id="rId614" Type="http://schemas.openxmlformats.org/officeDocument/2006/relationships/hyperlink" Target="https://www.youtube.com/results?search_query=Science+%26+Technology%3A+Space%2C+Defence%2C+IT+%26+Emerging+Tech+BPSC+Wallah" TargetMode="External"/><Relationship Id="rId615" Type="http://schemas.openxmlformats.org/officeDocument/2006/relationships/hyperlink" Target="https://www.google.com/search?q=&#2360;&#2306;&#2328;%2C+&#2344;&#2366;&#2327;&#2352;&#2367;&#2325;&#2340;&#2366;+&#2319;&#2357;&#2306;+&#2350;&#2380;&#2354;&#2367;&#2325;+&#2309;&#2343;&#2367;&#2325;&#2366;&#2352;+%28site%3Adrishtiias.com+OR+site%3Avisionias.in+OR+site%3Ancert.nic.in+OR+site%3Ajagranjosh.com+OR+site%3Agktoday.in%29" TargetMode="External"/><Relationship Id="rId616" Type="http://schemas.openxmlformats.org/officeDocument/2006/relationships/hyperlink" Target="https://www.google.com/search?q=BPSC+weekly+revision+notes+pdf+Drishti+IAS+Vision+IAS" TargetMode="External"/><Relationship Id="rId617" Type="http://schemas.openxmlformats.org/officeDocument/2006/relationships/hyperlink" Target="https://www.google.com/search?q=weekly+current+affairs+revision+%28site%3Adrishtiias.com+OR+site%3Avisionias.in+OR+site%3Apib.gov.in%29" TargetMode="External"/><Relationship Id="rId618" Type="http://schemas.openxmlformats.org/officeDocument/2006/relationships/hyperlink" Target="https://www.youtube.com/results?search_query=BPSC+prelims+mock+test+analysis+strategy+Drishti+IAS" TargetMode="External"/><Relationship Id="rId619" Type="http://schemas.openxmlformats.org/officeDocument/2006/relationships/hyperlink" Target="https://www.youtube.com/results?search_query=BPSC+Wallah+BPSC+prelims+test+series+discussion" TargetMode="External"/><Relationship Id="rId620" Type="http://schemas.openxmlformats.org/officeDocument/2006/relationships/hyperlink" Target="https://www.youtube.com/results?search_query=BPSC+Wallah+BPSC+revision+strategy" TargetMode="External"/><Relationship Id="rId621" Type="http://schemas.openxmlformats.org/officeDocument/2006/relationships/hyperlink" Target="https://www.google.com/search?q=Union%2C+Citizenship+%26+Fundamental+Rights+notes+pdf+Drishti+IAS+Vision+IAS+BPSC+Wallah" TargetMode="External"/><Relationship Id="rId622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623" Type="http://schemas.openxmlformats.org/officeDocument/2006/relationships/hyperlink" Target="https://www.youtube.com/results?search_query=Union%2C+Citizenship+%26+Fundamental+Rights+Drishti+IAS+BPSC" TargetMode="External"/><Relationship Id="rId624" Type="http://schemas.openxmlformats.org/officeDocument/2006/relationships/hyperlink" Target="https://www.youtube.com/results?search_query=Union%2C+Citizenship+%26+Fundamental+Rights+BPSC+Wallah" TargetMode="External"/><Relationship Id="rId625" Type="http://schemas.openxmlformats.org/officeDocument/2006/relationships/hyperlink" Target="https://www.youtube.com/results?search_query=Science+%26+Technology%3A+Space%2C+Defence%2C+IT+%26+Emerging+Tech+BPSC+Wallah" TargetMode="External"/><Relationship Id="rId626" Type="http://schemas.openxmlformats.org/officeDocument/2006/relationships/hyperlink" Target="https://www.google.com/search?q=&#2360;&#2306;&#2328;%2C+&#2344;&#2366;&#2327;&#2352;&#2367;&#2325;&#2340;&#2366;+&#2319;&#2357;&#2306;+&#2350;&#2380;&#2354;&#2367;&#2325;+&#2309;&#2343;&#2367;&#2325;&#2366;&#2352;+%28site%3Adrishtiias.com+OR+site%3Avisionias.in+OR+site%3Ancert.nic.in+OR+site%3Ajagranjosh.com+OR+site%3Agktoday.in%29" TargetMode="External"/><Relationship Id="rId627" Type="http://schemas.openxmlformats.org/officeDocument/2006/relationships/hyperlink" Target="https://www.google.com/search?q=Union%2C+Citizenship+%26+Fundamental+Rights+notes+pdf+Drishti+IAS+Vision+IAS+BPSC+Wallah" TargetMode="External"/><Relationship Id="rId628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629" Type="http://schemas.openxmlformats.org/officeDocument/2006/relationships/hyperlink" Target="https://www.youtube.com/results?search_query=Union%2C+Citizenship+%26+Fundamental+Rights+Drishti+IAS+BPSC" TargetMode="External"/><Relationship Id="rId630" Type="http://schemas.openxmlformats.org/officeDocument/2006/relationships/hyperlink" Target="https://www.youtube.com/results?search_query=Union%2C+Citizenship+%26+Fundamental+Rights+BPSC+Wallah" TargetMode="External"/><Relationship Id="rId631" Type="http://schemas.openxmlformats.org/officeDocument/2006/relationships/hyperlink" Target="https://www.youtube.com/results?search_query=Science+%26+Technology%3A+Space%2C+Defence%2C+IT+%26+Emerging+Tech+BPSC+Wallah" TargetMode="External"/><Relationship Id="rId632" Type="http://schemas.openxmlformats.org/officeDocument/2006/relationships/hyperlink" Target="https://www.google.com/search?q=&#2360;&#2306;&#2328;%2C+&#2344;&#2366;&#2327;&#2352;&#2367;&#2325;&#2340;&#2366;+&#2319;&#2357;&#2306;+&#2350;&#2380;&#2354;&#2367;&#2325;+&#2309;&#2343;&#2367;&#2325;&#2366;&#2352;+%28site%3Adrishtiias.com+OR+site%3Avisionias.in+OR+site%3Ancert.nic.in+OR+site%3Ajagranjosh.com+OR+site%3Agktoday.in%29" TargetMode="External"/><Relationship Id="rId633" Type="http://schemas.openxmlformats.org/officeDocument/2006/relationships/hyperlink" Target="https://www.google.com/search?q=DPSP%2C+Fundamental+Duties+%26+Constitutional+Amendments+notes+pdf+Drishti+IAS+Vision+IAS+BPSC+Wallah" TargetMode="External"/><Relationship Id="rId634" Type="http://schemas.openxmlformats.org/officeDocument/2006/relationships/hyperlink" Target="https://www.google.com/search?q=DPSP%2C+Fundamental+Duties+%26+Constitutional+Amendments+%28site%3Adrishtiias.com+OR+site%3Avisionias.in+OR+site%3Aprsindia.org%29" TargetMode="External"/><Relationship Id="rId635" Type="http://schemas.openxmlformats.org/officeDocument/2006/relationships/hyperlink" Target="https://www.youtube.com/results?search_query=DPSP%2C+Fundamental+Duties+%26+Constitutional+Amendments+Drishti+IAS+BPSC" TargetMode="External"/><Relationship Id="rId636" Type="http://schemas.openxmlformats.org/officeDocument/2006/relationships/hyperlink" Target="https://www.youtube.com/results?search_query=DPSP%2C+Fundamental+Duties+%26+Constitutional+Amendments+BPSC+Wallah" TargetMode="External"/><Relationship Id="rId637" Type="http://schemas.openxmlformats.org/officeDocument/2006/relationships/hyperlink" Target="https://www.youtube.com/results?search_query=Science+%26+Technology%3A+Space%2C+Defence%2C+IT+%26+Emerging+Tech+BPSC+Wallah" TargetMode="External"/><Relationship Id="rId638" Type="http://schemas.openxmlformats.org/officeDocument/2006/relationships/hyperlink" Target="https://www.google.com/search?q=&#2344;&#2368;&#2340;&#2367;+&#2344;&#2367;&#2342;&#2375;&#2358;&#2325;+&#2340;&#2340;&#2381;&#2357;%2C+&#2350;&#2380;&#2354;&#2367;&#2325;+&#2325;&#2352;&#2381;&#2340;&#2357;&#2381;&#2351;+&#2319;&#2357;&#2306;+&#2360;&#2306;&#2357;&#2367;&#2343;&#2366;&#2344;+&#2360;&#2306;&#2358;&#2379;&#2343;&#2344;+%28site%3Adrishtiias.com+OR+site%3Avisionias.in+OR+site%3Ancert.nic.in+OR+site%3Ajagranjosh.com+OR+site%3Agktoday.in%29" TargetMode="External"/><Relationship Id="rId639" Type="http://schemas.openxmlformats.org/officeDocument/2006/relationships/hyperlink" Target="https://www.google.com/search?q=DPSP%2C+Fundamental+Duties+%26+Constitutional+Amendments+notes+pdf+Drishti+IAS+Vision+IAS+BPSC+Wallah" TargetMode="External"/><Relationship Id="rId640" Type="http://schemas.openxmlformats.org/officeDocument/2006/relationships/hyperlink" Target="https://www.google.com/search?q=DPSP%2C+Fundamental+Duties+%26+Constitutional+Amendments+%28site%3Adrishtiias.com+OR+site%3Avisionias.in+OR+site%3Aprsindia.org%29" TargetMode="External"/><Relationship Id="rId641" Type="http://schemas.openxmlformats.org/officeDocument/2006/relationships/hyperlink" Target="https://www.youtube.com/results?search_query=DPSP%2C+Fundamental+Duties+%26+Constitutional+Amendments+Drishti+IAS+BPSC" TargetMode="External"/><Relationship Id="rId642" Type="http://schemas.openxmlformats.org/officeDocument/2006/relationships/hyperlink" Target="https://www.youtube.com/results?search_query=DPSP%2C+Fundamental+Duties+%26+Constitutional+Amendments+BPSC+Wallah" TargetMode="External"/><Relationship Id="rId643" Type="http://schemas.openxmlformats.org/officeDocument/2006/relationships/hyperlink" Target="https://www.youtube.com/results?search_query=Maths+I%3A+Number+System%2C+HCF-LCM+%26+Simplification+BPSC+Wallah" TargetMode="External"/><Relationship Id="rId644" Type="http://schemas.openxmlformats.org/officeDocument/2006/relationships/hyperlink" Target="https://www.google.com/search?q=&#2344;&#2368;&#2340;&#2367;+&#2344;&#2367;&#2342;&#2375;&#2358;&#2325;+&#2340;&#2340;&#2381;&#2357;%2C+&#2350;&#2380;&#2354;&#2367;&#2325;+&#2325;&#2352;&#2381;&#2340;&#2357;&#2381;&#2351;+&#2319;&#2357;&#2306;+&#2360;&#2306;&#2357;&#2367;&#2343;&#2366;&#2344;+&#2360;&#2306;&#2358;&#2379;&#2343;&#2344;+%28site%3Adrishtiias.com+OR+site%3Avisionias.in+OR+site%3Ancert.nic.in+OR+site%3Ajagranjosh.com+OR+site%3Agktoday.in%29" TargetMode="External"/><Relationship Id="rId645" Type="http://schemas.openxmlformats.org/officeDocument/2006/relationships/hyperlink" Target="https://www.google.com/search?q=DPSP%2C+Fundamental+Duties+%26+Constitutional+Amendments+notes+pdf+Drishti+IAS+Vision+IAS+BPSC+Wallah" TargetMode="External"/><Relationship Id="rId646" Type="http://schemas.openxmlformats.org/officeDocument/2006/relationships/hyperlink" Target="https://www.google.com/search?q=DPSP%2C+Fundamental+Duties+%26+Constitutional+Amendments+%28site%3Adrishtiias.com+OR+site%3Avisionias.in+OR+site%3Aprsindia.org%29" TargetMode="External"/><Relationship Id="rId647" Type="http://schemas.openxmlformats.org/officeDocument/2006/relationships/hyperlink" Target="https://www.youtube.com/results?search_query=DPSP%2C+Fundamental+Duties+%26+Constitutional+Amendments+Drishti+IAS+BPSC" TargetMode="External"/><Relationship Id="rId648" Type="http://schemas.openxmlformats.org/officeDocument/2006/relationships/hyperlink" Target="https://www.youtube.com/results?search_query=DPSP%2C+Fundamental+Duties+%26+Constitutional+Amendments+BPSC+Wallah" TargetMode="External"/><Relationship Id="rId649" Type="http://schemas.openxmlformats.org/officeDocument/2006/relationships/hyperlink" Target="https://www.youtube.com/results?search_query=Maths+I%3A+Number+System%2C+HCF-LCM+%26+Simplification+BPSC+Wallah" TargetMode="External"/><Relationship Id="rId650" Type="http://schemas.openxmlformats.org/officeDocument/2006/relationships/hyperlink" Target="https://www.google.com/search?q=&#2344;&#2368;&#2340;&#2367;+&#2344;&#2367;&#2342;&#2375;&#2358;&#2325;+&#2340;&#2340;&#2381;&#2357;%2C+&#2350;&#2380;&#2354;&#2367;&#2325;+&#2325;&#2352;&#2381;&#2340;&#2357;&#2381;&#2351;+&#2319;&#2357;&#2306;+&#2360;&#2306;&#2357;&#2367;&#2343;&#2366;&#2344;+&#2360;&#2306;&#2358;&#2379;&#2343;&#2344;+%28site%3Adrishtiias.com+OR+site%3Avisionias.in+OR+site%3Ancert.nic.in+OR+site%3Ajagranjosh.com+OR+site%3Agktoday.in%29" TargetMode="External"/><Relationship Id="rId651" Type="http://schemas.openxmlformats.org/officeDocument/2006/relationships/hyperlink" Target="https://www.google.com/search?q=Union+Executive+notes+pdf+Drishti+IAS+Vision+IAS+BPSC+Wallah" TargetMode="External"/><Relationship Id="rId652" Type="http://schemas.openxmlformats.org/officeDocument/2006/relationships/hyperlink" Target="https://www.google.com/search?q=Union+Executive+%28site%3Adrishtiias.com+OR+site%3Avisionias.in+OR+site%3Aprsindia.org%29" TargetMode="External"/><Relationship Id="rId653" Type="http://schemas.openxmlformats.org/officeDocument/2006/relationships/hyperlink" Target="https://www.youtube.com/results?search_query=Union+Executive+Drishti+IAS+BPSC" TargetMode="External"/><Relationship Id="rId654" Type="http://schemas.openxmlformats.org/officeDocument/2006/relationships/hyperlink" Target="https://www.youtube.com/results?search_query=Union+Executive+BPSC+Wallah" TargetMode="External"/><Relationship Id="rId655" Type="http://schemas.openxmlformats.org/officeDocument/2006/relationships/hyperlink" Target="https://www.youtube.com/results?search_query=Maths+I%3A+Number+System%2C+HCF-LCM+%26+Simplification+BPSC+Wallah" TargetMode="External"/><Relationship Id="rId656" Type="http://schemas.openxmlformats.org/officeDocument/2006/relationships/hyperlink" Target="https://www.google.com/search?q=&#2360;&#2306;&#2328;+&#2325;&#2368;+&#2325;&#2366;&#2352;&#2381;&#2351;&#2346;&#2366;&#2354;&#2367;&#2325;&#2366;+%28site%3Adrishtiias.com+OR+site%3Avisionias.in+OR+site%3Ancert.nic.in+OR+site%3Ajagranjosh.com+OR+site%3Agktoday.in%29" TargetMode="External"/><Relationship Id="rId657" Type="http://schemas.openxmlformats.org/officeDocument/2006/relationships/hyperlink" Target="https://www.google.com/search?q=BPSC+weekly+revision+notes+pdf+Drishti+IAS+Vision+IAS" TargetMode="External"/><Relationship Id="rId658" Type="http://schemas.openxmlformats.org/officeDocument/2006/relationships/hyperlink" Target="https://www.google.com/search?q=weekly+current+affairs+revision+%28site%3Adrishtiias.com+OR+site%3Avisionias.in+OR+site%3Apib.gov.in%29" TargetMode="External"/><Relationship Id="rId659" Type="http://schemas.openxmlformats.org/officeDocument/2006/relationships/hyperlink" Target="https://www.youtube.com/results?search_query=BPSC+prelims+mock+test+analysis+strategy+Drishti+IAS" TargetMode="External"/><Relationship Id="rId660" Type="http://schemas.openxmlformats.org/officeDocument/2006/relationships/hyperlink" Target="https://www.youtube.com/results?search_query=BPSC+Wallah+BPSC+prelims+test+series+discussion" TargetMode="External"/><Relationship Id="rId661" Type="http://schemas.openxmlformats.org/officeDocument/2006/relationships/hyperlink" Target="https://www.youtube.com/results?search_query=BPSC+Wallah+BPSC+revision+strategy" TargetMode="External"/><Relationship Id="rId662" Type="http://schemas.openxmlformats.org/officeDocument/2006/relationships/hyperlink" Target="https://www.google.com/search?q=Union+Executive+notes+pdf+Drishti+IAS+Vision+IAS+BPSC+Wallah" TargetMode="External"/><Relationship Id="rId663" Type="http://schemas.openxmlformats.org/officeDocument/2006/relationships/hyperlink" Target="https://www.google.com/search?q=Union+Executive+%28site%3Adrishtiias.com+OR+site%3Avisionias.in+OR+site%3Aprsindia.org%29" TargetMode="External"/><Relationship Id="rId664" Type="http://schemas.openxmlformats.org/officeDocument/2006/relationships/hyperlink" Target="https://www.youtube.com/results?search_query=Union+Executive+Drishti+IAS+BPSC" TargetMode="External"/><Relationship Id="rId665" Type="http://schemas.openxmlformats.org/officeDocument/2006/relationships/hyperlink" Target="https://www.youtube.com/results?search_query=Union+Executive+BPSC+Wallah" TargetMode="External"/><Relationship Id="rId666" Type="http://schemas.openxmlformats.org/officeDocument/2006/relationships/hyperlink" Target="https://www.youtube.com/results?search_query=Maths+I%3A+Number+System%2C+HCF-LCM+%26+Simplification+BPSC+Wallah" TargetMode="External"/><Relationship Id="rId667" Type="http://schemas.openxmlformats.org/officeDocument/2006/relationships/hyperlink" Target="https://www.google.com/search?q=&#2360;&#2306;&#2328;+&#2325;&#2368;+&#2325;&#2366;&#2352;&#2381;&#2351;&#2346;&#2366;&#2354;&#2367;&#2325;&#2366;+%28site%3Adrishtiias.com+OR+site%3Avisionias.in+OR+site%3Ancert.nic.in+OR+site%3Ajagranjosh.com+OR+site%3Agktoday.in%29" TargetMode="External"/><Relationship Id="rId668" Type="http://schemas.openxmlformats.org/officeDocument/2006/relationships/hyperlink" Target="https://www.google.com/search?q=Union+Executive+notes+pdf+Drishti+IAS+Vision+IAS+BPSC+Wallah" TargetMode="External"/><Relationship Id="rId669" Type="http://schemas.openxmlformats.org/officeDocument/2006/relationships/hyperlink" Target="https://www.google.com/search?q=Union+Executive+%28site%3Adrishtiias.com+OR+site%3Avisionias.in+OR+site%3Aprsindia.org%29" TargetMode="External"/><Relationship Id="rId670" Type="http://schemas.openxmlformats.org/officeDocument/2006/relationships/hyperlink" Target="https://www.youtube.com/results?search_query=Union+Executive+Drishti+IAS+BPSC" TargetMode="External"/><Relationship Id="rId671" Type="http://schemas.openxmlformats.org/officeDocument/2006/relationships/hyperlink" Target="https://www.youtube.com/results?search_query=Union+Executive+BPSC+Wallah" TargetMode="External"/><Relationship Id="rId672" Type="http://schemas.openxmlformats.org/officeDocument/2006/relationships/hyperlink" Target="https://www.youtube.com/results?search_query=Maths+I%3A+Number+System%2C+HCF-LCM+%26+Simplification+BPSC+Wallah" TargetMode="External"/><Relationship Id="rId673" Type="http://schemas.openxmlformats.org/officeDocument/2006/relationships/hyperlink" Target="https://www.google.com/search?q=&#2360;&#2306;&#2328;+&#2325;&#2368;+&#2325;&#2366;&#2352;&#2381;&#2351;&#2346;&#2366;&#2354;&#2367;&#2325;&#2366;+%28site%3Adrishtiias.com+OR+site%3Avisionias.in+OR+site%3Ancert.nic.in+OR+site%3Ajagranjosh.com+OR+site%3Agktoday.in%29" TargetMode="External"/><Relationship Id="rId674" Type="http://schemas.openxmlformats.org/officeDocument/2006/relationships/hyperlink" Target="https://www.google.com/search?q=Parliament+notes+pdf+Drishti+IAS+Vision+IAS+BPSC+Wallah" TargetMode="External"/><Relationship Id="rId675" Type="http://schemas.openxmlformats.org/officeDocument/2006/relationships/hyperlink" Target="https://www.google.com/search?q=Parliament+%28site%3Adrishtiias.com+OR+site%3Avisionias.in+OR+site%3Aprsindia.org%29" TargetMode="External"/><Relationship Id="rId676" Type="http://schemas.openxmlformats.org/officeDocument/2006/relationships/hyperlink" Target="https://www.youtube.com/results?search_query=Parliament+Drishti+IAS+BPSC" TargetMode="External"/><Relationship Id="rId677" Type="http://schemas.openxmlformats.org/officeDocument/2006/relationships/hyperlink" Target="https://www.youtube.com/results?search_query=Parliament+BPSC+Wallah" TargetMode="External"/><Relationship Id="rId678" Type="http://schemas.openxmlformats.org/officeDocument/2006/relationships/hyperlink" Target="https://www.youtube.com/results?search_query=Maths+II%3A+Percentage%2C+Profit-Loss%2C+Ratio+%26+Average+BPSC+Wallah" TargetMode="External"/><Relationship Id="rId679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680" Type="http://schemas.openxmlformats.org/officeDocument/2006/relationships/hyperlink" Target="https://www.google.com/search?q=Parliament+notes+pdf+Drishti+IAS+Vision+IAS+BPSC+Wallah" TargetMode="External"/><Relationship Id="rId681" Type="http://schemas.openxmlformats.org/officeDocument/2006/relationships/hyperlink" Target="https://www.google.com/search?q=Parliament+%28site%3Adrishtiias.com+OR+site%3Avisionias.in+OR+site%3Aprsindia.org%29" TargetMode="External"/><Relationship Id="rId682" Type="http://schemas.openxmlformats.org/officeDocument/2006/relationships/hyperlink" Target="https://www.youtube.com/results?search_query=Parliament+Drishti+IAS+BPSC" TargetMode="External"/><Relationship Id="rId683" Type="http://schemas.openxmlformats.org/officeDocument/2006/relationships/hyperlink" Target="https://www.youtube.com/results?search_query=Parliament+BPSC+Wallah" TargetMode="External"/><Relationship Id="rId684" Type="http://schemas.openxmlformats.org/officeDocument/2006/relationships/hyperlink" Target="https://www.youtube.com/results?search_query=Maths+II%3A+Percentage%2C+Profit-Loss%2C+Ratio+%26+Average+BPSC+Wallah" TargetMode="External"/><Relationship Id="rId685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686" Type="http://schemas.openxmlformats.org/officeDocument/2006/relationships/hyperlink" Target="https://www.google.com/search?q=Parliament+notes+pdf+Drishti+IAS+Vision+IAS+BPSC+Wallah" TargetMode="External"/><Relationship Id="rId687" Type="http://schemas.openxmlformats.org/officeDocument/2006/relationships/hyperlink" Target="https://www.google.com/search?q=Parliament+%28site%3Adrishtiias.com+OR+site%3Avisionias.in+OR+site%3Aprsindia.org%29" TargetMode="External"/><Relationship Id="rId688" Type="http://schemas.openxmlformats.org/officeDocument/2006/relationships/hyperlink" Target="https://www.youtube.com/results?search_query=Parliament+Drishti+IAS+BPSC" TargetMode="External"/><Relationship Id="rId689" Type="http://schemas.openxmlformats.org/officeDocument/2006/relationships/hyperlink" Target="https://www.youtube.com/results?search_query=Parliament+BPSC+Wallah" TargetMode="External"/><Relationship Id="rId690" Type="http://schemas.openxmlformats.org/officeDocument/2006/relationships/hyperlink" Target="https://www.youtube.com/results?search_query=Maths+II%3A+Percentage%2C+Profit-Loss%2C+Ratio+%26+Average+BPSC+Wallah" TargetMode="External"/><Relationship Id="rId691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692" Type="http://schemas.openxmlformats.org/officeDocument/2006/relationships/hyperlink" Target="https://www.google.com/search?q=Parliament+notes+pdf+Drishti+IAS+Vision+IAS+BPSC+Wallah" TargetMode="External"/><Relationship Id="rId693" Type="http://schemas.openxmlformats.org/officeDocument/2006/relationships/hyperlink" Target="https://www.google.com/search?q=Parliament+%28site%3Adrishtiias.com+OR+site%3Avisionias.in+OR+site%3Aprsindia.org%29" TargetMode="External"/><Relationship Id="rId694" Type="http://schemas.openxmlformats.org/officeDocument/2006/relationships/hyperlink" Target="https://www.youtube.com/results?search_query=Parliament+Drishti+IAS+BPSC" TargetMode="External"/><Relationship Id="rId695" Type="http://schemas.openxmlformats.org/officeDocument/2006/relationships/hyperlink" Target="https://www.youtube.com/results?search_query=Parliament+BPSC+Wallah" TargetMode="External"/><Relationship Id="rId696" Type="http://schemas.openxmlformats.org/officeDocument/2006/relationships/hyperlink" Target="https://www.youtube.com/results?search_query=Maths+II%3A+Percentage%2C+Profit-Loss%2C+Ratio+%26+Average+BPSC+Wallah" TargetMode="External"/><Relationship Id="rId697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698" Type="http://schemas.openxmlformats.org/officeDocument/2006/relationships/hyperlink" Target="https://www.google.com/search?q=BPSC+weekly+revision+notes+pdf+Drishti+IAS+Vision+IAS" TargetMode="External"/><Relationship Id="rId699" Type="http://schemas.openxmlformats.org/officeDocument/2006/relationships/hyperlink" Target="https://www.google.com/search?q=weekly+current+affairs+revision+%28site%3Adrishtiias.com+OR+site%3Avisionias.in+OR+site%3Apib.gov.in%29" TargetMode="External"/><Relationship Id="rId700" Type="http://schemas.openxmlformats.org/officeDocument/2006/relationships/hyperlink" Target="https://www.youtube.com/results?search_query=BPSC+prelims+mock+test+analysis+strategy+Drishti+IAS" TargetMode="External"/><Relationship Id="rId701" Type="http://schemas.openxmlformats.org/officeDocument/2006/relationships/hyperlink" Target="https://www.youtube.com/results?search_query=BPSC+Wallah+BPSC+prelims+test+series+discussion" TargetMode="External"/><Relationship Id="rId702" Type="http://schemas.openxmlformats.org/officeDocument/2006/relationships/hyperlink" Target="https://www.youtube.com/results?search_query=BPSC+Wallah+BPSC+revision+strategy" TargetMode="External"/><Relationship Id="rId703" Type="http://schemas.openxmlformats.org/officeDocument/2006/relationships/hyperlink" Target="https://www.google.com/search?q=Parliament+notes+pdf+Drishti+IAS+Vision+IAS+BPSC+Wallah" TargetMode="External"/><Relationship Id="rId704" Type="http://schemas.openxmlformats.org/officeDocument/2006/relationships/hyperlink" Target="https://www.google.com/search?q=Parliament+%28site%3Adrishtiias.com+OR+site%3Avisionias.in+OR+site%3Aprsindia.org%29" TargetMode="External"/><Relationship Id="rId705" Type="http://schemas.openxmlformats.org/officeDocument/2006/relationships/hyperlink" Target="https://www.youtube.com/results?search_query=Parliament+Drishti+IAS+BPSC" TargetMode="External"/><Relationship Id="rId706" Type="http://schemas.openxmlformats.org/officeDocument/2006/relationships/hyperlink" Target="https://www.youtube.com/results?search_query=Parliament+BPSC+Wallah" TargetMode="External"/><Relationship Id="rId707" Type="http://schemas.openxmlformats.org/officeDocument/2006/relationships/hyperlink" Target="https://www.youtube.com/results?search_query=Maths+II%3A+Percentage%2C+Profit-Loss%2C+Ratio+%26+Average+BPSC+Wallah" TargetMode="External"/><Relationship Id="rId708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709" Type="http://schemas.openxmlformats.org/officeDocument/2006/relationships/hyperlink" Target="https://www.google.com/search?q=Judiciary+notes+pdf+Drishti+IAS+Vision+IAS+BPSC+Wallah" TargetMode="External"/><Relationship Id="rId710" Type="http://schemas.openxmlformats.org/officeDocument/2006/relationships/hyperlink" Target="https://www.google.com/search?q=Judiciary+%28site%3Adrishtiias.com+OR+site%3Avisionias.in+OR+site%3Aprsindia.org%29" TargetMode="External"/><Relationship Id="rId711" Type="http://schemas.openxmlformats.org/officeDocument/2006/relationships/hyperlink" Target="https://www.youtube.com/results?search_query=Judiciary+Drishti+IAS+BPSC" TargetMode="External"/><Relationship Id="rId712" Type="http://schemas.openxmlformats.org/officeDocument/2006/relationships/hyperlink" Target="https://www.youtube.com/results?search_query=Judiciary+BPSC+Wallah" TargetMode="External"/><Relationship Id="rId713" Type="http://schemas.openxmlformats.org/officeDocument/2006/relationships/hyperlink" Target="https://www.youtube.com/results?search_query=Maths+II%3A+Percentage%2C+Profit-Loss%2C+Ratio+%26+Average+BPSC+Wallah" TargetMode="External"/><Relationship Id="rId714" Type="http://schemas.openxmlformats.org/officeDocument/2006/relationships/hyperlink" Target="https://www.google.com/search?q=&#2344;&#2381;&#2351;&#2366;&#2351;&#2346;&#2366;&#2354;&#2367;&#2325;&#2366;+%28site%3Adrishtiias.com+OR+site%3Avisionias.in+OR+site%3Ancert.nic.in+OR+site%3Ajagranjosh.com+OR+site%3Agktoday.in%29" TargetMode="External"/><Relationship Id="rId715" Type="http://schemas.openxmlformats.org/officeDocument/2006/relationships/hyperlink" Target="https://www.google.com/search?q=Judiciary+notes+pdf+Drishti+IAS+Vision+IAS+BPSC+Wallah" TargetMode="External"/><Relationship Id="rId716" Type="http://schemas.openxmlformats.org/officeDocument/2006/relationships/hyperlink" Target="https://www.google.com/search?q=Judiciary+%28site%3Adrishtiias.com+OR+site%3Avisionias.in+OR+site%3Aprsindia.org%29" TargetMode="External"/><Relationship Id="rId717" Type="http://schemas.openxmlformats.org/officeDocument/2006/relationships/hyperlink" Target="https://www.youtube.com/results?search_query=Judiciary+Drishti+IAS+BPSC" TargetMode="External"/><Relationship Id="rId718" Type="http://schemas.openxmlformats.org/officeDocument/2006/relationships/hyperlink" Target="https://www.youtube.com/results?search_query=Judiciary+BPSC+Wallah" TargetMode="External"/><Relationship Id="rId719" Type="http://schemas.openxmlformats.org/officeDocument/2006/relationships/hyperlink" Target="https://www.youtube.com/results?search_query=Maths+II%3A+Percentage%2C+Profit-Loss%2C+Ratio+%26+Average+BPSC+Wallah" TargetMode="External"/><Relationship Id="rId720" Type="http://schemas.openxmlformats.org/officeDocument/2006/relationships/hyperlink" Target="https://www.google.com/search?q=&#2344;&#2381;&#2351;&#2366;&#2351;&#2346;&#2366;&#2354;&#2367;&#2325;&#2366;+%28site%3Adrishtiias.com+OR+site%3Avisionias.in+OR+site%3Ancert.nic.in+OR+site%3Ajagranjosh.com+OR+site%3Agktoday.in%29" TargetMode="External"/><Relationship Id="rId721" Type="http://schemas.openxmlformats.org/officeDocument/2006/relationships/hyperlink" Target="https://www.google.com/search?q=Judiciary+notes+pdf+Drishti+IAS+Vision+IAS+BPSC+Wallah" TargetMode="External"/><Relationship Id="rId722" Type="http://schemas.openxmlformats.org/officeDocument/2006/relationships/hyperlink" Target="https://www.google.com/search?q=Judiciary+%28site%3Adrishtiias.com+OR+site%3Avisionias.in+OR+site%3Aprsindia.org%29" TargetMode="External"/><Relationship Id="rId723" Type="http://schemas.openxmlformats.org/officeDocument/2006/relationships/hyperlink" Target="https://www.youtube.com/results?search_query=Judiciary+Drishti+IAS+BPSC" TargetMode="External"/><Relationship Id="rId724" Type="http://schemas.openxmlformats.org/officeDocument/2006/relationships/hyperlink" Target="https://www.youtube.com/results?search_query=Judiciary+BPSC+Wallah" TargetMode="External"/><Relationship Id="rId725" Type="http://schemas.openxmlformats.org/officeDocument/2006/relationships/hyperlink" Target="https://www.youtube.com/results?search_query=Maths+II%3A+Percentage%2C+Profit-Loss%2C+Ratio+%26+Average+BPSC+Wallah" TargetMode="External"/><Relationship Id="rId726" Type="http://schemas.openxmlformats.org/officeDocument/2006/relationships/hyperlink" Target="https://www.google.com/search?q=&#2344;&#2381;&#2351;&#2366;&#2351;&#2346;&#2366;&#2354;&#2367;&#2325;&#2366;+%28site%3Adrishtiias.com+OR+site%3Avisionias.in+OR+site%3Ancert.nic.in+OR+site%3Ajagranjosh.com+OR+site%3Agktoday.in%29" TargetMode="External"/><Relationship Id="rId727" Type="http://schemas.openxmlformats.org/officeDocument/2006/relationships/hyperlink" Target="https://www.google.com/search?q=Federalism%3A+Centre&#8211;State+Relations+%26+Emergency+notes+pdf+Drishti+IAS+Vision+IAS+BPSC+Wallah" TargetMode="External"/><Relationship Id="rId728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729" Type="http://schemas.openxmlformats.org/officeDocument/2006/relationships/hyperlink" Target="https://www.youtube.com/results?search_query=Federalism%3A+Centre&#8211;State+Relations+%26+Emergency+Drishti+IAS+BPSC" TargetMode="External"/><Relationship Id="rId730" Type="http://schemas.openxmlformats.org/officeDocument/2006/relationships/hyperlink" Target="https://www.youtube.com/results?search_query=Federalism%3A+Centre&#8211;State+Relations+%26+Emergency+BPSC+Wallah" TargetMode="External"/><Relationship Id="rId731" Type="http://schemas.openxmlformats.org/officeDocument/2006/relationships/hyperlink" Target="https://www.youtube.com/results?search_query=Maths+III%3A+Time-Work%2C+Time-Speed-Distance+%26+Interest+BPSC+Wallah" TargetMode="External"/><Relationship Id="rId732" Type="http://schemas.openxmlformats.org/officeDocument/2006/relationships/hyperlink" Target="https://www.google.com/search?q=&#2360;&#2306;&#2328;&#2357;&#2366;&#2342;%3A+&#2325;&#2375;&#2306;&#2342;&#2381;&#2352;&#8211;&#2352;&#2366;&#2332;&#2381;&#2351;+&#2360;&#2306;&#2348;&#2306;&#2343;+&#2319;&#2357;&#2306;+&#2310;&#2346;&#2366;&#2340;&#2325;&#2366;&#2354;+%28site%3Adrishtiias.com+OR+site%3Avisionias.in+OR+site%3Ancert.nic.in+OR+site%3Ajagranjosh.com+OR+site%3Agktoday.in%29" TargetMode="External"/><Relationship Id="rId733" Type="http://schemas.openxmlformats.org/officeDocument/2006/relationships/hyperlink" Target="https://www.google.com/search?q=Federalism%3A+Centre&#8211;State+Relations+%26+Emergency+notes+pdf+Drishti+IAS+Vision+IAS+BPSC+Wallah" TargetMode="External"/><Relationship Id="rId734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735" Type="http://schemas.openxmlformats.org/officeDocument/2006/relationships/hyperlink" Target="https://www.youtube.com/results?search_query=Federalism%3A+Centre&#8211;State+Relations+%26+Emergency+Drishti+IAS+BPSC" TargetMode="External"/><Relationship Id="rId736" Type="http://schemas.openxmlformats.org/officeDocument/2006/relationships/hyperlink" Target="https://www.youtube.com/results?search_query=Federalism%3A+Centre&#8211;State+Relations+%26+Emergency+BPSC+Wallah" TargetMode="External"/><Relationship Id="rId737" Type="http://schemas.openxmlformats.org/officeDocument/2006/relationships/hyperlink" Target="https://www.youtube.com/results?search_query=Maths+III%3A+Time-Work%2C+Time-Speed-Distance+%26+Interest+BPSC+Wallah" TargetMode="External"/><Relationship Id="rId738" Type="http://schemas.openxmlformats.org/officeDocument/2006/relationships/hyperlink" Target="https://www.google.com/search?q=&#2360;&#2306;&#2328;&#2357;&#2366;&#2342;%3A+&#2325;&#2375;&#2306;&#2342;&#2381;&#2352;&#8211;&#2352;&#2366;&#2332;&#2381;&#2351;+&#2360;&#2306;&#2348;&#2306;&#2343;+&#2319;&#2357;&#2306;+&#2310;&#2346;&#2366;&#2340;&#2325;&#2366;&#2354;+%28site%3Adrishtiias.com+OR+site%3Avisionias.in+OR+site%3Ancert.nic.in+OR+site%3Ajagranjosh.com+OR+site%3Agktoday.in%29" TargetMode="External"/><Relationship Id="rId739" Type="http://schemas.openxmlformats.org/officeDocument/2006/relationships/hyperlink" Target="https://www.google.com/search?q=BPSC+weekly+revision+notes+pdf+Drishti+IAS+Vision+IAS" TargetMode="External"/><Relationship Id="rId740" Type="http://schemas.openxmlformats.org/officeDocument/2006/relationships/hyperlink" Target="https://www.google.com/search?q=weekly+current+affairs+revision+%28site%3Adrishtiias.com+OR+site%3Avisionias.in+OR+site%3Apib.gov.in%29" TargetMode="External"/><Relationship Id="rId741" Type="http://schemas.openxmlformats.org/officeDocument/2006/relationships/hyperlink" Target="https://www.youtube.com/results?search_query=BPSC+prelims+mock+test+analysis+strategy+Drishti+IAS" TargetMode="External"/><Relationship Id="rId742" Type="http://schemas.openxmlformats.org/officeDocument/2006/relationships/hyperlink" Target="https://www.youtube.com/results?search_query=BPSC+Wallah+BPSC+prelims+test+series+discussion" TargetMode="External"/><Relationship Id="rId743" Type="http://schemas.openxmlformats.org/officeDocument/2006/relationships/hyperlink" Target="https://www.youtube.com/results?search_query=BPSC+Wallah+BPSC+revision+strategy" TargetMode="External"/><Relationship Id="rId744" Type="http://schemas.openxmlformats.org/officeDocument/2006/relationships/hyperlink" Target="https://www.google.com/search?q=Federalism%3A+Centre&#8211;State+Relations+%26+Emergency+notes+pdf+Drishti+IAS+Vision+IAS+BPSC+Wallah" TargetMode="External"/><Relationship Id="rId745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746" Type="http://schemas.openxmlformats.org/officeDocument/2006/relationships/hyperlink" Target="https://www.youtube.com/results?search_query=Federalism%3A+Centre&#8211;State+Relations+%26+Emergency+Drishti+IAS+BPSC" TargetMode="External"/><Relationship Id="rId747" Type="http://schemas.openxmlformats.org/officeDocument/2006/relationships/hyperlink" Target="https://www.youtube.com/results?search_query=Federalism%3A+Centre&#8211;State+Relations+%26+Emergency+BPSC+Wallah" TargetMode="External"/><Relationship Id="rId748" Type="http://schemas.openxmlformats.org/officeDocument/2006/relationships/hyperlink" Target="https://www.youtube.com/results?search_query=Maths+III%3A+Time-Work%2C+Time-Speed-Distance+%26+Interest+BPSC+Wallah" TargetMode="External"/><Relationship Id="rId749" Type="http://schemas.openxmlformats.org/officeDocument/2006/relationships/hyperlink" Target="https://www.google.com/search?q=&#2360;&#2306;&#2328;&#2357;&#2366;&#2342;%3A+&#2325;&#2375;&#2306;&#2342;&#2381;&#2352;&#8211;&#2352;&#2366;&#2332;&#2381;&#2351;+&#2360;&#2306;&#2348;&#2306;&#2343;+&#2319;&#2357;&#2306;+&#2310;&#2346;&#2366;&#2340;&#2325;&#2366;&#2354;+%28site%3Adrishtiias.com+OR+site%3Avisionias.in+OR+site%3Ancert.nic.in+OR+site%3Ajagranjosh.com+OR+site%3Agktoday.in%29" TargetMode="External"/><Relationship Id="rId750" Type="http://schemas.openxmlformats.org/officeDocument/2006/relationships/hyperlink" Target="https://www.google.com/search?q=State+Government%2C+Panchayati+Raj+%26+Municipalities+notes+pdf+Drishti+IAS+Vision+IAS+BPSC+Wallah" TargetMode="External"/><Relationship Id="rId751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752" Type="http://schemas.openxmlformats.org/officeDocument/2006/relationships/hyperlink" Target="https://www.youtube.com/results?search_query=State+Government%2C+Panchayati+Raj+%26+Municipalities+Drishti+IAS+BPSC" TargetMode="External"/><Relationship Id="rId753" Type="http://schemas.openxmlformats.org/officeDocument/2006/relationships/hyperlink" Target="https://www.youtube.com/results?search_query=State+Government%2C+Panchayati+Raj+%26+Municipalities+BPSC+Wallah" TargetMode="External"/><Relationship Id="rId754" Type="http://schemas.openxmlformats.org/officeDocument/2006/relationships/hyperlink" Target="https://www.youtube.com/results?search_query=Maths+III%3A+Time-Work%2C+Time-Speed-Distance+%26+Interest+BPSC+Wallah" TargetMode="External"/><Relationship Id="rId755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756" Type="http://schemas.openxmlformats.org/officeDocument/2006/relationships/hyperlink" Target="https://www.google.com/search?q=State+Government%2C+Panchayati+Raj+%26+Municipalities+notes+pdf+Drishti+IAS+Vision+IAS+BPSC+Wallah" TargetMode="External"/><Relationship Id="rId757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758" Type="http://schemas.openxmlformats.org/officeDocument/2006/relationships/hyperlink" Target="https://www.youtube.com/results?search_query=State+Government%2C+Panchayati+Raj+%26+Municipalities+Drishti+IAS+BPSC" TargetMode="External"/><Relationship Id="rId759" Type="http://schemas.openxmlformats.org/officeDocument/2006/relationships/hyperlink" Target="https://www.youtube.com/results?search_query=State+Government%2C+Panchayati+Raj+%26+Municipalities+BPSC+Wallah" TargetMode="External"/><Relationship Id="rId760" Type="http://schemas.openxmlformats.org/officeDocument/2006/relationships/hyperlink" Target="https://www.youtube.com/results?search_query=Maths+III%3A+Time-Work%2C+Time-Speed-Distance+%26+Interest+BPSC+Wallah" TargetMode="External"/><Relationship Id="rId761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762" Type="http://schemas.openxmlformats.org/officeDocument/2006/relationships/hyperlink" Target="https://www.google.com/search?q=State+Government%2C+Panchayati+Raj+%26+Municipalities+notes+pdf+Drishti+IAS+Vision+IAS+BPSC+Wallah" TargetMode="External"/><Relationship Id="rId763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764" Type="http://schemas.openxmlformats.org/officeDocument/2006/relationships/hyperlink" Target="https://www.youtube.com/results?search_query=State+Government%2C+Panchayati+Raj+%26+Municipalities+Drishti+IAS+BPSC" TargetMode="External"/><Relationship Id="rId765" Type="http://schemas.openxmlformats.org/officeDocument/2006/relationships/hyperlink" Target="https://www.youtube.com/results?search_query=State+Government%2C+Panchayati+Raj+%26+Municipalities+BPSC+Wallah" TargetMode="External"/><Relationship Id="rId766" Type="http://schemas.openxmlformats.org/officeDocument/2006/relationships/hyperlink" Target="https://www.youtube.com/results?search_query=Maths+III%3A+Time-Work%2C+Time-Speed-Distance+%26+Interest+BPSC+Wallah" TargetMode="External"/><Relationship Id="rId767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768" Type="http://schemas.openxmlformats.org/officeDocument/2006/relationships/hyperlink" Target="https://www.google.com/search?q=State+Government%2C+Panchayati+Raj+%26+Municipalities+notes+pdf+Drishti+IAS+Vision+IAS+BPSC+Wallah" TargetMode="External"/><Relationship Id="rId769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770" Type="http://schemas.openxmlformats.org/officeDocument/2006/relationships/hyperlink" Target="https://www.youtube.com/results?search_query=State+Government%2C+Panchayati+Raj+%26+Municipalities+Drishti+IAS+BPSC" TargetMode="External"/><Relationship Id="rId771" Type="http://schemas.openxmlformats.org/officeDocument/2006/relationships/hyperlink" Target="https://www.youtube.com/results?search_query=State+Government%2C+Panchayati+Raj+%26+Municipalities+BPSC+Wallah" TargetMode="External"/><Relationship Id="rId772" Type="http://schemas.openxmlformats.org/officeDocument/2006/relationships/hyperlink" Target="https://www.youtube.com/results?search_query=Maths+III%3A+Time-Work%2C+Time-Speed-Distance+%26+Interest+BPSC+Wallah" TargetMode="External"/><Relationship Id="rId773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774" Type="http://schemas.openxmlformats.org/officeDocument/2006/relationships/hyperlink" Target="https://www.google.com/search?q=State+Government%2C+Panchayati+Raj+%26+Municipalities+notes+pdf+Drishti+IAS+Vision+IAS+BPSC+Wallah" TargetMode="External"/><Relationship Id="rId775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776" Type="http://schemas.openxmlformats.org/officeDocument/2006/relationships/hyperlink" Target="https://www.youtube.com/results?search_query=State+Government%2C+Panchayati+Raj+%26+Municipalities+Drishti+IAS+BPSC" TargetMode="External"/><Relationship Id="rId777" Type="http://schemas.openxmlformats.org/officeDocument/2006/relationships/hyperlink" Target="https://www.youtube.com/results?search_query=State+Government%2C+Panchayati+Raj+%26+Municipalities+BPSC+Wallah" TargetMode="External"/><Relationship Id="rId778" Type="http://schemas.openxmlformats.org/officeDocument/2006/relationships/hyperlink" Target="https://www.youtube.com/results?search_query=Maths+IV%3A+Algebra%2C+Geometry%2C+Mensuration+%26+Trigonometry+BPSC+Wallah" TargetMode="External"/><Relationship Id="rId779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780" Type="http://schemas.openxmlformats.org/officeDocument/2006/relationships/hyperlink" Target="https://www.google.com/search?q=BPSC+weekly+revision+notes+pdf+Drishti+IAS+Vision+IAS" TargetMode="External"/><Relationship Id="rId781" Type="http://schemas.openxmlformats.org/officeDocument/2006/relationships/hyperlink" Target="https://www.google.com/search?q=weekly+current+affairs+revision+%28site%3Adrishtiias.com+OR+site%3Avisionias.in+OR+site%3Apib.gov.in%29" TargetMode="External"/><Relationship Id="rId782" Type="http://schemas.openxmlformats.org/officeDocument/2006/relationships/hyperlink" Target="https://www.youtube.com/results?search_query=BPSC+prelims+mock+test+analysis+strategy+Drishti+IAS" TargetMode="External"/><Relationship Id="rId783" Type="http://schemas.openxmlformats.org/officeDocument/2006/relationships/hyperlink" Target="https://www.youtube.com/results?search_query=BPSC+Wallah+BPSC+prelims+test+series+discussion" TargetMode="External"/><Relationship Id="rId784" Type="http://schemas.openxmlformats.org/officeDocument/2006/relationships/hyperlink" Target="https://www.youtube.com/results?search_query=BPSC+Wallah+BPSC+revision+strategy" TargetMode="External"/><Relationship Id="rId785" Type="http://schemas.openxmlformats.org/officeDocument/2006/relationships/hyperlink" Target="https://www.google.com/search?q=Constitutional+%26+Non-Constitutional+Bodies+notes+pdf+Drishti+IAS+Vision+IAS+BPSC+Wallah" TargetMode="External"/><Relationship Id="rId786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787" Type="http://schemas.openxmlformats.org/officeDocument/2006/relationships/hyperlink" Target="https://www.youtube.com/results?search_query=Constitutional+%26+Non-Constitutional+Bodies+Drishti+IAS+BPSC" TargetMode="External"/><Relationship Id="rId788" Type="http://schemas.openxmlformats.org/officeDocument/2006/relationships/hyperlink" Target="https://www.youtube.com/results?search_query=Constitutional+%26+Non-Constitutional+Bodies+BPSC+Wallah" TargetMode="External"/><Relationship Id="rId789" Type="http://schemas.openxmlformats.org/officeDocument/2006/relationships/hyperlink" Target="https://www.youtube.com/results?search_query=Maths+IV%3A+Algebra%2C+Geometry%2C+Mensuration+%26+Trigonometry+BPSC+Wallah" TargetMode="External"/><Relationship Id="rId790" Type="http://schemas.openxmlformats.org/officeDocument/2006/relationships/hyperlink" Target="https://www.google.com/search?q=&#2360;&#2306;&#2357;&#2376;&#2343;&#2366;&#2344;&#2367;&#2325;+&#2319;&#2357;&#2306;+&#2327;&#2376;&#2352;-&#2360;&#2306;&#2357;&#2376;&#2343;&#2366;&#2344;&#2367;&#2325;+&#2344;&#2367;&#2325;&#2366;&#2351;+%28site%3Adrishtiias.com+OR+site%3Avisionias.in+OR+site%3Ancert.nic.in+OR+site%3Ajagranjosh.com+OR+site%3Agktoday.in%29" TargetMode="External"/><Relationship Id="rId791" Type="http://schemas.openxmlformats.org/officeDocument/2006/relationships/hyperlink" Target="https://www.google.com/search?q=Constitutional+%26+Non-Constitutional+Bodies+notes+pdf+Drishti+IAS+Vision+IAS+BPSC+Wallah" TargetMode="External"/><Relationship Id="rId792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793" Type="http://schemas.openxmlformats.org/officeDocument/2006/relationships/hyperlink" Target="https://www.youtube.com/results?search_query=Constitutional+%26+Non-Constitutional+Bodies+Drishti+IAS+BPSC" TargetMode="External"/><Relationship Id="rId794" Type="http://schemas.openxmlformats.org/officeDocument/2006/relationships/hyperlink" Target="https://www.youtube.com/results?search_query=Constitutional+%26+Non-Constitutional+Bodies+BPSC+Wallah" TargetMode="External"/><Relationship Id="rId795" Type="http://schemas.openxmlformats.org/officeDocument/2006/relationships/hyperlink" Target="https://www.youtube.com/results?search_query=Maths+IV%3A+Algebra%2C+Geometry%2C+Mensuration+%26+Trigonometry+BPSC+Wallah" TargetMode="External"/><Relationship Id="rId796" Type="http://schemas.openxmlformats.org/officeDocument/2006/relationships/hyperlink" Target="https://www.google.com/search?q=&#2360;&#2306;&#2357;&#2376;&#2343;&#2366;&#2344;&#2367;&#2325;+&#2319;&#2357;&#2306;+&#2327;&#2376;&#2352;-&#2360;&#2306;&#2357;&#2376;&#2343;&#2366;&#2344;&#2367;&#2325;+&#2344;&#2367;&#2325;&#2366;&#2351;+%28site%3Adrishtiias.com+OR+site%3Avisionias.in+OR+site%3Ancert.nic.in+OR+site%3Ajagranjosh.com+OR+site%3Agktoday.in%29" TargetMode="External"/><Relationship Id="rId797" Type="http://schemas.openxmlformats.org/officeDocument/2006/relationships/hyperlink" Target="https://www.google.com/search?q=Constitutional+%26+Non-Constitutional+Bodies+notes+pdf+Drishti+IAS+Vision+IAS+BPSC+Wallah" TargetMode="External"/><Relationship Id="rId798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799" Type="http://schemas.openxmlformats.org/officeDocument/2006/relationships/hyperlink" Target="https://www.youtube.com/results?search_query=Constitutional+%26+Non-Constitutional+Bodies+Drishti+IAS+BPSC" TargetMode="External"/><Relationship Id="rId800" Type="http://schemas.openxmlformats.org/officeDocument/2006/relationships/hyperlink" Target="https://www.youtube.com/results?search_query=Constitutional+%26+Non-Constitutional+Bodies+BPSC+Wallah" TargetMode="External"/><Relationship Id="rId801" Type="http://schemas.openxmlformats.org/officeDocument/2006/relationships/hyperlink" Target="https://www.youtube.com/results?search_query=Maths+IV%3A+Algebra%2C+Geometry%2C+Mensuration+%26+Trigonometry+BPSC+Wallah" TargetMode="External"/><Relationship Id="rId802" Type="http://schemas.openxmlformats.org/officeDocument/2006/relationships/hyperlink" Target="https://www.google.com/search?q=&#2360;&#2306;&#2357;&#2376;&#2343;&#2366;&#2344;&#2367;&#2325;+&#2319;&#2357;&#2306;+&#2327;&#2376;&#2352;-&#2360;&#2306;&#2357;&#2376;&#2343;&#2366;&#2344;&#2367;&#2325;+&#2344;&#2367;&#2325;&#2366;&#2351;+%28site%3Adrishtiias.com+OR+site%3Avisionias.in+OR+site%3Ancert.nic.in+OR+site%3Ajagranjosh.com+OR+site%3Agktoday.in%29" TargetMode="External"/><Relationship Id="rId803" Type="http://schemas.openxmlformats.org/officeDocument/2006/relationships/hyperlink" Target="https://www.google.com/search?q=Governance%2C+Rights+%26+Social+Justice+notes+pdf+Drishti+IAS+Vision+IAS+BPSC+Wallah" TargetMode="External"/><Relationship Id="rId804" Type="http://schemas.openxmlformats.org/officeDocument/2006/relationships/hyperlink" Target="https://www.google.com/search?q=Governance%2C+Rights+%26+Social+Justice+%28site%3Adrishtiias.com+OR+site%3Avisionias.in+OR+site%3Aprsindia.org%29" TargetMode="External"/><Relationship Id="rId805" Type="http://schemas.openxmlformats.org/officeDocument/2006/relationships/hyperlink" Target="https://www.youtube.com/results?search_query=Governance%2C+Rights+%26+Social+Justice+Drishti+IAS+BPSC" TargetMode="External"/><Relationship Id="rId806" Type="http://schemas.openxmlformats.org/officeDocument/2006/relationships/hyperlink" Target="https://www.youtube.com/results?search_query=Governance%2C+Rights+%26+Social+Justice+BPSC+Wallah" TargetMode="External"/><Relationship Id="rId807" Type="http://schemas.openxmlformats.org/officeDocument/2006/relationships/hyperlink" Target="https://www.youtube.com/results?search_query=Maths+IV%3A+Algebra%2C+Geometry%2C+Mensuration+%26+Trigonometry+BPSC+Wallah" TargetMode="External"/><Relationship Id="rId808" Type="http://schemas.openxmlformats.org/officeDocument/2006/relationships/hyperlink" Target="https://www.google.com/search?q=&#2358;&#2366;&#2360;&#2344;%2C+&#2309;&#2343;&#2367;&#2325;&#2366;&#2352;+&#2319;&#2357;&#2306;+&#2360;&#2366;&#2350;&#2366;&#2332;&#2367;&#2325;+&#2344;&#2381;&#2351;&#2366;&#2351;+%28site%3Adrishtiias.com+OR+site%3Avisionias.in+OR+site%3Ancert.nic.in+OR+site%3Ajagranjosh.com+OR+site%3Agktoday.in%29" TargetMode="External"/><Relationship Id="rId809" Type="http://schemas.openxmlformats.org/officeDocument/2006/relationships/hyperlink" Target="https://www.google.com/search?q=Governance%2C+Rights+%26+Social+Justice+notes+pdf+Drishti+IAS+Vision+IAS+BPSC+Wallah" TargetMode="External"/><Relationship Id="rId810" Type="http://schemas.openxmlformats.org/officeDocument/2006/relationships/hyperlink" Target="https://www.google.com/search?q=Governance%2C+Rights+%26+Social+Justice+%28site%3Adrishtiias.com+OR+site%3Avisionias.in+OR+site%3Aprsindia.org%29" TargetMode="External"/><Relationship Id="rId811" Type="http://schemas.openxmlformats.org/officeDocument/2006/relationships/hyperlink" Target="https://www.youtube.com/results?search_query=Governance%2C+Rights+%26+Social+Justice+Drishti+IAS+BPSC" TargetMode="External"/><Relationship Id="rId812" Type="http://schemas.openxmlformats.org/officeDocument/2006/relationships/hyperlink" Target="https://www.youtube.com/results?search_query=Governance%2C+Rights+%26+Social+Justice+BPSC+Wallah" TargetMode="External"/><Relationship Id="rId813" Type="http://schemas.openxmlformats.org/officeDocument/2006/relationships/hyperlink" Target="https://www.youtube.com/results?search_query=Maths+IV%3A+Algebra%2C+Geometry%2C+Mensuration+%26+Trigonometry+BPSC+Wallah" TargetMode="External"/><Relationship Id="rId814" Type="http://schemas.openxmlformats.org/officeDocument/2006/relationships/hyperlink" Target="https://www.google.com/search?q=&#2358;&#2366;&#2360;&#2344;%2C+&#2309;&#2343;&#2367;&#2325;&#2366;&#2352;+&#2319;&#2357;&#2306;+&#2360;&#2366;&#2350;&#2366;&#2332;&#2367;&#2325;+&#2344;&#2381;&#2351;&#2366;&#2351;+%28site%3Adrishtiias.com+OR+site%3Avisionias.in+OR+site%3Ancert.nic.in+OR+site%3Ajagranjosh.com+OR+site%3Agktoday.in%29" TargetMode="External"/><Relationship Id="rId815" Type="http://schemas.openxmlformats.org/officeDocument/2006/relationships/hyperlink" Target="https://www.google.com/search?q=Governance%2C+Rights+%26+Social+Justice+notes+pdf+Drishti+IAS+Vision+IAS+BPSC+Wallah" TargetMode="External"/><Relationship Id="rId816" Type="http://schemas.openxmlformats.org/officeDocument/2006/relationships/hyperlink" Target="https://www.google.com/search?q=Governance%2C+Rights+%26+Social+Justice+%28site%3Adrishtiias.com+OR+site%3Avisionias.in+OR+site%3Aprsindia.org%29" TargetMode="External"/><Relationship Id="rId817" Type="http://schemas.openxmlformats.org/officeDocument/2006/relationships/hyperlink" Target="https://www.youtube.com/results?search_query=Governance%2C+Rights+%26+Social+Justice+Drishti+IAS+BPSC" TargetMode="External"/><Relationship Id="rId818" Type="http://schemas.openxmlformats.org/officeDocument/2006/relationships/hyperlink" Target="https://www.youtube.com/results?search_query=Governance%2C+Rights+%26+Social+Justice+BPSC+Wallah" TargetMode="External"/><Relationship Id="rId819" Type="http://schemas.openxmlformats.org/officeDocument/2006/relationships/hyperlink" Target="https://www.youtube.com/results?search_query=Maths+IV%3A+Algebra%2C+Geometry%2C+Mensuration+%26+Trigonometry+BPSC+Wallah" TargetMode="External"/><Relationship Id="rId820" Type="http://schemas.openxmlformats.org/officeDocument/2006/relationships/hyperlink" Target="https://www.google.com/search?q=&#2358;&#2366;&#2360;&#2344;%2C+&#2309;&#2343;&#2367;&#2325;&#2366;&#2352;+&#2319;&#2357;&#2306;+&#2360;&#2366;&#2350;&#2366;&#2332;&#2367;&#2325;+&#2344;&#2381;&#2351;&#2366;&#2351;+%28site%3Adrishtiias.com+OR+site%3Avisionias.in+OR+site%3Ancert.nic.in+OR+site%3Ajagranjosh.com+OR+site%3Agktoday.in%29" TargetMode="External"/><Relationship Id="rId821" Type="http://schemas.openxmlformats.org/officeDocument/2006/relationships/hyperlink" Target="https://www.google.com/search?q=BPSC+weekly+revision+notes+pdf+Drishti+IAS+Vision+IAS" TargetMode="External"/><Relationship Id="rId822" Type="http://schemas.openxmlformats.org/officeDocument/2006/relationships/hyperlink" Target="https://www.google.com/search?q=weekly+current+affairs+revision+%28site%3Adrishtiias.com+OR+site%3Avisionias.in+OR+site%3Apib.gov.in%29" TargetMode="External"/><Relationship Id="rId823" Type="http://schemas.openxmlformats.org/officeDocument/2006/relationships/hyperlink" Target="https://www.youtube.com/results?search_query=BPSC+prelims+mock+test+analysis+strategy+Drishti+IAS" TargetMode="External"/><Relationship Id="rId824" Type="http://schemas.openxmlformats.org/officeDocument/2006/relationships/hyperlink" Target="https://www.youtube.com/results?search_query=BPSC+Wallah+BPSC+prelims+test+series+discussion" TargetMode="External"/><Relationship Id="rId825" Type="http://schemas.openxmlformats.org/officeDocument/2006/relationships/hyperlink" Target="https://www.youtube.com/results?search_query=BPSC+Wallah+BPSC+revision+strategy" TargetMode="External"/><Relationship Id="rId826" Type="http://schemas.openxmlformats.org/officeDocument/2006/relationships/hyperlink" Target="https://www.google.com/search?q=Basic+Concepts%2C+National+Income+%26+Inflation+notes+pdf+Drishti+IAS+Vision+IAS+BPSC+Wallah" TargetMode="External"/><Relationship Id="rId827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828" Type="http://schemas.openxmlformats.org/officeDocument/2006/relationships/hyperlink" Target="https://www.youtube.com/results?search_query=Basic+Concepts%2C+National+Income+%26+Inflation+Drishti+IAS+BPSC" TargetMode="External"/><Relationship Id="rId829" Type="http://schemas.openxmlformats.org/officeDocument/2006/relationships/hyperlink" Target="https://www.youtube.com/results?search_query=Basic+Concepts%2C+National+Income+%26+Inflation+BPSC+Wallah" TargetMode="External"/><Relationship Id="rId830" Type="http://schemas.openxmlformats.org/officeDocument/2006/relationships/hyperlink" Target="https://www.youtube.com/results?search_query=Maths+IV%3A+Algebra%2C+Geometry%2C+Mensuration+%26+Trigonometry+BPSC+Wallah" TargetMode="External"/><Relationship Id="rId831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832" Type="http://schemas.openxmlformats.org/officeDocument/2006/relationships/hyperlink" Target="https://www.google.com/search?q=Basic+Concepts%2C+National+Income+%26+Inflation+notes+pdf+Drishti+IAS+Vision+IAS+BPSC+Wallah" TargetMode="External"/><Relationship Id="rId833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834" Type="http://schemas.openxmlformats.org/officeDocument/2006/relationships/hyperlink" Target="https://www.youtube.com/results?search_query=Basic+Concepts%2C+National+Income+%26+Inflation+Drishti+IAS+BPSC" TargetMode="External"/><Relationship Id="rId835" Type="http://schemas.openxmlformats.org/officeDocument/2006/relationships/hyperlink" Target="https://www.youtube.com/results?search_query=Basic+Concepts%2C+National+Income+%26+Inflation+BPSC+Wallah" TargetMode="External"/><Relationship Id="rId836" Type="http://schemas.openxmlformats.org/officeDocument/2006/relationships/hyperlink" Target="https://www.youtube.com/results?search_query=Maths+V%3A+Data+Interpretation+%26+Statistics+BPSC+Wallah" TargetMode="External"/><Relationship Id="rId837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838" Type="http://schemas.openxmlformats.org/officeDocument/2006/relationships/hyperlink" Target="https://www.google.com/search?q=Basic+Concepts%2C+National+Income+%26+Inflation+notes+pdf+Drishti+IAS+Vision+IAS+BPSC+Wallah" TargetMode="External"/><Relationship Id="rId839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840" Type="http://schemas.openxmlformats.org/officeDocument/2006/relationships/hyperlink" Target="https://www.youtube.com/results?search_query=Basic+Concepts%2C+National+Income+%26+Inflation+Drishti+IAS+BPSC" TargetMode="External"/><Relationship Id="rId841" Type="http://schemas.openxmlformats.org/officeDocument/2006/relationships/hyperlink" Target="https://www.youtube.com/results?search_query=Basic+Concepts%2C+National+Income+%26+Inflation+BPSC+Wallah" TargetMode="External"/><Relationship Id="rId842" Type="http://schemas.openxmlformats.org/officeDocument/2006/relationships/hyperlink" Target="https://www.youtube.com/results?search_query=Maths+V%3A+Data+Interpretation+%26+Statistics+BPSC+Wallah" TargetMode="External"/><Relationship Id="rId843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844" Type="http://schemas.openxmlformats.org/officeDocument/2006/relationships/hyperlink" Target="https://www.google.com/search?q=Basic+Concepts%2C+National+Income+%26+Inflation+notes+pdf+Drishti+IAS+Vision+IAS+BPSC+Wallah" TargetMode="External"/><Relationship Id="rId845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846" Type="http://schemas.openxmlformats.org/officeDocument/2006/relationships/hyperlink" Target="https://www.youtube.com/results?search_query=Basic+Concepts%2C+National+Income+%26+Inflation+Drishti+IAS+BPSC" TargetMode="External"/><Relationship Id="rId847" Type="http://schemas.openxmlformats.org/officeDocument/2006/relationships/hyperlink" Target="https://www.youtube.com/results?search_query=Basic+Concepts%2C+National+Income+%26+Inflation+BPSC+Wallah" TargetMode="External"/><Relationship Id="rId848" Type="http://schemas.openxmlformats.org/officeDocument/2006/relationships/hyperlink" Target="https://www.youtube.com/results?search_query=Maths+V%3A+Data+Interpretation+%26+Statistics+BPSC+Wallah" TargetMode="External"/><Relationship Id="rId849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850" Type="http://schemas.openxmlformats.org/officeDocument/2006/relationships/hyperlink" Target="https://www.google.com/search?q=Planning%2C+Poverty+%26+Unemployment+notes+pdf+Drishti+IAS+Vision+IAS+BPSC+Wallah" TargetMode="External"/><Relationship Id="rId851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852" Type="http://schemas.openxmlformats.org/officeDocument/2006/relationships/hyperlink" Target="https://www.youtube.com/results?search_query=Planning%2C+Poverty+%26+Unemployment+Drishti+IAS+BPSC" TargetMode="External"/><Relationship Id="rId853" Type="http://schemas.openxmlformats.org/officeDocument/2006/relationships/hyperlink" Target="https://www.youtube.com/results?search_query=Planning%2C+Poverty+%26+Unemployment+BPSC+Wallah" TargetMode="External"/><Relationship Id="rId854" Type="http://schemas.openxmlformats.org/officeDocument/2006/relationships/hyperlink" Target="https://www.youtube.com/results?search_query=Maths+V%3A+Data+Interpretation+%26+Statistics+BPSC+Wallah" TargetMode="External"/><Relationship Id="rId855" Type="http://schemas.openxmlformats.org/officeDocument/2006/relationships/hyperlink" Target="https://www.google.com/search?q=&#2344;&#2367;&#2351;&#2379;&#2332;&#2344;%2C+&#2327;&#2352;&#2368;&#2348;&#2368;+&#2319;&#2357;&#2306;+&#2348;&#2375;&#2352;&#2379;&#2332;&#2364;&#2327;&#2366;&#2352;&#2368;+%28site%3Adrishtiias.com+OR+site%3Avisionias.in+OR+site%3Ancert.nic.in+OR+site%3Ajagranjosh.com+OR+site%3Agktoday.in%29" TargetMode="External"/><Relationship Id="rId856" Type="http://schemas.openxmlformats.org/officeDocument/2006/relationships/hyperlink" Target="https://www.google.com/search?q=Planning%2C+Poverty+%26+Unemployment+notes+pdf+Drishti+IAS+Vision+IAS+BPSC+Wallah" TargetMode="External"/><Relationship Id="rId857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858" Type="http://schemas.openxmlformats.org/officeDocument/2006/relationships/hyperlink" Target="https://www.youtube.com/results?search_query=Planning%2C+Poverty+%26+Unemployment+Drishti+IAS+BPSC" TargetMode="External"/><Relationship Id="rId859" Type="http://schemas.openxmlformats.org/officeDocument/2006/relationships/hyperlink" Target="https://www.youtube.com/results?search_query=Planning%2C+Poverty+%26+Unemployment+BPSC+Wallah" TargetMode="External"/><Relationship Id="rId860" Type="http://schemas.openxmlformats.org/officeDocument/2006/relationships/hyperlink" Target="https://www.youtube.com/results?search_query=Maths+V%3A+Data+Interpretation+%26+Statistics+BPSC+Wallah" TargetMode="External"/><Relationship Id="rId861" Type="http://schemas.openxmlformats.org/officeDocument/2006/relationships/hyperlink" Target="https://www.google.com/search?q=&#2344;&#2367;&#2351;&#2379;&#2332;&#2344;%2C+&#2327;&#2352;&#2368;&#2348;&#2368;+&#2319;&#2357;&#2306;+&#2348;&#2375;&#2352;&#2379;&#2332;&#2364;&#2327;&#2366;&#2352;&#2368;+%28site%3Adrishtiias.com+OR+site%3Avisionias.in+OR+site%3Ancert.nic.in+OR+site%3Ajagranjosh.com+OR+site%3Agktoday.in%29" TargetMode="External"/><Relationship Id="rId862" Type="http://schemas.openxmlformats.org/officeDocument/2006/relationships/hyperlink" Target="https://www.google.com/search?q=BPSC+weekly+revision+notes+pdf+Drishti+IAS+Vision+IAS" TargetMode="External"/><Relationship Id="rId863" Type="http://schemas.openxmlformats.org/officeDocument/2006/relationships/hyperlink" Target="https://www.google.com/search?q=weekly+current+affairs+revision+%28site%3Adrishtiias.com+OR+site%3Avisionias.in+OR+site%3Apib.gov.in%29" TargetMode="External"/><Relationship Id="rId864" Type="http://schemas.openxmlformats.org/officeDocument/2006/relationships/hyperlink" Target="https://www.youtube.com/results?search_query=BPSC+prelims+mock+test+analysis+strategy+Drishti+IAS" TargetMode="External"/><Relationship Id="rId865" Type="http://schemas.openxmlformats.org/officeDocument/2006/relationships/hyperlink" Target="https://www.youtube.com/results?search_query=BPSC+Wallah+BPSC+prelims+test+series+discussion" TargetMode="External"/><Relationship Id="rId866" Type="http://schemas.openxmlformats.org/officeDocument/2006/relationships/hyperlink" Target="https://www.youtube.com/results?search_query=BPSC+Wallah+BPSC+revision+strategy" TargetMode="External"/><Relationship Id="rId867" Type="http://schemas.openxmlformats.org/officeDocument/2006/relationships/hyperlink" Target="https://www.google.com/search?q=Planning%2C+Poverty+%26+Unemployment+notes+pdf+Drishti+IAS+Vision+IAS+BPSC+Wallah" TargetMode="External"/><Relationship Id="rId868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869" Type="http://schemas.openxmlformats.org/officeDocument/2006/relationships/hyperlink" Target="https://www.youtube.com/results?search_query=Planning%2C+Poverty+%26+Unemployment+Drishti+IAS+BPSC" TargetMode="External"/><Relationship Id="rId870" Type="http://schemas.openxmlformats.org/officeDocument/2006/relationships/hyperlink" Target="https://www.youtube.com/results?search_query=Planning%2C+Poverty+%26+Unemployment+BPSC+Wallah" TargetMode="External"/><Relationship Id="rId871" Type="http://schemas.openxmlformats.org/officeDocument/2006/relationships/hyperlink" Target="https://www.youtube.com/results?search_query=Reasoning+I%3A+Series%2C+Coding-Decoding+%26+Analogy+BPSC+Wallah" TargetMode="External"/><Relationship Id="rId872" Type="http://schemas.openxmlformats.org/officeDocument/2006/relationships/hyperlink" Target="https://www.google.com/search?q=&#2344;&#2367;&#2351;&#2379;&#2332;&#2344;%2C+&#2327;&#2352;&#2368;&#2348;&#2368;+&#2319;&#2357;&#2306;+&#2348;&#2375;&#2352;&#2379;&#2332;&#2364;&#2327;&#2366;&#2352;&#2368;+%28site%3Adrishtiias.com+OR+site%3Avisionias.in+OR+site%3Ancert.nic.in+OR+site%3Ajagranjosh.com+OR+site%3Agktoday.in%29" TargetMode="External"/><Relationship Id="rId873" Type="http://schemas.openxmlformats.org/officeDocument/2006/relationships/hyperlink" Target="https://www.google.com/search?q=Money%2C+Banking+%26+Monetary+Policy+notes+pdf+Drishti+IAS+Vision+IAS+BPSC+Wallah" TargetMode="External"/><Relationship Id="rId874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875" Type="http://schemas.openxmlformats.org/officeDocument/2006/relationships/hyperlink" Target="https://www.youtube.com/results?search_query=Money%2C+Banking+%26+Monetary+Policy+Drishti+IAS+BPSC" TargetMode="External"/><Relationship Id="rId876" Type="http://schemas.openxmlformats.org/officeDocument/2006/relationships/hyperlink" Target="https://www.youtube.com/results?search_query=Money%2C+Banking+%26+Monetary+Policy+BPSC+Wallah" TargetMode="External"/><Relationship Id="rId877" Type="http://schemas.openxmlformats.org/officeDocument/2006/relationships/hyperlink" Target="https://www.youtube.com/results?search_query=Reasoning+I%3A+Series%2C+Coding-Decoding+%26+Analogy+BPSC+Wallah" TargetMode="External"/><Relationship Id="rId878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879" Type="http://schemas.openxmlformats.org/officeDocument/2006/relationships/hyperlink" Target="https://www.google.com/search?q=Money%2C+Banking+%26+Monetary+Policy+notes+pdf+Drishti+IAS+Vision+IAS+BPSC+Wallah" TargetMode="External"/><Relationship Id="rId880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881" Type="http://schemas.openxmlformats.org/officeDocument/2006/relationships/hyperlink" Target="https://www.youtube.com/results?search_query=Money%2C+Banking+%26+Monetary+Policy+Drishti+IAS+BPSC" TargetMode="External"/><Relationship Id="rId882" Type="http://schemas.openxmlformats.org/officeDocument/2006/relationships/hyperlink" Target="https://www.youtube.com/results?search_query=Money%2C+Banking+%26+Monetary+Policy+BPSC+Wallah" TargetMode="External"/><Relationship Id="rId883" Type="http://schemas.openxmlformats.org/officeDocument/2006/relationships/hyperlink" Target="https://www.youtube.com/results?search_query=Reasoning+I%3A+Series%2C+Coding-Decoding+%26+Analogy+BPSC+Wallah" TargetMode="External"/><Relationship Id="rId884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885" Type="http://schemas.openxmlformats.org/officeDocument/2006/relationships/hyperlink" Target="https://www.google.com/search?q=Money%2C+Banking+%26+Monetary+Policy+notes+pdf+Drishti+IAS+Vision+IAS+BPSC+Wallah" TargetMode="External"/><Relationship Id="rId886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887" Type="http://schemas.openxmlformats.org/officeDocument/2006/relationships/hyperlink" Target="https://www.youtube.com/results?search_query=Money%2C+Banking+%26+Monetary+Policy+Drishti+IAS+BPSC" TargetMode="External"/><Relationship Id="rId888" Type="http://schemas.openxmlformats.org/officeDocument/2006/relationships/hyperlink" Target="https://www.youtube.com/results?search_query=Money%2C+Banking+%26+Monetary+Policy+BPSC+Wallah" TargetMode="External"/><Relationship Id="rId889" Type="http://schemas.openxmlformats.org/officeDocument/2006/relationships/hyperlink" Target="https://www.youtube.com/results?search_query=Reasoning+I%3A+Series%2C+Coding-Decoding+%26+Analogy+BPSC+Wallah" TargetMode="External"/><Relationship Id="rId890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891" Type="http://schemas.openxmlformats.org/officeDocument/2006/relationships/hyperlink" Target="https://www.google.com/search?q=Money%2C+Banking+%26+Monetary+Policy+notes+pdf+Drishti+IAS+Vision+IAS+BPSC+Wallah" TargetMode="External"/><Relationship Id="rId892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893" Type="http://schemas.openxmlformats.org/officeDocument/2006/relationships/hyperlink" Target="https://www.youtube.com/results?search_query=Money%2C+Banking+%26+Monetary+Policy+Drishti+IAS+BPSC" TargetMode="External"/><Relationship Id="rId894" Type="http://schemas.openxmlformats.org/officeDocument/2006/relationships/hyperlink" Target="https://www.youtube.com/results?search_query=Money%2C+Banking+%26+Monetary+Policy+BPSC+Wallah" TargetMode="External"/><Relationship Id="rId895" Type="http://schemas.openxmlformats.org/officeDocument/2006/relationships/hyperlink" Target="https://www.youtube.com/results?search_query=Reasoning+I%3A+Series%2C+Coding-Decoding+%26+Analogy+BPSC+Wallah" TargetMode="External"/><Relationship Id="rId896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897" Type="http://schemas.openxmlformats.org/officeDocument/2006/relationships/hyperlink" Target="https://www.google.com/search?q=Money%2C+Banking+%26+Monetary+Policy+notes+pdf+Drishti+IAS+Vision+IAS+BPSC+Wallah" TargetMode="External"/><Relationship Id="rId898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899" Type="http://schemas.openxmlformats.org/officeDocument/2006/relationships/hyperlink" Target="https://www.youtube.com/results?search_query=Money%2C+Banking+%26+Monetary+Policy+Drishti+IAS+BPSC" TargetMode="External"/><Relationship Id="rId900" Type="http://schemas.openxmlformats.org/officeDocument/2006/relationships/hyperlink" Target="https://www.youtube.com/results?search_query=Money%2C+Banking+%26+Monetary+Policy+BPSC+Wallah" TargetMode="External"/><Relationship Id="rId901" Type="http://schemas.openxmlformats.org/officeDocument/2006/relationships/hyperlink" Target="https://www.youtube.com/results?search_query=Reasoning+II%3A+Direction%2C+Blood+Relation%2C+Syllogism+%26+Puzzles+BPSC+Wallah" TargetMode="External"/><Relationship Id="rId902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903" Type="http://schemas.openxmlformats.org/officeDocument/2006/relationships/hyperlink" Target="https://www.google.com/search?q=BPSC+weekly+revision+notes+pdf+Drishti+IAS+Vision+IAS" TargetMode="External"/><Relationship Id="rId904" Type="http://schemas.openxmlformats.org/officeDocument/2006/relationships/hyperlink" Target="https://www.google.com/search?q=weekly+current+affairs+revision+%28site%3Adrishtiias.com+OR+site%3Avisionias.in+OR+site%3Apib.gov.in%29" TargetMode="External"/><Relationship Id="rId905" Type="http://schemas.openxmlformats.org/officeDocument/2006/relationships/hyperlink" Target="https://www.youtube.com/results?search_query=BPSC+prelims+mock+test+analysis+strategy+Drishti+IAS" TargetMode="External"/><Relationship Id="rId906" Type="http://schemas.openxmlformats.org/officeDocument/2006/relationships/hyperlink" Target="https://www.youtube.com/results?search_query=BPSC+Wallah+BPSC+prelims+test+series+discussion" TargetMode="External"/><Relationship Id="rId907" Type="http://schemas.openxmlformats.org/officeDocument/2006/relationships/hyperlink" Target="https://www.youtube.com/results?search_query=BPSC+Wallah+BPSC+revision+strategy" TargetMode="External"/><Relationship Id="rId908" Type="http://schemas.openxmlformats.org/officeDocument/2006/relationships/hyperlink" Target="https://www.google.com/search?q=Public+Finance%3A+Budget%2C+Taxation+%26+GST+notes+pdf+Drishti+IAS+Vision+IAS+BPSC+Wallah" TargetMode="External"/><Relationship Id="rId909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910" Type="http://schemas.openxmlformats.org/officeDocument/2006/relationships/hyperlink" Target="https://www.youtube.com/results?search_query=Public+Finance%3A+Budget%2C+Taxation+%26+GST+Drishti+IAS+BPSC" TargetMode="External"/><Relationship Id="rId911" Type="http://schemas.openxmlformats.org/officeDocument/2006/relationships/hyperlink" Target="https://www.youtube.com/results?search_query=Public+Finance%3A+Budget%2C+Taxation+%26+GST+BPSC+Wallah" TargetMode="External"/><Relationship Id="rId912" Type="http://schemas.openxmlformats.org/officeDocument/2006/relationships/hyperlink" Target="https://www.youtube.com/results?search_query=Reasoning+II%3A+Direction%2C+Blood+Relation%2C+Syllogism+%26+Puzzles+BPSC+Wallah" TargetMode="External"/><Relationship Id="rId913" Type="http://schemas.openxmlformats.org/officeDocument/2006/relationships/hyperlink" Target="https://www.google.com/search?q=&#2360;&#2366;&#2352;&#2381;&#2357;&#2332;&#2344;&#2367;&#2325;+&#2357;&#2367;&#2340;&#2381;&#2340;%3A+&#2348;&#2332;&#2335;%2C+&#2325;&#2352;&#2366;&#2343;&#2366;&#2344;+&#2319;&#2357;&#2306;+GST+%28site%3Adrishtiias.com+OR+site%3Avisionias.in+OR+site%3Ancert.nic.in+OR+site%3Ajagranjosh.com+OR+site%3Agktoday.in%29" TargetMode="External"/><Relationship Id="rId914" Type="http://schemas.openxmlformats.org/officeDocument/2006/relationships/hyperlink" Target="https://www.google.com/search?q=Public+Finance%3A+Budget%2C+Taxation+%26+GST+notes+pdf+Drishti+IAS+Vision+IAS+BPSC+Wallah" TargetMode="External"/><Relationship Id="rId915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916" Type="http://schemas.openxmlformats.org/officeDocument/2006/relationships/hyperlink" Target="https://www.youtube.com/results?search_query=Public+Finance%3A+Budget%2C+Taxation+%26+GST+Drishti+IAS+BPSC" TargetMode="External"/><Relationship Id="rId917" Type="http://schemas.openxmlformats.org/officeDocument/2006/relationships/hyperlink" Target="https://www.youtube.com/results?search_query=Public+Finance%3A+Budget%2C+Taxation+%26+GST+BPSC+Wallah" TargetMode="External"/><Relationship Id="rId918" Type="http://schemas.openxmlformats.org/officeDocument/2006/relationships/hyperlink" Target="https://www.youtube.com/results?search_query=Reasoning+II%3A+Direction%2C+Blood+Relation%2C+Syllogism+%26+Puzzles+BPSC+Wallah" TargetMode="External"/><Relationship Id="rId919" Type="http://schemas.openxmlformats.org/officeDocument/2006/relationships/hyperlink" Target="https://www.google.com/search?q=&#2360;&#2366;&#2352;&#2381;&#2357;&#2332;&#2344;&#2367;&#2325;+&#2357;&#2367;&#2340;&#2381;&#2340;%3A+&#2348;&#2332;&#2335;%2C+&#2325;&#2352;&#2366;&#2343;&#2366;&#2344;+&#2319;&#2357;&#2306;+GST+%28site%3Adrishtiias.com+OR+site%3Avisionias.in+OR+site%3Ancert.nic.in+OR+site%3Ajagranjosh.com+OR+site%3Agktoday.in%29" TargetMode="External"/><Relationship Id="rId920" Type="http://schemas.openxmlformats.org/officeDocument/2006/relationships/hyperlink" Target="https://www.google.com/search?q=Public+Finance%3A+Budget%2C+Taxation+%26+GST+notes+pdf+Drishti+IAS+Vision+IAS+BPSC+Wallah" TargetMode="External"/><Relationship Id="rId921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922" Type="http://schemas.openxmlformats.org/officeDocument/2006/relationships/hyperlink" Target="https://www.youtube.com/results?search_query=Public+Finance%3A+Budget%2C+Taxation+%26+GST+Drishti+IAS+BPSC" TargetMode="External"/><Relationship Id="rId923" Type="http://schemas.openxmlformats.org/officeDocument/2006/relationships/hyperlink" Target="https://www.youtube.com/results?search_query=Public+Finance%3A+Budget%2C+Taxation+%26+GST+BPSC+Wallah" TargetMode="External"/><Relationship Id="rId924" Type="http://schemas.openxmlformats.org/officeDocument/2006/relationships/hyperlink" Target="https://www.youtube.com/results?search_query=Reasoning+II%3A+Direction%2C+Blood+Relation%2C+Syllogism+%26+Puzzles+BPSC+Wallah" TargetMode="External"/><Relationship Id="rId925" Type="http://schemas.openxmlformats.org/officeDocument/2006/relationships/hyperlink" Target="https://www.google.com/search?q=&#2360;&#2366;&#2352;&#2381;&#2357;&#2332;&#2344;&#2367;&#2325;+&#2357;&#2367;&#2340;&#2381;&#2340;%3A+&#2348;&#2332;&#2335;%2C+&#2325;&#2352;&#2366;&#2343;&#2366;&#2344;+&#2319;&#2357;&#2306;+GST+%28site%3Adrishtiias.com+OR+site%3Avisionias.in+OR+site%3Ancert.nic.in+OR+site%3Ajagranjosh.com+OR+site%3Agktoday.in%29" TargetMode="External"/><Relationship Id="rId926" Type="http://schemas.openxmlformats.org/officeDocument/2006/relationships/hyperlink" Target="https://www.google.com/search?q=Agricultural+Economy+notes+pdf+Drishti+IAS+Vision+IAS+BPSC+Wallah" TargetMode="External"/><Relationship Id="rId927" Type="http://schemas.openxmlformats.org/officeDocument/2006/relationships/hyperlink" Target="https://www.google.com/search?q=Agricultural+Economy+%28site%3Adrishtiias.com+OR+site%3Avisionias.in+OR+site%3Apib.gov.in+OR+site%3Aindiabudget.gov.in%29" TargetMode="External"/><Relationship Id="rId928" Type="http://schemas.openxmlformats.org/officeDocument/2006/relationships/hyperlink" Target="https://www.youtube.com/results?search_query=Agricultural+Economy+Drishti+IAS+BPSC" TargetMode="External"/><Relationship Id="rId929" Type="http://schemas.openxmlformats.org/officeDocument/2006/relationships/hyperlink" Target="https://www.youtube.com/results?search_query=Agricultural+Economy+BPSC+Wallah" TargetMode="External"/><Relationship Id="rId930" Type="http://schemas.openxmlformats.org/officeDocument/2006/relationships/hyperlink" Target="https://www.youtube.com/results?search_query=Reasoning+II%3A+Direction%2C+Blood+Relation%2C+Syllogism+%26+Puzzles+BPSC+Wallah" TargetMode="External"/><Relationship Id="rId931" Type="http://schemas.openxmlformats.org/officeDocument/2006/relationships/hyperlink" Target="https://www.google.com/search?q=&#2325;&#2371;&#2359;&#2367;+&#2309;&#2352;&#2381;&#2341;&#2357;&#2381;&#2351;&#2357;&#2360;&#2381;&#2341;&#2366;+%28site%3Adrishtiias.com+OR+site%3Avisionias.in+OR+site%3Ancert.nic.in+OR+site%3Ajagranjosh.com+OR+site%3Agktoday.in%29" TargetMode="External"/><Relationship Id="rId932" Type="http://schemas.openxmlformats.org/officeDocument/2006/relationships/hyperlink" Target="https://www.google.com/search?q=Agricultural+Economy+notes+pdf+Drishti+IAS+Vision+IAS+BPSC+Wallah" TargetMode="External"/><Relationship Id="rId933" Type="http://schemas.openxmlformats.org/officeDocument/2006/relationships/hyperlink" Target="https://www.google.com/search?q=Agricultural+Economy+%28site%3Adrishtiias.com+OR+site%3Avisionias.in+OR+site%3Apib.gov.in+OR+site%3Aindiabudget.gov.in%29" TargetMode="External"/><Relationship Id="rId934" Type="http://schemas.openxmlformats.org/officeDocument/2006/relationships/hyperlink" Target="https://www.youtube.com/results?search_query=Agricultural+Economy+Drishti+IAS+BPSC" TargetMode="External"/><Relationship Id="rId935" Type="http://schemas.openxmlformats.org/officeDocument/2006/relationships/hyperlink" Target="https://www.youtube.com/results?search_query=Agricultural+Economy+BPSC+Wallah" TargetMode="External"/><Relationship Id="rId936" Type="http://schemas.openxmlformats.org/officeDocument/2006/relationships/hyperlink" Target="https://www.youtube.com/results?search_query=Reasoning+II%3A+Direction%2C+Blood+Relation%2C+Syllogism+%26+Puzzles+BPSC+Wallah" TargetMode="External"/><Relationship Id="rId937" Type="http://schemas.openxmlformats.org/officeDocument/2006/relationships/hyperlink" Target="https://www.google.com/search?q=&#2325;&#2371;&#2359;&#2367;+&#2309;&#2352;&#2381;&#2341;&#2357;&#2381;&#2351;&#2357;&#2360;&#2381;&#2341;&#2366;+%28site%3Adrishtiias.com+OR+site%3Avisionias.in+OR+site%3Ancert.nic.in+OR+site%3Ajagranjosh.com+OR+site%3Agktoday.in%29" TargetMode="External"/><Relationship Id="rId938" Type="http://schemas.openxmlformats.org/officeDocument/2006/relationships/hyperlink" Target="https://www.google.com/search?q=Agricultural+Economy+notes+pdf+Drishti+IAS+Vision+IAS+BPSC+Wallah" TargetMode="External"/><Relationship Id="rId939" Type="http://schemas.openxmlformats.org/officeDocument/2006/relationships/hyperlink" Target="https://www.google.com/search?q=Agricultural+Economy+%28site%3Adrishtiias.com+OR+site%3Avisionias.in+OR+site%3Apib.gov.in+OR+site%3Aindiabudget.gov.in%29" TargetMode="External"/><Relationship Id="rId940" Type="http://schemas.openxmlformats.org/officeDocument/2006/relationships/hyperlink" Target="https://www.youtube.com/results?search_query=Agricultural+Economy+Drishti+IAS+BPSC" TargetMode="External"/><Relationship Id="rId941" Type="http://schemas.openxmlformats.org/officeDocument/2006/relationships/hyperlink" Target="https://www.youtube.com/results?search_query=Agricultural+Economy+BPSC+Wallah" TargetMode="External"/><Relationship Id="rId942" Type="http://schemas.openxmlformats.org/officeDocument/2006/relationships/hyperlink" Target="https://www.youtube.com/results?search_query=Reasoning+II%3A+Direction%2C+Blood+Relation%2C+Syllogism+%26+Puzzles+BPSC+Wallah" TargetMode="External"/><Relationship Id="rId943" Type="http://schemas.openxmlformats.org/officeDocument/2006/relationships/hyperlink" Target="https://www.google.com/search?q=&#2325;&#2371;&#2359;&#2367;+&#2309;&#2352;&#2381;&#2341;&#2357;&#2381;&#2351;&#2357;&#2360;&#2381;&#2341;&#2366;+%28site%3Adrishtiias.com+OR+site%3Avisionias.in+OR+site%3Ancert.nic.in+OR+site%3Ajagranjosh.com+OR+site%3Agktoday.in%29" TargetMode="External"/><Relationship Id="rId944" Type="http://schemas.openxmlformats.org/officeDocument/2006/relationships/hyperlink" Target="https://www.google.com/search?q=BPSC+weekly+revision+notes+pdf+Drishti+IAS+Vision+IAS" TargetMode="External"/><Relationship Id="rId945" Type="http://schemas.openxmlformats.org/officeDocument/2006/relationships/hyperlink" Target="https://www.google.com/search?q=weekly+current+affairs+revision+%28site%3Adrishtiias.com+OR+site%3Avisionias.in+OR+site%3Apib.gov.in%29" TargetMode="External"/><Relationship Id="rId946" Type="http://schemas.openxmlformats.org/officeDocument/2006/relationships/hyperlink" Target="https://www.youtube.com/results?search_query=BPSC+prelims+mock+test+analysis+strategy+Drishti+IAS" TargetMode="External"/><Relationship Id="rId947" Type="http://schemas.openxmlformats.org/officeDocument/2006/relationships/hyperlink" Target="https://www.youtube.com/results?search_query=BPSC+Wallah+BPSC+prelims+test+series+discussion" TargetMode="External"/><Relationship Id="rId948" Type="http://schemas.openxmlformats.org/officeDocument/2006/relationships/hyperlink" Target="https://www.youtube.com/results?search_query=BPSC+Wallah+BPSC+revision+strategy" TargetMode="External"/><Relationship Id="rId949" Type="http://schemas.openxmlformats.org/officeDocument/2006/relationships/hyperlink" Target="https://www.google.com/search?q=Industry%2C+Services+%26+Infrastructure+notes+pdf+Drishti+IAS+Vision+IAS+BPSC+Wallah" TargetMode="External"/><Relationship Id="rId950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951" Type="http://schemas.openxmlformats.org/officeDocument/2006/relationships/hyperlink" Target="https://www.youtube.com/results?search_query=Industry%2C+Services+%26+Infrastructure+Drishti+IAS+BPSC" TargetMode="External"/><Relationship Id="rId952" Type="http://schemas.openxmlformats.org/officeDocument/2006/relationships/hyperlink" Target="https://www.youtube.com/results?search_query=Industry%2C+Services+%26+Infrastructure+BPSC+Wallah" TargetMode="External"/><Relationship Id="rId953" Type="http://schemas.openxmlformats.org/officeDocument/2006/relationships/hyperlink" Target="https://www.youtube.com/results?search_query=Hindi+Grammar+I%3A+Varna%2C+Sandhi%2C+Samas%2C+Upsarg-Pratyay+BPSC+Wallah" TargetMode="External"/><Relationship Id="rId954" Type="http://schemas.openxmlformats.org/officeDocument/2006/relationships/hyperlink" Target="https://www.google.com/search?q=&#2313;&#2342;&#2381;&#2351;&#2379;&#2327;%2C+&#2360;&#2375;&#2357;&#2366;&#2319;&#2305;+&#2319;&#2357;&#2306;+&#2309;&#2357;&#2360;&#2306;&#2352;&#2330;&#2344;&#2366;+%28site%3Adrishtiias.com+OR+site%3Avisionias.in+OR+site%3Ancert.nic.in+OR+site%3Ajagranjosh.com+OR+site%3Agktoday.in%29" TargetMode="External"/><Relationship Id="rId955" Type="http://schemas.openxmlformats.org/officeDocument/2006/relationships/hyperlink" Target="https://www.google.com/search?q=Industry%2C+Services+%26+Infrastructure+notes+pdf+Drishti+IAS+Vision+IAS+BPSC+Wallah" TargetMode="External"/><Relationship Id="rId956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957" Type="http://schemas.openxmlformats.org/officeDocument/2006/relationships/hyperlink" Target="https://www.youtube.com/results?search_query=Industry%2C+Services+%26+Infrastructure+Drishti+IAS+BPSC" TargetMode="External"/><Relationship Id="rId958" Type="http://schemas.openxmlformats.org/officeDocument/2006/relationships/hyperlink" Target="https://www.youtube.com/results?search_query=Industry%2C+Services+%26+Infrastructure+BPSC+Wallah" TargetMode="External"/><Relationship Id="rId959" Type="http://schemas.openxmlformats.org/officeDocument/2006/relationships/hyperlink" Target="https://www.youtube.com/results?search_query=Hindi+Grammar+I%3A+Varna%2C+Sandhi%2C+Samas%2C+Upsarg-Pratyay+BPSC+Wallah" TargetMode="External"/><Relationship Id="rId960" Type="http://schemas.openxmlformats.org/officeDocument/2006/relationships/hyperlink" Target="https://www.google.com/search?q=&#2313;&#2342;&#2381;&#2351;&#2379;&#2327;%2C+&#2360;&#2375;&#2357;&#2366;&#2319;&#2305;+&#2319;&#2357;&#2306;+&#2309;&#2357;&#2360;&#2306;&#2352;&#2330;&#2344;&#2366;+%28site%3Adrishtiias.com+OR+site%3Avisionias.in+OR+site%3Ancert.nic.in+OR+site%3Ajagranjosh.com+OR+site%3Agktoday.in%29" TargetMode="External"/><Relationship Id="rId961" Type="http://schemas.openxmlformats.org/officeDocument/2006/relationships/hyperlink" Target="https://www.google.com/search?q=Industry%2C+Services+%26+Infrastructure+notes+pdf+Drishti+IAS+Vision+IAS+BPSC+Wallah" TargetMode="External"/><Relationship Id="rId962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963" Type="http://schemas.openxmlformats.org/officeDocument/2006/relationships/hyperlink" Target="https://www.youtube.com/results?search_query=Industry%2C+Services+%26+Infrastructure+Drishti+IAS+BPSC" TargetMode="External"/><Relationship Id="rId964" Type="http://schemas.openxmlformats.org/officeDocument/2006/relationships/hyperlink" Target="https://www.youtube.com/results?search_query=Industry%2C+Services+%26+Infrastructure+BPSC+Wallah" TargetMode="External"/><Relationship Id="rId965" Type="http://schemas.openxmlformats.org/officeDocument/2006/relationships/hyperlink" Target="https://www.youtube.com/results?search_query=Hindi+Grammar+I%3A+Varna%2C+Sandhi%2C+Samas%2C+Upsarg-Pratyay+BPSC+Wallah" TargetMode="External"/><Relationship Id="rId966" Type="http://schemas.openxmlformats.org/officeDocument/2006/relationships/hyperlink" Target="https://www.google.com/search?q=&#2313;&#2342;&#2381;&#2351;&#2379;&#2327;%2C+&#2360;&#2375;&#2357;&#2366;&#2319;&#2305;+&#2319;&#2357;&#2306;+&#2309;&#2357;&#2360;&#2306;&#2352;&#2330;&#2344;&#2366;+%28site%3Adrishtiias.com+OR+site%3Avisionias.in+OR+site%3Ancert.nic.in+OR+site%3Ajagranjosh.com+OR+site%3Agktoday.in%29" TargetMode="External"/><Relationship Id="rId967" Type="http://schemas.openxmlformats.org/officeDocument/2006/relationships/hyperlink" Target="https://www.google.com/search?q=External+Sector+%26+International+Institutions+notes+pdf+Drishti+IAS+Vision+IAS+BPSC+Wallah" TargetMode="External"/><Relationship Id="rId968" Type="http://schemas.openxmlformats.org/officeDocument/2006/relationships/hyperlink" Target="https://www.google.com/search?q=External+Sector+%26+International+Institutions+%28site%3Adrishtiias.com+OR+site%3Avisionias.in+OR+site%3Apib.gov.in+OR+site%3Aindiabudget.gov.in%29" TargetMode="External"/><Relationship Id="rId969" Type="http://schemas.openxmlformats.org/officeDocument/2006/relationships/hyperlink" Target="https://www.youtube.com/results?search_query=External+Sector+%26+International+Institutions+Drishti+IAS+BPSC" TargetMode="External"/><Relationship Id="rId970" Type="http://schemas.openxmlformats.org/officeDocument/2006/relationships/hyperlink" Target="https://www.youtube.com/results?search_query=External+Sector+%26+International+Institutions+BPSC+Wallah" TargetMode="External"/><Relationship Id="rId971" Type="http://schemas.openxmlformats.org/officeDocument/2006/relationships/hyperlink" Target="https://www.youtube.com/results?search_query=Hindi+Grammar+I%3A+Varna%2C+Sandhi%2C+Samas%2C+Upsarg-Pratyay+BPSC+Wallah" TargetMode="External"/><Relationship Id="rId972" Type="http://schemas.openxmlformats.org/officeDocument/2006/relationships/hyperlink" Target="https://www.google.com/search?q=&#2348;&#2366;&#2361;&#2381;&#2351;+&#2325;&#2381;&#2359;&#2375;&#2340;&#2381;&#2352;+&#2319;&#2357;&#2306;+&#2309;&#2306;&#2340;&#2352;&#2381;&#2352;&#2366;&#2359;&#2381;&#2335;&#2381;&#2352;&#2368;&#2351;+&#2360;&#2306;&#2360;&#2381;&#2341;&#2366;&#2319;&#2305;+%28site%3Adrishtiias.com+OR+site%3Avisionias.in+OR+site%3Ancert.nic.in+OR+site%3Ajagranjosh.com+OR+site%3Agktoday.in%29" TargetMode="External"/><Relationship Id="rId973" Type="http://schemas.openxmlformats.org/officeDocument/2006/relationships/hyperlink" Target="https://www.google.com/search?q=External+Sector+%26+International+Institutions+notes+pdf+Drishti+IAS+Vision+IAS+BPSC+Wallah" TargetMode="External"/><Relationship Id="rId974" Type="http://schemas.openxmlformats.org/officeDocument/2006/relationships/hyperlink" Target="https://www.google.com/search?q=External+Sector+%26+International+Institutions+%28site%3Adrishtiias.com+OR+site%3Avisionias.in+OR+site%3Apib.gov.in+OR+site%3Aindiabudget.gov.in%29" TargetMode="External"/><Relationship Id="rId975" Type="http://schemas.openxmlformats.org/officeDocument/2006/relationships/hyperlink" Target="https://www.youtube.com/results?search_query=External+Sector+%26+International+Institutions+Drishti+IAS+BPSC" TargetMode="External"/><Relationship Id="rId976" Type="http://schemas.openxmlformats.org/officeDocument/2006/relationships/hyperlink" Target="https://www.youtube.com/results?search_query=External+Sector+%26+International+Institutions+BPSC+Wallah" TargetMode="External"/><Relationship Id="rId977" Type="http://schemas.openxmlformats.org/officeDocument/2006/relationships/hyperlink" Target="https://www.youtube.com/results?search_query=Hindi+Grammar+I%3A+Varna%2C+Sandhi%2C+Samas%2C+Upsarg-Pratyay+BPSC+Wallah" TargetMode="External"/><Relationship Id="rId978" Type="http://schemas.openxmlformats.org/officeDocument/2006/relationships/hyperlink" Target="https://www.google.com/search?q=&#2348;&#2366;&#2361;&#2381;&#2351;+&#2325;&#2381;&#2359;&#2375;&#2340;&#2381;&#2352;+&#2319;&#2357;&#2306;+&#2309;&#2306;&#2340;&#2352;&#2381;&#2352;&#2366;&#2359;&#2381;&#2335;&#2381;&#2352;&#2368;&#2351;+&#2360;&#2306;&#2360;&#2381;&#2341;&#2366;&#2319;&#2305;+%28site%3Adrishtiias.com+OR+site%3Avisionias.in+OR+site%3Ancert.nic.in+OR+site%3Ajagranjosh.com+OR+site%3Agktoday.in%29" TargetMode="External"/><Relationship Id="rId979" Type="http://schemas.openxmlformats.org/officeDocument/2006/relationships/hyperlink" Target="https://www.google.com/search?q=External+Sector+%26+International+Institutions+notes+pdf+Drishti+IAS+Vision+IAS+BPSC+Wallah" TargetMode="External"/><Relationship Id="rId980" Type="http://schemas.openxmlformats.org/officeDocument/2006/relationships/hyperlink" Target="https://www.google.com/search?q=External+Sector+%26+International+Institutions+%28site%3Adrishtiias.com+OR+site%3Avisionias.in+OR+site%3Apib.gov.in+OR+site%3Aindiabudget.gov.in%29" TargetMode="External"/><Relationship Id="rId981" Type="http://schemas.openxmlformats.org/officeDocument/2006/relationships/hyperlink" Target="https://www.youtube.com/results?search_query=External+Sector+%26+International+Institutions+Drishti+IAS+BPSC" TargetMode="External"/><Relationship Id="rId982" Type="http://schemas.openxmlformats.org/officeDocument/2006/relationships/hyperlink" Target="https://www.youtube.com/results?search_query=External+Sector+%26+International+Institutions+BPSC+Wallah" TargetMode="External"/><Relationship Id="rId983" Type="http://schemas.openxmlformats.org/officeDocument/2006/relationships/hyperlink" Target="https://www.youtube.com/results?search_query=Hindi+Grammar+II%3A+Vakya+Shuddhi%2C+Muhavare%2C+Paryayvachi+BPSC+Wallah" TargetMode="External"/><Relationship Id="rId984" Type="http://schemas.openxmlformats.org/officeDocument/2006/relationships/hyperlink" Target="https://www.google.com/search?q=&#2348;&#2366;&#2361;&#2381;&#2351;+&#2325;&#2381;&#2359;&#2375;&#2340;&#2381;&#2352;+&#2319;&#2357;&#2306;+&#2309;&#2306;&#2340;&#2352;&#2381;&#2352;&#2366;&#2359;&#2381;&#2335;&#2381;&#2352;&#2368;&#2351;+&#2360;&#2306;&#2360;&#2381;&#2341;&#2366;&#2319;&#2305;+%28site%3Adrishtiias.com+OR+site%3Avisionias.in+OR+site%3Ancert.nic.in+OR+site%3Ajagranjosh.com+OR+site%3Agktoday.in%29" TargetMode="External"/><Relationship Id="rId985" Type="http://schemas.openxmlformats.org/officeDocument/2006/relationships/hyperlink" Target="https://www.google.com/search?q=BPSC+weekly+revision+notes+pdf+Drishti+IAS+Vision+IAS" TargetMode="External"/><Relationship Id="rId986" Type="http://schemas.openxmlformats.org/officeDocument/2006/relationships/hyperlink" Target="https://www.google.com/search?q=weekly+current+affairs+revision+%28site%3Adrishtiias.com+OR+site%3Avisionias.in+OR+site%3Apib.gov.in%29" TargetMode="External"/><Relationship Id="rId987" Type="http://schemas.openxmlformats.org/officeDocument/2006/relationships/hyperlink" Target="https://www.youtube.com/results?search_query=BPSC+prelims+mock+test+analysis+strategy+Drishti+IAS" TargetMode="External"/><Relationship Id="rId988" Type="http://schemas.openxmlformats.org/officeDocument/2006/relationships/hyperlink" Target="https://www.youtube.com/results?search_query=BPSC+Wallah+BPSC+prelims+test+series+discussion" TargetMode="External"/><Relationship Id="rId989" Type="http://schemas.openxmlformats.org/officeDocument/2006/relationships/hyperlink" Target="https://www.youtube.com/results?search_query=BPSC+Wallah+BPSC+revision+strategy" TargetMode="External"/><Relationship Id="rId990" Type="http://schemas.openxmlformats.org/officeDocument/2006/relationships/hyperlink" Target="https://www.google.com/search?q=Capital+Market%2C+Insurance%2C+Economic+Survey+%26+Budget+notes+pdf+Drishti+IAS+Vision+IAS+BPSC+Wallah" TargetMode="External"/><Relationship Id="rId991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992" Type="http://schemas.openxmlformats.org/officeDocument/2006/relationships/hyperlink" Target="https://www.youtube.com/results?search_query=Capital+Market%2C+Insurance%2C+Economic+Survey+%26+Budget+Drishti+IAS+BPSC" TargetMode="External"/><Relationship Id="rId993" Type="http://schemas.openxmlformats.org/officeDocument/2006/relationships/hyperlink" Target="https://www.youtube.com/results?search_query=Capital+Market%2C+Insurance%2C+Economic+Survey+%26+Budget+BPSC+Wallah" TargetMode="External"/><Relationship Id="rId994" Type="http://schemas.openxmlformats.org/officeDocument/2006/relationships/hyperlink" Target="https://www.youtube.com/results?search_query=Hindi+Grammar+II%3A+Vakya+Shuddhi%2C+Muhavare%2C+Paryayvachi+BPSC+Wallah" TargetMode="External"/><Relationship Id="rId995" Type="http://schemas.openxmlformats.org/officeDocument/2006/relationships/hyperlink" Target="https://www.google.com/search?q=&#2346;&#2370;&#2305;&#2332;&#2368;+&#2348;&#2366;&#2332;&#2364;&#2366;&#2352;%2C+&#2348;&#2368;&#2350;&#2366;%2C+&#2310;&#2352;&#2381;&#2341;&#2367;&#2325;+&#2360;&#2352;&#2381;&#2357;&#2375;&#2325;&#2381;&#2359;&#2339;+&#2319;&#2357;&#2306;+&#2348;&#2332;&#2335;+%28site%3Adrishtiias.com+OR+site%3Avisionias.in+OR+site%3Ancert.nic.in+OR+site%3Ajagranjosh.com+OR+site%3Agktoday.in%29" TargetMode="External"/><Relationship Id="rId996" Type="http://schemas.openxmlformats.org/officeDocument/2006/relationships/hyperlink" Target="https://www.google.com/search?q=Capital+Market%2C+Insurance%2C+Economic+Survey+%26+Budget+notes+pdf+Drishti+IAS+Vision+IAS+BPSC+Wallah" TargetMode="External"/><Relationship Id="rId997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998" Type="http://schemas.openxmlformats.org/officeDocument/2006/relationships/hyperlink" Target="https://www.youtube.com/results?search_query=Capital+Market%2C+Insurance%2C+Economic+Survey+%26+Budget+Drishti+IAS+BPSC" TargetMode="External"/><Relationship Id="rId999" Type="http://schemas.openxmlformats.org/officeDocument/2006/relationships/hyperlink" Target="https://www.youtube.com/results?search_query=Capital+Market%2C+Insurance%2C+Economic+Survey+%26+Budget+BPSC+Wallah" TargetMode="External"/><Relationship Id="rId1000" Type="http://schemas.openxmlformats.org/officeDocument/2006/relationships/hyperlink" Target="https://www.youtube.com/results?search_query=Hindi+Grammar+II%3A+Vakya+Shuddhi%2C+Muhavare%2C+Paryayvachi+BPSC+Wallah" TargetMode="External"/><Relationship Id="rId1001" Type="http://schemas.openxmlformats.org/officeDocument/2006/relationships/hyperlink" Target="https://www.google.com/search?q=&#2346;&#2370;&#2305;&#2332;&#2368;+&#2348;&#2366;&#2332;&#2364;&#2366;&#2352;%2C+&#2348;&#2368;&#2350;&#2366;%2C+&#2310;&#2352;&#2381;&#2341;&#2367;&#2325;+&#2360;&#2352;&#2381;&#2357;&#2375;&#2325;&#2381;&#2359;&#2339;+&#2319;&#2357;&#2306;+&#2348;&#2332;&#2335;+%28site%3Adrishtiias.com+OR+site%3Avisionias.in+OR+site%3Ancert.nic.in+OR+site%3Ajagranjosh.com+OR+site%3Agktoday.in%29" TargetMode="External"/><Relationship Id="rId1002" Type="http://schemas.openxmlformats.org/officeDocument/2006/relationships/hyperlink" Target="https://www.google.com/search?q=Capital+Market%2C+Insurance%2C+Economic+Survey+%26+Budget+notes+pdf+Drishti+IAS+Vision+IAS+BPSC+Wallah" TargetMode="External"/><Relationship Id="rId1003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1004" Type="http://schemas.openxmlformats.org/officeDocument/2006/relationships/hyperlink" Target="https://www.youtube.com/results?search_query=Capital+Market%2C+Insurance%2C+Economic+Survey+%26+Budget+Drishti+IAS+BPSC" TargetMode="External"/><Relationship Id="rId1005" Type="http://schemas.openxmlformats.org/officeDocument/2006/relationships/hyperlink" Target="https://www.youtube.com/results?search_query=Capital+Market%2C+Insurance%2C+Economic+Survey+%26+Budget+BPSC+Wallah" TargetMode="External"/><Relationship Id="rId1006" Type="http://schemas.openxmlformats.org/officeDocument/2006/relationships/hyperlink" Target="https://www.youtube.com/results?search_query=Hindi+Grammar+II%3A+Vakya+Shuddhi%2C+Muhavare%2C+Paryayvachi+BPSC+Wallah" TargetMode="External"/><Relationship Id="rId1007" Type="http://schemas.openxmlformats.org/officeDocument/2006/relationships/hyperlink" Target="https://www.google.com/search?q=&#2346;&#2370;&#2305;&#2332;&#2368;+&#2348;&#2366;&#2332;&#2364;&#2366;&#2352;%2C+&#2348;&#2368;&#2350;&#2366;%2C+&#2310;&#2352;&#2381;&#2341;&#2367;&#2325;+&#2360;&#2352;&#2381;&#2357;&#2375;&#2325;&#2381;&#2359;&#2339;+&#2319;&#2357;&#2306;+&#2348;&#2332;&#2335;+%28site%3Adrishtiias.com+OR+site%3Avisionias.in+OR+site%3Ancert.nic.in+OR+site%3Ajagranjosh.com+OR+site%3Agktoday.in%29" TargetMode="External"/><Relationship Id="rId1008" Type="http://schemas.openxmlformats.org/officeDocument/2006/relationships/hyperlink" Target="https://www.google.com/search?q=Ecology+%26+Ecosystems+notes+pdf+Drishti+IAS+Vision+IAS+BPSC+Wallah" TargetMode="External"/><Relationship Id="rId1009" Type="http://schemas.openxmlformats.org/officeDocument/2006/relationships/hyperlink" Target="https://www.google.com/search?q=Ecology+%26+Ecosystems+%28site%3Adrishtiias.com+OR+site%3Avisionias.in+OR+site%3Apib.gov.in%29" TargetMode="External"/><Relationship Id="rId1010" Type="http://schemas.openxmlformats.org/officeDocument/2006/relationships/hyperlink" Target="https://www.youtube.com/results?search_query=Ecology+%26+Ecosystems+Drishti+IAS+BPSC" TargetMode="External"/><Relationship Id="rId1011" Type="http://schemas.openxmlformats.org/officeDocument/2006/relationships/hyperlink" Target="https://www.youtube.com/results?search_query=Ecology+%26+Ecosystems+BPSC+Wallah" TargetMode="External"/><Relationship Id="rId1012" Type="http://schemas.openxmlformats.org/officeDocument/2006/relationships/hyperlink" Target="https://www.youtube.com/results?search_query=Hindi+Grammar+II%3A+Vakya+Shuddhi%2C+Muhavare%2C+Paryayvachi+BPSC+Wallah" TargetMode="External"/><Relationship Id="rId1013" Type="http://schemas.openxmlformats.org/officeDocument/2006/relationships/hyperlink" Target="https://www.google.com/search?q=&#2346;&#2366;&#2352;&#2367;&#2360;&#2381;&#2341;&#2367;&#2340;&#2367;&#2325;&#2368;+&#2319;&#2357;&#2306;+&#2346;&#2366;&#2352;&#2367;&#2340;&#2306;&#2340;&#2381;&#2352;+%28site%3Adrishtiias.com+OR+site%3Avisionias.in+OR+site%3Ancert.nic.in+OR+site%3Ajagranjosh.com+OR+site%3Agktoday.in%29" TargetMode="External"/><Relationship Id="rId1014" Type="http://schemas.openxmlformats.org/officeDocument/2006/relationships/hyperlink" Target="https://www.google.com/search?q=Ecology+%26+Ecosystems+notes+pdf+Drishti+IAS+Vision+IAS+BPSC+Wallah" TargetMode="External"/><Relationship Id="rId1015" Type="http://schemas.openxmlformats.org/officeDocument/2006/relationships/hyperlink" Target="https://www.google.com/search?q=Ecology+%26+Ecosystems+%28site%3Adrishtiias.com+OR+site%3Avisionias.in+OR+site%3Apib.gov.in%29" TargetMode="External"/><Relationship Id="rId1016" Type="http://schemas.openxmlformats.org/officeDocument/2006/relationships/hyperlink" Target="https://www.youtube.com/results?search_query=Ecology+%26+Ecosystems+Drishti+IAS+BPSC" TargetMode="External"/><Relationship Id="rId1017" Type="http://schemas.openxmlformats.org/officeDocument/2006/relationships/hyperlink" Target="https://www.youtube.com/results?search_query=Ecology+%26+Ecosystems+BPSC+Wallah" TargetMode="External"/><Relationship Id="rId1018" Type="http://schemas.openxmlformats.org/officeDocument/2006/relationships/hyperlink" Target="https://www.youtube.com/results?search_query=Hindi+Grammar+II%3A+Vakya+Shuddhi%2C+Muhavare%2C+Paryayvachi+BPSC+Wallah" TargetMode="External"/><Relationship Id="rId1019" Type="http://schemas.openxmlformats.org/officeDocument/2006/relationships/hyperlink" Target="https://www.google.com/search?q=&#2346;&#2366;&#2352;&#2367;&#2360;&#2381;&#2341;&#2367;&#2340;&#2367;&#2325;&#2368;+&#2319;&#2357;&#2306;+&#2346;&#2366;&#2352;&#2367;&#2340;&#2306;&#2340;&#2381;&#2352;+%28site%3Adrishtiias.com+OR+site%3Avisionias.in+OR+site%3Ancert.nic.in+OR+site%3Ajagranjosh.com+OR+site%3Agktoday.in%29" TargetMode="External"/><Relationship Id="rId1020" Type="http://schemas.openxmlformats.org/officeDocument/2006/relationships/hyperlink" Target="https://www.google.com/search?q=Ecology+%26+Ecosystems+notes+pdf+Drishti+IAS+Vision+IAS+BPSC+Wallah" TargetMode="External"/><Relationship Id="rId1021" Type="http://schemas.openxmlformats.org/officeDocument/2006/relationships/hyperlink" Target="https://www.google.com/search?q=Ecology+%26+Ecosystems+%28site%3Adrishtiias.com+OR+site%3Avisionias.in+OR+site%3Apib.gov.in%29" TargetMode="External"/><Relationship Id="rId1022" Type="http://schemas.openxmlformats.org/officeDocument/2006/relationships/hyperlink" Target="https://www.youtube.com/results?search_query=Ecology+%26+Ecosystems+Drishti+IAS+BPSC" TargetMode="External"/><Relationship Id="rId1023" Type="http://schemas.openxmlformats.org/officeDocument/2006/relationships/hyperlink" Target="https://www.youtube.com/results?search_query=Ecology+%26+Ecosystems+BPSC+Wallah" TargetMode="External"/><Relationship Id="rId1024" Type="http://schemas.openxmlformats.org/officeDocument/2006/relationships/hyperlink" Target="https://www.youtube.com/results?search_query=Hindi+Grammar+II%3A+Vakya+Shuddhi%2C+Muhavare%2C+Paryayvachi+BPSC+Wallah" TargetMode="External"/><Relationship Id="rId1025" Type="http://schemas.openxmlformats.org/officeDocument/2006/relationships/hyperlink" Target="https://www.google.com/search?q=&#2346;&#2366;&#2352;&#2367;&#2360;&#2381;&#2341;&#2367;&#2340;&#2367;&#2325;&#2368;+&#2319;&#2357;&#2306;+&#2346;&#2366;&#2352;&#2367;&#2340;&#2306;&#2340;&#2381;&#2352;+%28site%3Adrishtiias.com+OR+site%3Avisionias.in+OR+site%3Ancert.nic.in+OR+site%3Ajagranjosh.com+OR+site%3Agktoday.in%29" TargetMode="External"/><Relationship Id="rId1026" Type="http://schemas.openxmlformats.org/officeDocument/2006/relationships/hyperlink" Target="https://www.google.com/search?q=BPSC+weekly+revision+notes+pdf+Drishti+IAS+Vision+IAS" TargetMode="External"/><Relationship Id="rId1027" Type="http://schemas.openxmlformats.org/officeDocument/2006/relationships/hyperlink" Target="https://www.google.com/search?q=weekly+current+affairs+revision+%28site%3Adrishtiias.com+OR+site%3Avisionias.in+OR+site%3Apib.gov.in%29" TargetMode="External"/><Relationship Id="rId1028" Type="http://schemas.openxmlformats.org/officeDocument/2006/relationships/hyperlink" Target="https://www.youtube.com/results?search_query=BPSC+prelims+mock+test+analysis+strategy+Drishti+IAS" TargetMode="External"/><Relationship Id="rId1029" Type="http://schemas.openxmlformats.org/officeDocument/2006/relationships/hyperlink" Target="https://www.youtube.com/results?search_query=BPSC+Wallah+BPSC+prelims+test+series+discussion" TargetMode="External"/><Relationship Id="rId1030" Type="http://schemas.openxmlformats.org/officeDocument/2006/relationships/hyperlink" Target="https://www.youtube.com/results?search_query=BPSC+Wallah+BPSC+revision+strategy" TargetMode="External"/><Relationship Id="rId1031" Type="http://schemas.openxmlformats.org/officeDocument/2006/relationships/hyperlink" Target="https://www.google.com/search?q=Biodiversity+%26+Conservation+notes+pdf+Drishti+IAS+Vision+IAS+BPSC+Wallah" TargetMode="External"/><Relationship Id="rId1032" Type="http://schemas.openxmlformats.org/officeDocument/2006/relationships/hyperlink" Target="https://www.google.com/search?q=Biodiversity+%26+Conservation+%28site%3Adrishtiias.com+OR+site%3Avisionias.in+OR+site%3Apib.gov.in%29" TargetMode="External"/><Relationship Id="rId1033" Type="http://schemas.openxmlformats.org/officeDocument/2006/relationships/hyperlink" Target="https://www.youtube.com/results?search_query=Biodiversity+%26+Conservation+Drishti+IAS+BPSC" TargetMode="External"/><Relationship Id="rId1034" Type="http://schemas.openxmlformats.org/officeDocument/2006/relationships/hyperlink" Target="https://www.youtube.com/results?search_query=Biodiversity+%26+Conservation+BPSC+Wallah" TargetMode="External"/><Relationship Id="rId1035" Type="http://schemas.openxmlformats.org/officeDocument/2006/relationships/hyperlink" Target="https://www.youtube.com/results?search_query=Hindi+Grammar+II%3A+Vakya+Shuddhi%2C+Muhavare%2C+Paryayvachi+BPSC+Wallah" TargetMode="External"/><Relationship Id="rId1036" Type="http://schemas.openxmlformats.org/officeDocument/2006/relationships/hyperlink" Target="https://www.google.com/search?q=&#2332;&#2376;&#2357;+&#2357;&#2367;&#2357;&#2367;&#2343;&#2340;&#2366;+&#2319;&#2357;&#2306;+&#2360;&#2306;&#2352;&#2325;&#2381;&#2359;&#2339;+%28site%3Adrishtiias.com+OR+site%3Avisionias.in+OR+site%3Ancert.nic.in+OR+site%3Ajagranjosh.com+OR+site%3Agktoday.in%29" TargetMode="External"/><Relationship Id="rId1037" Type="http://schemas.openxmlformats.org/officeDocument/2006/relationships/hyperlink" Target="https://www.google.com/search?q=Biodiversity+%26+Conservation+notes+pdf+Drishti+IAS+Vision+IAS+BPSC+Wallah" TargetMode="External"/><Relationship Id="rId1038" Type="http://schemas.openxmlformats.org/officeDocument/2006/relationships/hyperlink" Target="https://www.google.com/search?q=Biodiversity+%26+Conservation+%28site%3Adrishtiias.com+OR+site%3Avisionias.in+OR+site%3Apib.gov.in%29" TargetMode="External"/><Relationship Id="rId1039" Type="http://schemas.openxmlformats.org/officeDocument/2006/relationships/hyperlink" Target="https://www.youtube.com/results?search_query=Biodiversity+%26+Conservation+Drishti+IAS+BPSC" TargetMode="External"/><Relationship Id="rId1040" Type="http://schemas.openxmlformats.org/officeDocument/2006/relationships/hyperlink" Target="https://www.youtube.com/results?search_query=Biodiversity+%26+Conservation+BPSC+Wallah" TargetMode="External"/><Relationship Id="rId1041" Type="http://schemas.openxmlformats.org/officeDocument/2006/relationships/hyperlink" Target="https://www.youtube.com/results?search_query=Hindi+Writing%3A+Gadyansh%2C+Patra%2C+Nibandh+%26+Anuvad+BPSC+Wallah" TargetMode="External"/><Relationship Id="rId1042" Type="http://schemas.openxmlformats.org/officeDocument/2006/relationships/hyperlink" Target="https://www.google.com/search?q=&#2332;&#2376;&#2357;+&#2357;&#2367;&#2357;&#2367;&#2343;&#2340;&#2366;+&#2319;&#2357;&#2306;+&#2360;&#2306;&#2352;&#2325;&#2381;&#2359;&#2339;+%28site%3Adrishtiias.com+OR+site%3Avisionias.in+OR+site%3Ancert.nic.in+OR+site%3Ajagranjosh.com+OR+site%3Agktoday.in%29" TargetMode="External"/><Relationship Id="rId1043" Type="http://schemas.openxmlformats.org/officeDocument/2006/relationships/hyperlink" Target="https://www.google.com/search?q=Biodiversity+%26+Conservation+notes+pdf+Drishti+IAS+Vision+IAS+BPSC+Wallah" TargetMode="External"/><Relationship Id="rId1044" Type="http://schemas.openxmlformats.org/officeDocument/2006/relationships/hyperlink" Target="https://www.google.com/search?q=Biodiversity+%26+Conservation+%28site%3Adrishtiias.com+OR+site%3Avisionias.in+OR+site%3Apib.gov.in%29" TargetMode="External"/><Relationship Id="rId1045" Type="http://schemas.openxmlformats.org/officeDocument/2006/relationships/hyperlink" Target="https://www.youtube.com/results?search_query=Biodiversity+%26+Conservation+Drishti+IAS+BPSC" TargetMode="External"/><Relationship Id="rId1046" Type="http://schemas.openxmlformats.org/officeDocument/2006/relationships/hyperlink" Target="https://www.youtube.com/results?search_query=Biodiversity+%26+Conservation+BPSC+Wallah" TargetMode="External"/><Relationship Id="rId1047" Type="http://schemas.openxmlformats.org/officeDocument/2006/relationships/hyperlink" Target="https://www.youtube.com/results?search_query=Hindi+Writing%3A+Gadyansh%2C+Patra%2C+Nibandh+%26+Anuvad+BPSC+Wallah" TargetMode="External"/><Relationship Id="rId1048" Type="http://schemas.openxmlformats.org/officeDocument/2006/relationships/hyperlink" Target="https://www.google.com/search?q=&#2332;&#2376;&#2357;+&#2357;&#2367;&#2357;&#2367;&#2343;&#2340;&#2366;+&#2319;&#2357;&#2306;+&#2360;&#2306;&#2352;&#2325;&#2381;&#2359;&#2339;+%28site%3Adrishtiias.com+OR+site%3Avisionias.in+OR+site%3Ancert.nic.in+OR+site%3Ajagranjosh.com+OR+site%3Agktoday.in%29" TargetMode="External"/><Relationship Id="rId1049" Type="http://schemas.openxmlformats.org/officeDocument/2006/relationships/hyperlink" Target="https://www.google.com/search?q=Climate+Change%2C+Pollution+%26+Environmental+Laws+notes+pdf+Drishti+IAS+Vision+IAS+BPSC+Wallah" TargetMode="External"/><Relationship Id="rId1050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1051" Type="http://schemas.openxmlformats.org/officeDocument/2006/relationships/hyperlink" Target="https://www.youtube.com/results?search_query=Climate+Change%2C+Pollution+%26+Environmental+Laws+Drishti+IAS+BPSC" TargetMode="External"/><Relationship Id="rId1052" Type="http://schemas.openxmlformats.org/officeDocument/2006/relationships/hyperlink" Target="https://www.youtube.com/results?search_query=Climate+Change%2C+Pollution+%26+Environmental+Laws+BPSC+Wallah" TargetMode="External"/><Relationship Id="rId1053" Type="http://schemas.openxmlformats.org/officeDocument/2006/relationships/hyperlink" Target="https://www.youtube.com/results?search_query=Hindi+Writing%3A+Gadyansh%2C+Patra%2C+Nibandh+%26+Anuvad+BPSC+Wallah" TargetMode="External"/><Relationship Id="rId1054" Type="http://schemas.openxmlformats.org/officeDocument/2006/relationships/hyperlink" Target="https://www.google.com/search?q=&#2332;&#2354;&#2357;&#2366;&#2351;&#2369;+&#2346;&#2352;&#2367;&#2357;&#2352;&#2381;&#2340;&#2344;%2C+&#2346;&#2381;&#2352;&#2342;&#2370;&#2359;&#2339;+&#2319;&#2357;&#2306;+&#2346;&#2352;&#2381;&#2351;&#2366;&#2357;&#2352;&#2339;+&#2325;&#2366;&#2344;&#2370;&#2344;+%28site%3Adrishtiias.com+OR+site%3Avisionias.in+OR+site%3Ancert.nic.in+OR+site%3Ajagranjosh.com+OR+site%3Agktoday.in%29" TargetMode="External"/><Relationship Id="rId1055" Type="http://schemas.openxmlformats.org/officeDocument/2006/relationships/hyperlink" Target="https://www.google.com/search?q=Climate+Change%2C+Pollution+%26+Environmental+Laws+notes+pdf+Drishti+IAS+Vision+IAS+BPSC+Wallah" TargetMode="External"/><Relationship Id="rId1056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1057" Type="http://schemas.openxmlformats.org/officeDocument/2006/relationships/hyperlink" Target="https://www.youtube.com/results?search_query=Climate+Change%2C+Pollution+%26+Environmental+Laws+Drishti+IAS+BPSC" TargetMode="External"/><Relationship Id="rId1058" Type="http://schemas.openxmlformats.org/officeDocument/2006/relationships/hyperlink" Target="https://www.youtube.com/results?search_query=Climate+Change%2C+Pollution+%26+Environmental+Laws+BPSC+Wallah" TargetMode="External"/><Relationship Id="rId1059" Type="http://schemas.openxmlformats.org/officeDocument/2006/relationships/hyperlink" Target="https://www.youtube.com/results?search_query=Hindi+Writing%3A+Gadyansh%2C+Patra%2C+Nibandh+%26+Anuvad+BPSC+Wallah" TargetMode="External"/><Relationship Id="rId1060" Type="http://schemas.openxmlformats.org/officeDocument/2006/relationships/hyperlink" Target="https://www.google.com/search?q=&#2332;&#2354;&#2357;&#2366;&#2351;&#2369;+&#2346;&#2352;&#2367;&#2357;&#2352;&#2381;&#2340;&#2344;%2C+&#2346;&#2381;&#2352;&#2342;&#2370;&#2359;&#2339;+&#2319;&#2357;&#2306;+&#2346;&#2352;&#2381;&#2351;&#2366;&#2357;&#2352;&#2339;+&#2325;&#2366;&#2344;&#2370;&#2344;+%28site%3Adrishtiias.com+OR+site%3Avisionias.in+OR+site%3Ancert.nic.in+OR+site%3Ajagranjosh.com+OR+site%3Agktoday.in%29" TargetMode="External"/><Relationship Id="rId1061" Type="http://schemas.openxmlformats.org/officeDocument/2006/relationships/hyperlink" Target="https://www.google.com/search?q=Climate+Change%2C+Pollution+%26+Environmental+Laws+notes+pdf+Drishti+IAS+Vision+IAS+BPSC+Wallah" TargetMode="External"/><Relationship Id="rId1062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1063" Type="http://schemas.openxmlformats.org/officeDocument/2006/relationships/hyperlink" Target="https://www.youtube.com/results?search_query=Climate+Change%2C+Pollution+%26+Environmental+Laws+Drishti+IAS+BPSC" TargetMode="External"/><Relationship Id="rId1064" Type="http://schemas.openxmlformats.org/officeDocument/2006/relationships/hyperlink" Target="https://www.youtube.com/results?search_query=Climate+Change%2C+Pollution+%26+Environmental+Laws+BPSC+Wallah" TargetMode="External"/><Relationship Id="rId1065" Type="http://schemas.openxmlformats.org/officeDocument/2006/relationships/hyperlink" Target="https://www.youtube.com/results?search_query=Hindi+Writing%3A+Gadyansh%2C+Patra%2C+Nibandh+%26+Anuvad+BPSC+Wallah" TargetMode="External"/><Relationship Id="rId1066" Type="http://schemas.openxmlformats.org/officeDocument/2006/relationships/hyperlink" Target="https://www.google.com/search?q=&#2332;&#2354;&#2357;&#2366;&#2351;&#2369;+&#2346;&#2352;&#2367;&#2357;&#2352;&#2381;&#2340;&#2344;%2C+&#2346;&#2381;&#2352;&#2342;&#2370;&#2359;&#2339;+&#2319;&#2357;&#2306;+&#2346;&#2352;&#2381;&#2351;&#2366;&#2357;&#2352;&#2339;+&#2325;&#2366;&#2344;&#2370;&#2344;+%28site%3Adrishtiias.com+OR+site%3Avisionias.in+OR+site%3Ancert.nic.in+OR+site%3Ajagranjosh.com+OR+site%3Agktoday.in%29" TargetMode="External"/><Relationship Id="rId1067" Type="http://schemas.openxmlformats.org/officeDocument/2006/relationships/hyperlink" Target="https://www.google.com/search?q=BPSC+weekly+revision+notes+pdf+Drishti+IAS+Vision+IAS" TargetMode="External"/><Relationship Id="rId1068" Type="http://schemas.openxmlformats.org/officeDocument/2006/relationships/hyperlink" Target="https://www.google.com/search?q=weekly+current+affairs+revision+%28site%3Adrishtiias.com+OR+site%3Avisionias.in+OR+site%3Apib.gov.in%29" TargetMode="External"/><Relationship Id="rId1069" Type="http://schemas.openxmlformats.org/officeDocument/2006/relationships/hyperlink" Target="https://www.youtube.com/results?search_query=BPSC+prelims+mock+test+analysis+strategy+Drishti+IAS" TargetMode="External"/><Relationship Id="rId1070" Type="http://schemas.openxmlformats.org/officeDocument/2006/relationships/hyperlink" Target="https://www.youtube.com/results?search_query=BPSC+Wallah+BPSC+prelims+test+series+discussion" TargetMode="External"/><Relationship Id="rId1071" Type="http://schemas.openxmlformats.org/officeDocument/2006/relationships/hyperlink" Target="https://www.youtube.com/results?search_query=BPSC+Wallah+BPSC+revision+strategy" TargetMode="External"/><Relationship Id="rId1072" Type="http://schemas.openxmlformats.org/officeDocument/2006/relationships/hyperlink" Target="https://www.google.com/search?q=Prehistory+%26+Indus+Valley+Civilisation+notes+pdf+Drishti+IAS+Vision+IAS+BPSC+Wallah" TargetMode="External"/><Relationship Id="rId1073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1074" Type="http://schemas.openxmlformats.org/officeDocument/2006/relationships/hyperlink" Target="https://www.youtube.com/results?search_query=Prehistory+%26+Indus+Valley+Civilisation+Drishti+IAS+BPSC" TargetMode="External"/><Relationship Id="rId1075" Type="http://schemas.openxmlformats.org/officeDocument/2006/relationships/hyperlink" Target="https://www.youtube.com/results?search_query=Prehistory+%26+Indus+Valley+Civilisation+BPSC+Wallah" TargetMode="External"/><Relationship Id="rId1076" Type="http://schemas.openxmlformats.org/officeDocument/2006/relationships/hyperlink" Target="https://www.youtube.com/results?search_query=Bihar+&#8211;+Ancient+History+BPSC+Wallah" TargetMode="External"/><Relationship Id="rId1077" Type="http://schemas.openxmlformats.org/officeDocument/2006/relationships/hyperlink" Target="https://www.google.com/search?q=&#2346;&#2381;&#2352;&#2366;&#2327;&#2376;&#2340;&#2367;&#2361;&#2366;&#2360;+&#2319;&#2357;&#2306;+&#2360;&#2367;&#2306;&#2343;&#2369;+&#2328;&#2366;&#2335;&#2368;+&#2360;&#2349;&#2381;&#2351;&#2340;&#2366;+%28site%3Adrishtiias.com+OR+site%3Avisionias.in+OR+site%3Ancert.nic.in+OR+site%3Ajagranjosh.com+OR+site%3Agktoday.in%29" TargetMode="External"/><Relationship Id="rId1078" Type="http://schemas.openxmlformats.org/officeDocument/2006/relationships/hyperlink" Target="https://www.google.com/search?q=Prehistory+%26+Indus+Valley+Civilisation+notes+pdf+Drishti+IAS+Vision+IAS+BPSC+Wallah" TargetMode="External"/><Relationship Id="rId1079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1080" Type="http://schemas.openxmlformats.org/officeDocument/2006/relationships/hyperlink" Target="https://www.youtube.com/results?search_query=Prehistory+%26+Indus+Valley+Civilisation+Drishti+IAS+BPSC" TargetMode="External"/><Relationship Id="rId1081" Type="http://schemas.openxmlformats.org/officeDocument/2006/relationships/hyperlink" Target="https://www.youtube.com/results?search_query=Prehistory+%26+Indus+Valley+Civilisation+BPSC+Wallah" TargetMode="External"/><Relationship Id="rId1082" Type="http://schemas.openxmlformats.org/officeDocument/2006/relationships/hyperlink" Target="https://www.youtube.com/results?search_query=Bihar+&#8211;+Ancient+History+BPSC+Wallah" TargetMode="External"/><Relationship Id="rId1083" Type="http://schemas.openxmlformats.org/officeDocument/2006/relationships/hyperlink" Target="https://www.google.com/search?q=&#2346;&#2381;&#2352;&#2366;&#2327;&#2376;&#2340;&#2367;&#2361;&#2366;&#2360;+&#2319;&#2357;&#2306;+&#2360;&#2367;&#2306;&#2343;&#2369;+&#2328;&#2366;&#2335;&#2368;+&#2360;&#2349;&#2381;&#2351;&#2340;&#2366;+%28site%3Adrishtiias.com+OR+site%3Avisionias.in+OR+site%3Ancert.nic.in+OR+site%3Ajagranjosh.com+OR+site%3Agktoday.in%29" TargetMode="External"/><Relationship Id="rId1084" Type="http://schemas.openxmlformats.org/officeDocument/2006/relationships/hyperlink" Target="https://www.google.com/search?q=Prehistory+%26+Indus+Valley+Civilisation+notes+pdf+Drishti+IAS+Vision+IAS+BPSC+Wallah" TargetMode="External"/><Relationship Id="rId1085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1086" Type="http://schemas.openxmlformats.org/officeDocument/2006/relationships/hyperlink" Target="https://www.youtube.com/results?search_query=Prehistory+%26+Indus+Valley+Civilisation+Drishti+IAS+BPSC" TargetMode="External"/><Relationship Id="rId1087" Type="http://schemas.openxmlformats.org/officeDocument/2006/relationships/hyperlink" Target="https://www.youtube.com/results?search_query=Prehistory+%26+Indus+Valley+Civilisation+BPSC+Wallah" TargetMode="External"/><Relationship Id="rId1088" Type="http://schemas.openxmlformats.org/officeDocument/2006/relationships/hyperlink" Target="https://www.youtube.com/results?search_query=Bihar+&#8211;+Ancient+History+BPSC+Wallah" TargetMode="External"/><Relationship Id="rId1089" Type="http://schemas.openxmlformats.org/officeDocument/2006/relationships/hyperlink" Target="https://www.google.com/search?q=&#2346;&#2381;&#2352;&#2366;&#2327;&#2376;&#2340;&#2367;&#2361;&#2366;&#2360;+&#2319;&#2357;&#2306;+&#2360;&#2367;&#2306;&#2343;&#2369;+&#2328;&#2366;&#2335;&#2368;+&#2360;&#2349;&#2381;&#2351;&#2340;&#2366;+%28site%3Adrishtiias.com+OR+site%3Avisionias.in+OR+site%3Ancert.nic.in+OR+site%3Ajagranjosh.com+OR+site%3Agktoday.in%29" TargetMode="External"/><Relationship Id="rId1090" Type="http://schemas.openxmlformats.org/officeDocument/2006/relationships/hyperlink" Target="https://www.google.com/search?q=Vedic+Age+%26+Mahajanapadas+notes+pdf+Drishti+IAS+Vision+IAS+BPSC+Wallah" TargetMode="External"/><Relationship Id="rId1091" Type="http://schemas.openxmlformats.org/officeDocument/2006/relationships/hyperlink" Target="https://www.google.com/search?q=Vedic+Age+%26+Mahajanapadas+%28site%3Adrishtiias.com+OR+site%3Avisionias.in+OR+site%3Ancert.nic.in%29" TargetMode="External"/><Relationship Id="rId1092" Type="http://schemas.openxmlformats.org/officeDocument/2006/relationships/hyperlink" Target="https://www.youtube.com/results?search_query=Vedic+Age+%26+Mahajanapadas+Drishti+IAS+BPSC" TargetMode="External"/><Relationship Id="rId1093" Type="http://schemas.openxmlformats.org/officeDocument/2006/relationships/hyperlink" Target="https://www.youtube.com/results?search_query=Vedic+Age+%26+Mahajanapadas+BPSC+Wallah" TargetMode="External"/><Relationship Id="rId1094" Type="http://schemas.openxmlformats.org/officeDocument/2006/relationships/hyperlink" Target="https://www.youtube.com/results?search_query=Bihar+&#8211;+Ancient+History+BPSC+Wallah" TargetMode="External"/><Relationship Id="rId1095" Type="http://schemas.openxmlformats.org/officeDocument/2006/relationships/hyperlink" Target="https://www.google.com/search?q=&#2357;&#2376;&#2342;&#2367;&#2325;+&#2325;&#2366;&#2354;+&#2319;&#2357;&#2306;+&#2350;&#2361;&#2366;&#2332;&#2344;&#2346;&#2342;+%28site%3Adrishtiias.com+OR+site%3Avisionias.in+OR+site%3Ancert.nic.in+OR+site%3Ajagranjosh.com+OR+site%3Agktoday.in%29" TargetMode="External"/><Relationship Id="rId1096" Type="http://schemas.openxmlformats.org/officeDocument/2006/relationships/hyperlink" Target="https://www.google.com/search?q=Vedic+Age+%26+Mahajanapadas+notes+pdf+Drishti+IAS+Vision+IAS+BPSC+Wallah" TargetMode="External"/><Relationship Id="rId1097" Type="http://schemas.openxmlformats.org/officeDocument/2006/relationships/hyperlink" Target="https://www.google.com/search?q=Vedic+Age+%26+Mahajanapadas+%28site%3Adrishtiias.com+OR+site%3Avisionias.in+OR+site%3Ancert.nic.in%29" TargetMode="External"/><Relationship Id="rId1098" Type="http://schemas.openxmlformats.org/officeDocument/2006/relationships/hyperlink" Target="https://www.youtube.com/results?search_query=Vedic+Age+%26+Mahajanapadas+Drishti+IAS+BPSC" TargetMode="External"/><Relationship Id="rId1099" Type="http://schemas.openxmlformats.org/officeDocument/2006/relationships/hyperlink" Target="https://www.youtube.com/results?search_query=Vedic+Age+%26+Mahajanapadas+BPSC+Wallah" TargetMode="External"/><Relationship Id="rId1100" Type="http://schemas.openxmlformats.org/officeDocument/2006/relationships/hyperlink" Target="https://www.youtube.com/results?search_query=Bihar+&#8211;+Medieval+%26+Colonial+History+BPSC+Wallah" TargetMode="External"/><Relationship Id="rId1101" Type="http://schemas.openxmlformats.org/officeDocument/2006/relationships/hyperlink" Target="https://www.google.com/search?q=&#2357;&#2376;&#2342;&#2367;&#2325;+&#2325;&#2366;&#2354;+&#2319;&#2357;&#2306;+&#2350;&#2361;&#2366;&#2332;&#2344;&#2346;&#2342;+%28site%3Adrishtiias.com+OR+site%3Avisionias.in+OR+site%3Ancert.nic.in+OR+site%3Ajagranjosh.com+OR+site%3Agktoday.in%29" TargetMode="External"/><Relationship Id="rId1102" Type="http://schemas.openxmlformats.org/officeDocument/2006/relationships/hyperlink" Target="https://www.google.com/search?q=Vedic+Age+%26+Mahajanapadas+notes+pdf+Drishti+IAS+Vision+IAS+BPSC+Wallah" TargetMode="External"/><Relationship Id="rId1103" Type="http://schemas.openxmlformats.org/officeDocument/2006/relationships/hyperlink" Target="https://www.google.com/search?q=Vedic+Age+%26+Mahajanapadas+%28site%3Adrishtiias.com+OR+site%3Avisionias.in+OR+site%3Ancert.nic.in%29" TargetMode="External"/><Relationship Id="rId1104" Type="http://schemas.openxmlformats.org/officeDocument/2006/relationships/hyperlink" Target="https://www.youtube.com/results?search_query=Vedic+Age+%26+Mahajanapadas+Drishti+IAS+BPSC" TargetMode="External"/><Relationship Id="rId1105" Type="http://schemas.openxmlformats.org/officeDocument/2006/relationships/hyperlink" Target="https://www.youtube.com/results?search_query=Vedic+Age+%26+Mahajanapadas+BPSC+Wallah" TargetMode="External"/><Relationship Id="rId1106" Type="http://schemas.openxmlformats.org/officeDocument/2006/relationships/hyperlink" Target="https://www.youtube.com/results?search_query=Bihar+&#8211;+Medieval+%26+Colonial+History+BPSC+Wallah" TargetMode="External"/><Relationship Id="rId1107" Type="http://schemas.openxmlformats.org/officeDocument/2006/relationships/hyperlink" Target="https://www.google.com/search?q=&#2357;&#2376;&#2342;&#2367;&#2325;+&#2325;&#2366;&#2354;+&#2319;&#2357;&#2306;+&#2350;&#2361;&#2366;&#2332;&#2344;&#2346;&#2342;+%28site%3Adrishtiias.com+OR+site%3Avisionias.in+OR+site%3Ancert.nic.in+OR+site%3Ajagranjosh.com+OR+site%3Agktoday.in%29" TargetMode="External"/><Relationship Id="rId1108" Type="http://schemas.openxmlformats.org/officeDocument/2006/relationships/hyperlink" Target="https://www.google.com/search?q=BPSC+weekly+revision+notes+pdf+Drishti+IAS+Vision+IAS" TargetMode="External"/><Relationship Id="rId1109" Type="http://schemas.openxmlformats.org/officeDocument/2006/relationships/hyperlink" Target="https://www.google.com/search?q=weekly+current+affairs+revision+%28site%3Adrishtiias.com+OR+site%3Avisionias.in+OR+site%3Apib.gov.in%29" TargetMode="External"/><Relationship Id="rId1110" Type="http://schemas.openxmlformats.org/officeDocument/2006/relationships/hyperlink" Target="https://www.youtube.com/results?search_query=BPSC+prelims+mock+test+analysis+strategy+Drishti+IAS" TargetMode="External"/><Relationship Id="rId1111" Type="http://schemas.openxmlformats.org/officeDocument/2006/relationships/hyperlink" Target="https://www.youtube.com/results?search_query=BPSC+Wallah+BPSC+prelims+test+series+discussion" TargetMode="External"/><Relationship Id="rId1112" Type="http://schemas.openxmlformats.org/officeDocument/2006/relationships/hyperlink" Target="https://www.youtube.com/results?search_query=BPSC+Wallah+BPSC+revision+strategy" TargetMode="External"/><Relationship Id="rId1113" Type="http://schemas.openxmlformats.org/officeDocument/2006/relationships/hyperlink" Target="https://www.google.com/search?q=Jainism%2C+Buddhism+%26+Heterodox+Sects+notes+pdf+Drishti+IAS+Vision+IAS+BPSC+Wallah" TargetMode="External"/><Relationship Id="rId1114" Type="http://schemas.openxmlformats.org/officeDocument/2006/relationships/hyperlink" Target="https://www.google.com/search?q=Jainism%2C+Buddhism+%26+Heterodox+Sects+%28site%3Adrishtiias.com+OR+site%3Avisionias.in+OR+site%3Ancert.nic.in%29" TargetMode="External"/><Relationship Id="rId1115" Type="http://schemas.openxmlformats.org/officeDocument/2006/relationships/hyperlink" Target="https://www.youtube.com/results?search_query=Jainism%2C+Buddhism+%26+Heterodox+Sects+Drishti+IAS+BPSC" TargetMode="External"/><Relationship Id="rId1116" Type="http://schemas.openxmlformats.org/officeDocument/2006/relationships/hyperlink" Target="https://www.youtube.com/results?search_query=Jainism%2C+Buddhism+%26+Heterodox+Sects+BPSC+Wallah" TargetMode="External"/><Relationship Id="rId1117" Type="http://schemas.openxmlformats.org/officeDocument/2006/relationships/hyperlink" Target="https://www.youtube.com/results?search_query=Bihar+&#8211;+Medieval+%26+Colonial+History+BPSC+Wallah" TargetMode="External"/><Relationship Id="rId1118" Type="http://schemas.openxmlformats.org/officeDocument/2006/relationships/hyperlink" Target="https://www.google.com/search?q=&#2332;&#2376;&#2344;%2C+&#2348;&#2380;&#2342;&#2381;&#2343;+&#2319;&#2357;&#2306;+&#2309;&#2344;&#2381;&#2351;+&#2344;&#2366;&#2360;&#2381;&#2340;&#2367;&#2325;+&#2360;&#2306;&#2346;&#2381;&#2352;&#2342;&#2366;&#2351;+%28site%3Adrishtiias.com+OR+site%3Avisionias.in+OR+site%3Ancert.nic.in+OR+site%3Ajagranjosh.com+OR+site%3Agktoday.in%29" TargetMode="External"/><Relationship Id="rId1119" Type="http://schemas.openxmlformats.org/officeDocument/2006/relationships/hyperlink" Target="https://www.google.com/search?q=Jainism%2C+Buddhism+%26+Heterodox+Sects+notes+pdf+Drishti+IAS+Vision+IAS+BPSC+Wallah" TargetMode="External"/><Relationship Id="rId1120" Type="http://schemas.openxmlformats.org/officeDocument/2006/relationships/hyperlink" Target="https://www.google.com/search?q=Jainism%2C+Buddhism+%26+Heterodox+Sects+%28site%3Adrishtiias.com+OR+site%3Avisionias.in+OR+site%3Ancert.nic.in%29" TargetMode="External"/><Relationship Id="rId1121" Type="http://schemas.openxmlformats.org/officeDocument/2006/relationships/hyperlink" Target="https://www.youtube.com/results?search_query=Jainism%2C+Buddhism+%26+Heterodox+Sects+Drishti+IAS+BPSC" TargetMode="External"/><Relationship Id="rId1122" Type="http://schemas.openxmlformats.org/officeDocument/2006/relationships/hyperlink" Target="https://www.youtube.com/results?search_query=Jainism%2C+Buddhism+%26+Heterodox+Sects+BPSC+Wallah" TargetMode="External"/><Relationship Id="rId1123" Type="http://schemas.openxmlformats.org/officeDocument/2006/relationships/hyperlink" Target="https://www.youtube.com/results?search_query=Bihar+&#8211;+Medieval+%26+Colonial+History+BPSC+Wallah" TargetMode="External"/><Relationship Id="rId1124" Type="http://schemas.openxmlformats.org/officeDocument/2006/relationships/hyperlink" Target="https://www.google.com/search?q=&#2332;&#2376;&#2344;%2C+&#2348;&#2380;&#2342;&#2381;&#2343;+&#2319;&#2357;&#2306;+&#2309;&#2344;&#2381;&#2351;+&#2344;&#2366;&#2360;&#2381;&#2340;&#2367;&#2325;+&#2360;&#2306;&#2346;&#2381;&#2352;&#2342;&#2366;&#2351;+%28site%3Adrishtiias.com+OR+site%3Avisionias.in+OR+site%3Ancert.nic.in+OR+site%3Ajagranjosh.com+OR+site%3Agktoday.in%29" TargetMode="External"/><Relationship Id="rId1125" Type="http://schemas.openxmlformats.org/officeDocument/2006/relationships/hyperlink" Target="https://www.google.com/search?q=Mauryan+Empire+notes+pdf+Drishti+IAS+Vision+IAS+BPSC+Wallah" TargetMode="External"/><Relationship Id="rId1126" Type="http://schemas.openxmlformats.org/officeDocument/2006/relationships/hyperlink" Target="https://www.google.com/search?q=Mauryan+Empire+%28site%3Adrishtiias.com+OR+site%3Avisionias.in+OR+site%3Ancert.nic.in%29" TargetMode="External"/><Relationship Id="rId1127" Type="http://schemas.openxmlformats.org/officeDocument/2006/relationships/hyperlink" Target="https://www.youtube.com/results?search_query=Mauryan+Empire+Drishti+IAS+BPSC" TargetMode="External"/><Relationship Id="rId1128" Type="http://schemas.openxmlformats.org/officeDocument/2006/relationships/hyperlink" Target="https://www.youtube.com/results?search_query=Mauryan+Empire+BPSC+Wallah" TargetMode="External"/><Relationship Id="rId1129" Type="http://schemas.openxmlformats.org/officeDocument/2006/relationships/hyperlink" Target="https://www.youtube.com/results?search_query=Bihar+&#8211;+Freedom+Struggle+%26+Modern+Politics+BPSC+Wallah" TargetMode="External"/><Relationship Id="rId1130" Type="http://schemas.openxmlformats.org/officeDocument/2006/relationships/hyperlink" Target="https://www.google.com/search?q=&#2350;&#2380;&#2352;&#2381;&#2351;+&#2360;&#2366;&#2350;&#2381;&#2352;&#2366;&#2332;&#2381;&#2351;+%28site%3Adrishtiias.com+OR+site%3Avisionias.in+OR+site%3Ancert.nic.in+OR+site%3Ajagranjosh.com+OR+site%3Agktoday.in%29" TargetMode="External"/><Relationship Id="rId1131" Type="http://schemas.openxmlformats.org/officeDocument/2006/relationships/hyperlink" Target="https://www.google.com/search?q=Mauryan+Empire+notes+pdf+Drishti+IAS+Vision+IAS+BPSC+Wallah" TargetMode="External"/><Relationship Id="rId1132" Type="http://schemas.openxmlformats.org/officeDocument/2006/relationships/hyperlink" Target="https://www.google.com/search?q=Mauryan+Empire+%28site%3Adrishtiias.com+OR+site%3Avisionias.in+OR+site%3Ancert.nic.in%29" TargetMode="External"/><Relationship Id="rId1133" Type="http://schemas.openxmlformats.org/officeDocument/2006/relationships/hyperlink" Target="https://www.youtube.com/results?search_query=Mauryan+Empire+Drishti+IAS+BPSC" TargetMode="External"/><Relationship Id="rId1134" Type="http://schemas.openxmlformats.org/officeDocument/2006/relationships/hyperlink" Target="https://www.youtube.com/results?search_query=Mauryan+Empire+BPSC+Wallah" TargetMode="External"/><Relationship Id="rId1135" Type="http://schemas.openxmlformats.org/officeDocument/2006/relationships/hyperlink" Target="https://www.youtube.com/results?search_query=Bihar+&#8211;+Freedom+Struggle+%26+Modern+Politics+BPSC+Wallah" TargetMode="External"/><Relationship Id="rId1136" Type="http://schemas.openxmlformats.org/officeDocument/2006/relationships/hyperlink" Target="https://www.google.com/search?q=&#2350;&#2380;&#2352;&#2381;&#2351;+&#2360;&#2366;&#2350;&#2381;&#2352;&#2366;&#2332;&#2381;&#2351;+%28site%3Adrishtiias.com+OR+site%3Avisionias.in+OR+site%3Ancert.nic.in+OR+site%3Ajagranjosh.com+OR+site%3Agktoday.in%29" TargetMode="External"/><Relationship Id="rId1137" Type="http://schemas.openxmlformats.org/officeDocument/2006/relationships/hyperlink" Target="https://www.google.com/search?q=Mauryan+Empire+notes+pdf+Drishti+IAS+Vision+IAS+BPSC+Wallah" TargetMode="External"/><Relationship Id="rId1138" Type="http://schemas.openxmlformats.org/officeDocument/2006/relationships/hyperlink" Target="https://www.google.com/search?q=Mauryan+Empire+%28site%3Adrishtiias.com+OR+site%3Avisionias.in+OR+site%3Ancert.nic.in%29" TargetMode="External"/><Relationship Id="rId1139" Type="http://schemas.openxmlformats.org/officeDocument/2006/relationships/hyperlink" Target="https://www.youtube.com/results?search_query=Mauryan+Empire+Drishti+IAS+BPSC" TargetMode="External"/><Relationship Id="rId1140" Type="http://schemas.openxmlformats.org/officeDocument/2006/relationships/hyperlink" Target="https://www.youtube.com/results?search_query=Mauryan+Empire+BPSC+Wallah" TargetMode="External"/><Relationship Id="rId1141" Type="http://schemas.openxmlformats.org/officeDocument/2006/relationships/hyperlink" Target="https://www.youtube.com/results?search_query=Bihar+&#8211;+Freedom+Struggle+%26+Modern+Politics+BPSC+Wallah" TargetMode="External"/><Relationship Id="rId1142" Type="http://schemas.openxmlformats.org/officeDocument/2006/relationships/hyperlink" Target="https://www.google.com/search?q=&#2350;&#2380;&#2352;&#2381;&#2351;+&#2360;&#2366;&#2350;&#2381;&#2352;&#2366;&#2332;&#2381;&#2351;+%28site%3Adrishtiias.com+OR+site%3Avisionias.in+OR+site%3Ancert.nic.in+OR+site%3Ajagranjosh.com+OR+site%3Agktoday.in%29" TargetMode="External"/><Relationship Id="rId1143" Type="http://schemas.openxmlformats.org/officeDocument/2006/relationships/hyperlink" Target="https://www.google.com/search?q=Post-Mauryan+Period+%28Shunga%2C+Kushan%2C+Satavahana%2C+Sangam%29+notes+pdf+Drishti+IAS+Vision+IAS+BPSC+Wallah" TargetMode="External"/><Relationship Id="rId1144" Type="http://schemas.openxmlformats.org/officeDocument/2006/relationships/hyperlink" Target="https://www.google.com/search?q=Post-Mauryan+Period+%28Shunga%2C+Kushan%2C+Satavahana%2C+Sangam%29+%28site%3Adrishtiias.com+OR+site%3Avisionias.in+OR+site%3Ancert.nic.in%29" TargetMode="External"/><Relationship Id="rId1145" Type="http://schemas.openxmlformats.org/officeDocument/2006/relationships/hyperlink" Target="https://www.youtube.com/results?search_query=Post-Mauryan+Period+%28Shunga%2C+Kushan%2C+Satavahana%2C+Sangam%29+Drishti+IAS+BPSC" TargetMode="External"/><Relationship Id="rId1146" Type="http://schemas.openxmlformats.org/officeDocument/2006/relationships/hyperlink" Target="https://www.youtube.com/results?search_query=Post-Mauryan+Period+%28Shunga%2C+Kushan%2C+Satavahana%2C+Sangam%29+BPSC+Wallah" TargetMode="External"/><Relationship Id="rId1147" Type="http://schemas.openxmlformats.org/officeDocument/2006/relationships/hyperlink" Target="https://www.youtube.com/results?search_query=Bihar+&#8211;+Freedom+Struggle+%26+Modern+Politics+BPSC+Wallah" TargetMode="External"/><Relationship Id="rId1148" Type="http://schemas.openxmlformats.org/officeDocument/2006/relationships/hyperlink" Target="https://www.google.com/search?q=&#2350;&#2380;&#2352;&#2381;&#2351;&#2379;&#2340;&#2381;&#2340;&#2352;+&#2325;&#2366;&#2354;+%28&#2358;&#2369;&#2306;&#2327;%2C+&#2325;&#2369;&#2359;&#2366;&#2339;%2C+&#2360;&#2366;&#2340;&#2357;&#2366;&#2361;&#2344;%2C+&#2360;&#2306;&#2327;&#2350;%29+%28site%3Adrishtiias.com+OR+site%3Avisionias.in+OR+site%3Ancert.nic.in+OR+site%3Ajagranjosh.com+OR+site%3Agktoday.in%29" TargetMode="External"/><Relationship Id="rId1149" Type="http://schemas.openxmlformats.org/officeDocument/2006/relationships/hyperlink" Target="https://www.google.com/search?q=BPSC+weekly+revision+notes+pdf+Drishti+IAS+Vision+IAS" TargetMode="External"/><Relationship Id="rId1150" Type="http://schemas.openxmlformats.org/officeDocument/2006/relationships/hyperlink" Target="https://www.google.com/search?q=weekly+current+affairs+revision+%28site%3Adrishtiias.com+OR+site%3Avisionias.in+OR+site%3Apib.gov.in%29" TargetMode="External"/><Relationship Id="rId1151" Type="http://schemas.openxmlformats.org/officeDocument/2006/relationships/hyperlink" Target="https://www.youtube.com/results?search_query=BPSC+prelims+mock+test+analysis+strategy+Drishti+IAS" TargetMode="External"/><Relationship Id="rId1152" Type="http://schemas.openxmlformats.org/officeDocument/2006/relationships/hyperlink" Target="https://www.youtube.com/results?search_query=BPSC+Wallah+BPSC+prelims+test+series+discussion" TargetMode="External"/><Relationship Id="rId1153" Type="http://schemas.openxmlformats.org/officeDocument/2006/relationships/hyperlink" Target="https://www.youtube.com/results?search_query=BPSC+Wallah+BPSC+revision+strategy" TargetMode="External"/><Relationship Id="rId1154" Type="http://schemas.openxmlformats.org/officeDocument/2006/relationships/hyperlink" Target="https://www.google.com/search?q=Gupta+Empire%2C+Harsha+%26+Pala+Dynasty+notes+pdf+Drishti+IAS+Vision+IAS+BPSC+Wallah" TargetMode="External"/><Relationship Id="rId1155" Type="http://schemas.openxmlformats.org/officeDocument/2006/relationships/hyperlink" Target="https://www.google.com/search?q=Gupta+Empire%2C+Harsha+%26+Pala+Dynasty+%28site%3Adrishtiias.com+OR+site%3Avisionias.in+OR+site%3Ancert.nic.in%29" TargetMode="External"/><Relationship Id="rId1156" Type="http://schemas.openxmlformats.org/officeDocument/2006/relationships/hyperlink" Target="https://www.youtube.com/results?search_query=Gupta+Empire%2C+Harsha+%26+Pala+Dynasty+Drishti+IAS+BPSC" TargetMode="External"/><Relationship Id="rId1157" Type="http://schemas.openxmlformats.org/officeDocument/2006/relationships/hyperlink" Target="https://www.youtube.com/results?search_query=Gupta+Empire%2C+Harsha+%26+Pala+Dynasty+BPSC+Wallah" TargetMode="External"/><Relationship Id="rId1158" Type="http://schemas.openxmlformats.org/officeDocument/2006/relationships/hyperlink" Target="https://www.youtube.com/results?search_query=Bihar+&#8211;+Geography%3A+Physiography%2C+Rivers+%26+Climate+BPSC+Wallah" TargetMode="External"/><Relationship Id="rId1159" Type="http://schemas.openxmlformats.org/officeDocument/2006/relationships/hyperlink" Target="https://www.google.com/search?q=&#2327;&#2369;&#2346;&#2381;&#2340;+&#2360;&#2366;&#2350;&#2381;&#2352;&#2366;&#2332;&#2381;&#2351;%2C+&#2361;&#2352;&#2381;&#2359;&#2357;&#2352;&#2381;&#2343;&#2344;+&#2319;&#2357;&#2306;+&#2346;&#2366;&#2354;+&#2357;&#2306;&#2358;+%28site%3Adrishtiias.com+OR+site%3Avisionias.in+OR+site%3Ancert.nic.in+OR+site%3Ajagranjosh.com+OR+site%3Agktoday.in%29" TargetMode="External"/><Relationship Id="rId1160" Type="http://schemas.openxmlformats.org/officeDocument/2006/relationships/hyperlink" Target="https://www.google.com/search?q=Gupta+Empire%2C+Harsha+%26+Pala+Dynasty+notes+pdf+Drishti+IAS+Vision+IAS+BPSC+Wallah" TargetMode="External"/><Relationship Id="rId1161" Type="http://schemas.openxmlformats.org/officeDocument/2006/relationships/hyperlink" Target="https://www.google.com/search?q=Gupta+Empire%2C+Harsha+%26+Pala+Dynasty+%28site%3Adrishtiias.com+OR+site%3Avisionias.in+OR+site%3Ancert.nic.in%29" TargetMode="External"/><Relationship Id="rId1162" Type="http://schemas.openxmlformats.org/officeDocument/2006/relationships/hyperlink" Target="https://www.youtube.com/results?search_query=Gupta+Empire%2C+Harsha+%26+Pala+Dynasty+Drishti+IAS+BPSC" TargetMode="External"/><Relationship Id="rId1163" Type="http://schemas.openxmlformats.org/officeDocument/2006/relationships/hyperlink" Target="https://www.youtube.com/results?search_query=Gupta+Empire%2C+Harsha+%26+Pala+Dynasty+BPSC+Wallah" TargetMode="External"/><Relationship Id="rId1164" Type="http://schemas.openxmlformats.org/officeDocument/2006/relationships/hyperlink" Target="https://www.youtube.com/results?search_query=Bihar+&#8211;+Geography%3A+Physiography%2C+Rivers+%26+Climate+BPSC+Wallah" TargetMode="External"/><Relationship Id="rId1165" Type="http://schemas.openxmlformats.org/officeDocument/2006/relationships/hyperlink" Target="https://www.google.com/search?q=&#2327;&#2369;&#2346;&#2381;&#2340;+&#2360;&#2366;&#2350;&#2381;&#2352;&#2366;&#2332;&#2381;&#2351;%2C+&#2361;&#2352;&#2381;&#2359;&#2357;&#2352;&#2381;&#2343;&#2344;+&#2319;&#2357;&#2306;+&#2346;&#2366;&#2354;+&#2357;&#2306;&#2358;+%28site%3Adrishtiias.com+OR+site%3Avisionias.in+OR+site%3Ancert.nic.in+OR+site%3Ajagranjosh.com+OR+site%3Agktoday.in%29" TargetMode="External"/><Relationship Id="rId1166" Type="http://schemas.openxmlformats.org/officeDocument/2006/relationships/hyperlink" Target="https://www.google.com/search?q=Gupta+Empire%2C+Harsha+%26+Pala+Dynasty+notes+pdf+Drishti+IAS+Vision+IAS+BPSC+Wallah" TargetMode="External"/><Relationship Id="rId1167" Type="http://schemas.openxmlformats.org/officeDocument/2006/relationships/hyperlink" Target="https://www.google.com/search?q=Gupta+Empire%2C+Harsha+%26+Pala+Dynasty+%28site%3Adrishtiias.com+OR+site%3Avisionias.in+OR+site%3Ancert.nic.in%29" TargetMode="External"/><Relationship Id="rId1168" Type="http://schemas.openxmlformats.org/officeDocument/2006/relationships/hyperlink" Target="https://www.youtube.com/results?search_query=Gupta+Empire%2C+Harsha+%26+Pala+Dynasty+Drishti+IAS+BPSC" TargetMode="External"/><Relationship Id="rId1169" Type="http://schemas.openxmlformats.org/officeDocument/2006/relationships/hyperlink" Target="https://www.youtube.com/results?search_query=Gupta+Empire%2C+Harsha+%26+Pala+Dynasty+BPSC+Wallah" TargetMode="External"/><Relationship Id="rId1170" Type="http://schemas.openxmlformats.org/officeDocument/2006/relationships/hyperlink" Target="https://www.youtube.com/results?search_query=Bihar+&#8211;+Geography%3A+Physiography%2C+Rivers+%26+Climate+BPSC+Wallah" TargetMode="External"/><Relationship Id="rId1171" Type="http://schemas.openxmlformats.org/officeDocument/2006/relationships/hyperlink" Target="https://www.google.com/search?q=&#2327;&#2369;&#2346;&#2381;&#2340;+&#2360;&#2366;&#2350;&#2381;&#2352;&#2366;&#2332;&#2381;&#2351;%2C+&#2361;&#2352;&#2381;&#2359;&#2357;&#2352;&#2381;&#2343;&#2344;+&#2319;&#2357;&#2306;+&#2346;&#2366;&#2354;+&#2357;&#2306;&#2358;+%28site%3Adrishtiias.com+OR+site%3Avisionias.in+OR+site%3Ancert.nic.in+OR+site%3Ajagranjosh.com+OR+site%3Agktoday.in%29" TargetMode="External"/><Relationship Id="rId1172" Type="http://schemas.openxmlformats.org/officeDocument/2006/relationships/hyperlink" Target="https://www.google.com/search?q=Early+Medieval+India+%28Rajputs%2C+Cholas%2C+Chalukyas%2C+Pallavas%29+notes+pdf+Drishti+IAS+Vision+IAS+BPSC+Wallah" TargetMode="External"/><Relationship Id="rId1173" Type="http://schemas.openxmlformats.org/officeDocument/2006/relationships/hyperlink" Target="https://www.google.com/search?q=Early+Medieval+India+%28Rajputs%2C+Cholas%2C+Chalukyas%2C+Pallavas%29+%28site%3Adrishtiias.com+OR+site%3Avisionias.in+OR+site%3Ancert.nic.in%29" TargetMode="External"/><Relationship Id="rId1174" Type="http://schemas.openxmlformats.org/officeDocument/2006/relationships/hyperlink" Target="https://www.youtube.com/results?search_query=Early+Medieval+India+%28Rajputs%2C+Cholas%2C+Chalukyas%2C+Pallavas%29+Drishti+IAS+BPSC" TargetMode="External"/><Relationship Id="rId1175" Type="http://schemas.openxmlformats.org/officeDocument/2006/relationships/hyperlink" Target="https://www.youtube.com/results?search_query=Early+Medieval+India+%28Rajputs%2C+Cholas%2C+Chalukyas%2C+Pallavas%29+BPSC+Wallah" TargetMode="External"/><Relationship Id="rId1176" Type="http://schemas.openxmlformats.org/officeDocument/2006/relationships/hyperlink" Target="https://www.youtube.com/results?search_query=Bihar+&#8211;+Geography%3A+Physiography%2C+Rivers+%26+Climate+BPSC+Wallah" TargetMode="External"/><Relationship Id="rId1177" Type="http://schemas.openxmlformats.org/officeDocument/2006/relationships/hyperlink" Target="https://www.google.com/search?q=&#2346;&#2370;&#2352;&#2381;&#2357;+&#2350;&#2343;&#2381;&#2351;&#2325;&#2366;&#2354;&#2368;&#2344;+&#2349;&#2366;&#2352;&#2340;+%28&#2352;&#2366;&#2332;&#2346;&#2370;&#2340;%2C+&#2330;&#2379;&#2354;%2C+&#2330;&#2366;&#2354;&#2369;&#2325;&#2381;&#2351;%2C+&#2346;&#2354;&#2381;&#2354;&#2357;%29+%28site%3Adrishtiias.com+OR+site%3Avisionias.in+OR+site%3Ancert.nic.in+OR+site%3Ajagranjosh.com+OR+site%3Agktoday.in%29" TargetMode="External"/><Relationship Id="rId1178" Type="http://schemas.openxmlformats.org/officeDocument/2006/relationships/hyperlink" Target="https://www.google.com/search?q=Early+Medieval+India+%28Rajputs%2C+Cholas%2C+Chalukyas%2C+Pallavas%29+notes+pdf+Drishti+IAS+Vision+IAS+BPSC+Wallah" TargetMode="External"/><Relationship Id="rId1179" Type="http://schemas.openxmlformats.org/officeDocument/2006/relationships/hyperlink" Target="https://www.google.com/search?q=Early+Medieval+India+%28Rajputs%2C+Cholas%2C+Chalukyas%2C+Pallavas%29+%28site%3Adrishtiias.com+OR+site%3Avisionias.in+OR+site%3Ancert.nic.in%29" TargetMode="External"/><Relationship Id="rId1180" Type="http://schemas.openxmlformats.org/officeDocument/2006/relationships/hyperlink" Target="https://www.youtube.com/results?search_query=Early+Medieval+India+%28Rajputs%2C+Cholas%2C+Chalukyas%2C+Pallavas%29+Drishti+IAS+BPSC" TargetMode="External"/><Relationship Id="rId1181" Type="http://schemas.openxmlformats.org/officeDocument/2006/relationships/hyperlink" Target="https://www.youtube.com/results?search_query=Early+Medieval+India+%28Rajputs%2C+Cholas%2C+Chalukyas%2C+Pallavas%29+BPSC+Wallah" TargetMode="External"/><Relationship Id="rId1182" Type="http://schemas.openxmlformats.org/officeDocument/2006/relationships/hyperlink" Target="https://www.youtube.com/results?search_query=Bihar+&#8211;+Geography%3A+Physiography%2C+Rivers+%26+Climate+BPSC+Wallah" TargetMode="External"/><Relationship Id="rId1183" Type="http://schemas.openxmlformats.org/officeDocument/2006/relationships/hyperlink" Target="https://www.google.com/search?q=&#2346;&#2370;&#2352;&#2381;&#2357;+&#2350;&#2343;&#2381;&#2351;&#2325;&#2366;&#2354;&#2368;&#2344;+&#2349;&#2366;&#2352;&#2340;+%28&#2352;&#2366;&#2332;&#2346;&#2370;&#2340;%2C+&#2330;&#2379;&#2354;%2C+&#2330;&#2366;&#2354;&#2369;&#2325;&#2381;&#2351;%2C+&#2346;&#2354;&#2381;&#2354;&#2357;%29+%28site%3Adrishtiias.com+OR+site%3Avisionias.in+OR+site%3Ancert.nic.in+OR+site%3Ajagranjosh.com+OR+site%3Agktoday.in%29" TargetMode="External"/><Relationship Id="rId1184" Type="http://schemas.openxmlformats.org/officeDocument/2006/relationships/hyperlink" Target="https://www.google.com/search?q=Delhi+Sultanate+notes+pdf+Drishti+IAS+Vision+IAS+BPSC+Wallah" TargetMode="External"/><Relationship Id="rId1185" Type="http://schemas.openxmlformats.org/officeDocument/2006/relationships/hyperlink" Target="https://www.google.com/search?q=Delhi+Sultanate+%28site%3Adrishtiias.com+OR+site%3Avisionias.in+OR+site%3Ancert.nic.in%29" TargetMode="External"/><Relationship Id="rId1186" Type="http://schemas.openxmlformats.org/officeDocument/2006/relationships/hyperlink" Target="https://www.youtube.com/results?search_query=Delhi+Sultanate+Drishti+IAS+BPSC" TargetMode="External"/><Relationship Id="rId1187" Type="http://schemas.openxmlformats.org/officeDocument/2006/relationships/hyperlink" Target="https://www.youtube.com/results?search_query=Delhi+Sultanate+BPSC+Wallah" TargetMode="External"/><Relationship Id="rId1188" Type="http://schemas.openxmlformats.org/officeDocument/2006/relationships/hyperlink" Target="https://www.youtube.com/results?search_query=Bihar+&#8211;+Geography%3A+Physiography%2C+Rivers+%26+Climate+BPSC+Wallah" TargetMode="External"/><Relationship Id="rId1189" Type="http://schemas.openxmlformats.org/officeDocument/2006/relationships/hyperlink" Target="https://www.google.com/search?q=&#2342;&#2367;&#2354;&#2381;&#2354;&#2368;+&#2360;&#2354;&#2381;&#2340;&#2344;&#2340;+%28site%3Adrishtiias.com+OR+site%3Avisionias.in+OR+site%3Ancert.nic.in+OR+site%3Ajagranjosh.com+OR+site%3Agktoday.in%29" TargetMode="External"/><Relationship Id="rId1190" Type="http://schemas.openxmlformats.org/officeDocument/2006/relationships/hyperlink" Target="https://www.google.com/search?q=BPSC+weekly+revision+notes+pdf+Drishti+IAS+Vision+IAS" TargetMode="External"/><Relationship Id="rId1191" Type="http://schemas.openxmlformats.org/officeDocument/2006/relationships/hyperlink" Target="https://www.google.com/search?q=weekly+current+affairs+revision+%28site%3Adrishtiias.com+OR+site%3Avisionias.in+OR+site%3Apib.gov.in%29" TargetMode="External"/><Relationship Id="rId1192" Type="http://schemas.openxmlformats.org/officeDocument/2006/relationships/hyperlink" Target="https://www.youtube.com/results?search_query=BPSC+prelims+mock+test+analysis+strategy+Drishti+IAS" TargetMode="External"/><Relationship Id="rId1193" Type="http://schemas.openxmlformats.org/officeDocument/2006/relationships/hyperlink" Target="https://www.youtube.com/results?search_query=BPSC+Wallah+BPSC+prelims+test+series+discussion" TargetMode="External"/><Relationship Id="rId1194" Type="http://schemas.openxmlformats.org/officeDocument/2006/relationships/hyperlink" Target="https://www.youtube.com/results?search_query=BPSC+Wallah+BPSC+revision+strategy" TargetMode="External"/><Relationship Id="rId1195" Type="http://schemas.openxmlformats.org/officeDocument/2006/relationships/hyperlink" Target="https://www.google.com/search?q=Delhi+Sultanate+notes+pdf+Drishti+IAS+Vision+IAS+BPSC+Wallah" TargetMode="External"/><Relationship Id="rId1196" Type="http://schemas.openxmlformats.org/officeDocument/2006/relationships/hyperlink" Target="https://www.google.com/search?q=Delhi+Sultanate+%28site%3Adrishtiias.com+OR+site%3Avisionias.in+OR+site%3Ancert.nic.in%29" TargetMode="External"/><Relationship Id="rId1197" Type="http://schemas.openxmlformats.org/officeDocument/2006/relationships/hyperlink" Target="https://www.youtube.com/results?search_query=Delhi+Sultanate+Drishti+IAS+BPSC" TargetMode="External"/><Relationship Id="rId1198" Type="http://schemas.openxmlformats.org/officeDocument/2006/relationships/hyperlink" Target="https://www.youtube.com/results?search_query=Delhi+Sultanate+BPSC+Wallah" TargetMode="External"/><Relationship Id="rId1199" Type="http://schemas.openxmlformats.org/officeDocument/2006/relationships/hyperlink" Target="https://www.youtube.com/results?search_query=Bihar+&#8211;+Agriculture%2C+Irrigation+%26+Industries+BPSC+Wallah" TargetMode="External"/><Relationship Id="rId1200" Type="http://schemas.openxmlformats.org/officeDocument/2006/relationships/hyperlink" Target="https://www.google.com/search?q=&#2342;&#2367;&#2354;&#2381;&#2354;&#2368;+&#2360;&#2354;&#2381;&#2340;&#2344;&#2340;+%28site%3Adrishtiias.com+OR+site%3Avisionias.in+OR+site%3Ancert.nic.in+OR+site%3Ajagranjosh.com+OR+site%3Agktoday.in%29" TargetMode="External"/><Relationship Id="rId1201" Type="http://schemas.openxmlformats.org/officeDocument/2006/relationships/hyperlink" Target="https://www.google.com/search?q=Delhi+Sultanate+notes+pdf+Drishti+IAS+Vision+IAS+BPSC+Wallah" TargetMode="External"/><Relationship Id="rId1202" Type="http://schemas.openxmlformats.org/officeDocument/2006/relationships/hyperlink" Target="https://www.google.com/search?q=Delhi+Sultanate+%28site%3Adrishtiias.com+OR+site%3Avisionias.in+OR+site%3Ancert.nic.in%29" TargetMode="External"/><Relationship Id="rId1203" Type="http://schemas.openxmlformats.org/officeDocument/2006/relationships/hyperlink" Target="https://www.youtube.com/results?search_query=Delhi+Sultanate+Drishti+IAS+BPSC" TargetMode="External"/><Relationship Id="rId1204" Type="http://schemas.openxmlformats.org/officeDocument/2006/relationships/hyperlink" Target="https://www.youtube.com/results?search_query=Delhi+Sultanate+BPSC+Wallah" TargetMode="External"/><Relationship Id="rId1205" Type="http://schemas.openxmlformats.org/officeDocument/2006/relationships/hyperlink" Target="https://www.youtube.com/results?search_query=Bihar+&#8211;+Agriculture%2C+Irrigation+%26+Industries+BPSC+Wallah" TargetMode="External"/><Relationship Id="rId1206" Type="http://schemas.openxmlformats.org/officeDocument/2006/relationships/hyperlink" Target="https://www.google.com/search?q=&#2342;&#2367;&#2354;&#2381;&#2354;&#2368;+&#2360;&#2354;&#2381;&#2340;&#2344;&#2340;+%28site%3Adrishtiias.com+OR+site%3Avisionias.in+OR+site%3Ancert.nic.in+OR+site%3Ajagranjosh.com+OR+site%3Agktoday.in%29" TargetMode="External"/><Relationship Id="rId1207" Type="http://schemas.openxmlformats.org/officeDocument/2006/relationships/hyperlink" Target="https://www.google.com/search?q=Bhakti+%26+Sufi+Movements+notes+pdf+Drishti+IAS+Vision+IAS+BPSC+Wallah" TargetMode="External"/><Relationship Id="rId1208" Type="http://schemas.openxmlformats.org/officeDocument/2006/relationships/hyperlink" Target="https://www.google.com/search?q=Bhakti+%26+Sufi+Movements+%28site%3Adrishtiias.com+OR+site%3Avisionias.in+OR+site%3Ancert.nic.in%29" TargetMode="External"/><Relationship Id="rId1209" Type="http://schemas.openxmlformats.org/officeDocument/2006/relationships/hyperlink" Target="https://www.youtube.com/results?search_query=Bhakti+%26+Sufi+Movements+Drishti+IAS+BPSC" TargetMode="External"/><Relationship Id="rId1210" Type="http://schemas.openxmlformats.org/officeDocument/2006/relationships/hyperlink" Target="https://www.youtube.com/results?search_query=Bhakti+%26+Sufi+Movements+BPSC+Wallah" TargetMode="External"/><Relationship Id="rId1211" Type="http://schemas.openxmlformats.org/officeDocument/2006/relationships/hyperlink" Target="https://www.youtube.com/results?search_query=Bihar+&#8211;+Agriculture%2C+Irrigation+%26+Industries+BPSC+Wallah" TargetMode="External"/><Relationship Id="rId1212" Type="http://schemas.openxmlformats.org/officeDocument/2006/relationships/hyperlink" Target="https://www.google.com/search?q=&#2349;&#2325;&#2381;&#2340;&#2367;+&#2319;&#2357;&#2306;+&#2360;&#2370;&#2347;&#2368;+&#2310;&#2306;&#2342;&#2379;&#2354;&#2344;+%28site%3Adrishtiias.com+OR+site%3Avisionias.in+OR+site%3Ancert.nic.in+OR+site%3Ajagranjosh.com+OR+site%3Agktoday.in%29" TargetMode="External"/><Relationship Id="rId1213" Type="http://schemas.openxmlformats.org/officeDocument/2006/relationships/hyperlink" Target="https://www.google.com/search?q=Mughal+Empire+notes+pdf+Drishti+IAS+Vision+IAS+BPSC+Wallah" TargetMode="External"/><Relationship Id="rId1214" Type="http://schemas.openxmlformats.org/officeDocument/2006/relationships/hyperlink" Target="https://www.google.com/search?q=Mughal+Empire+%28site%3Adrishtiias.com+OR+site%3Avisionias.in+OR+site%3Ancert.nic.in%29" TargetMode="External"/><Relationship Id="rId1215" Type="http://schemas.openxmlformats.org/officeDocument/2006/relationships/hyperlink" Target="https://www.youtube.com/results?search_query=Mughal+Empire+Drishti+IAS+BPSC" TargetMode="External"/><Relationship Id="rId1216" Type="http://schemas.openxmlformats.org/officeDocument/2006/relationships/hyperlink" Target="https://www.youtube.com/results?search_query=Mughal+Empire+BPSC+Wallah" TargetMode="External"/><Relationship Id="rId1217" Type="http://schemas.openxmlformats.org/officeDocument/2006/relationships/hyperlink" Target="https://www.youtube.com/results?search_query=Bihar+&#8211;+Agriculture%2C+Irrigation+%26+Industries+BPSC+Wallah" TargetMode="External"/><Relationship Id="rId1218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219" Type="http://schemas.openxmlformats.org/officeDocument/2006/relationships/hyperlink" Target="https://www.google.com/search?q=Mughal+Empire+notes+pdf+Drishti+IAS+Vision+IAS+BPSC+Wallah" TargetMode="External"/><Relationship Id="rId1220" Type="http://schemas.openxmlformats.org/officeDocument/2006/relationships/hyperlink" Target="https://www.google.com/search?q=Mughal+Empire+%28site%3Adrishtiias.com+OR+site%3Avisionias.in+OR+site%3Ancert.nic.in%29" TargetMode="External"/><Relationship Id="rId1221" Type="http://schemas.openxmlformats.org/officeDocument/2006/relationships/hyperlink" Target="https://www.youtube.com/results?search_query=Mughal+Empire+Drishti+IAS+BPSC" TargetMode="External"/><Relationship Id="rId1222" Type="http://schemas.openxmlformats.org/officeDocument/2006/relationships/hyperlink" Target="https://www.youtube.com/results?search_query=Mughal+Empire+BPSC+Wallah" TargetMode="External"/><Relationship Id="rId1223" Type="http://schemas.openxmlformats.org/officeDocument/2006/relationships/hyperlink" Target="https://www.youtube.com/results?search_query=Bihar+&#8211;+Economy%2C+Budget+%26+Government+Schemes+BPSC+Wallah" TargetMode="External"/><Relationship Id="rId1224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225" Type="http://schemas.openxmlformats.org/officeDocument/2006/relationships/hyperlink" Target="https://www.google.com/search?q=Mughal+Empire+notes+pdf+Drishti+IAS+Vision+IAS+BPSC+Wallah" TargetMode="External"/><Relationship Id="rId1226" Type="http://schemas.openxmlformats.org/officeDocument/2006/relationships/hyperlink" Target="https://www.google.com/search?q=Mughal+Empire+%28site%3Adrishtiias.com+OR+site%3Avisionias.in+OR+site%3Ancert.nic.in%29" TargetMode="External"/><Relationship Id="rId1227" Type="http://schemas.openxmlformats.org/officeDocument/2006/relationships/hyperlink" Target="https://www.youtube.com/results?search_query=Mughal+Empire+Drishti+IAS+BPSC" TargetMode="External"/><Relationship Id="rId1228" Type="http://schemas.openxmlformats.org/officeDocument/2006/relationships/hyperlink" Target="https://www.youtube.com/results?search_query=Mughal+Empire+BPSC+Wallah" TargetMode="External"/><Relationship Id="rId1229" Type="http://schemas.openxmlformats.org/officeDocument/2006/relationships/hyperlink" Target="https://www.youtube.com/results?search_query=Bihar+&#8211;+Economy%2C+Budget+%26+Government+Schemes+BPSC+Wallah" TargetMode="External"/><Relationship Id="rId1230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231" Type="http://schemas.openxmlformats.org/officeDocument/2006/relationships/hyperlink" Target="https://www.google.com/search?q=BPSC+weekly+revision+notes+pdf+Drishti+IAS+Vision+IAS" TargetMode="External"/><Relationship Id="rId1232" Type="http://schemas.openxmlformats.org/officeDocument/2006/relationships/hyperlink" Target="https://www.google.com/search?q=weekly+current+affairs+revision+%28site%3Adrishtiias.com+OR+site%3Avisionias.in+OR+site%3Apib.gov.in%29" TargetMode="External"/><Relationship Id="rId1233" Type="http://schemas.openxmlformats.org/officeDocument/2006/relationships/hyperlink" Target="https://www.youtube.com/results?search_query=BPSC+prelims+mock+test+analysis+strategy+Drishti+IAS" TargetMode="External"/><Relationship Id="rId1234" Type="http://schemas.openxmlformats.org/officeDocument/2006/relationships/hyperlink" Target="https://www.youtube.com/results?search_query=BPSC+Wallah+BPSC+prelims+test+series+discussion" TargetMode="External"/><Relationship Id="rId1235" Type="http://schemas.openxmlformats.org/officeDocument/2006/relationships/hyperlink" Target="https://www.youtube.com/results?search_query=BPSC+Wallah+BPSC+revision+strategy" TargetMode="External"/><Relationship Id="rId1236" Type="http://schemas.openxmlformats.org/officeDocument/2006/relationships/hyperlink" Target="https://www.google.com/search?q=Mughal+Empire+notes+pdf+Drishti+IAS+Vision+IAS+BPSC+Wallah" TargetMode="External"/><Relationship Id="rId1237" Type="http://schemas.openxmlformats.org/officeDocument/2006/relationships/hyperlink" Target="https://www.google.com/search?q=Mughal+Empire+%28site%3Adrishtiias.com+OR+site%3Avisionias.in+OR+site%3Ancert.nic.in%29" TargetMode="External"/><Relationship Id="rId1238" Type="http://schemas.openxmlformats.org/officeDocument/2006/relationships/hyperlink" Target="https://www.youtube.com/results?search_query=Mughal+Empire+Drishti+IAS+BPSC" TargetMode="External"/><Relationship Id="rId1239" Type="http://schemas.openxmlformats.org/officeDocument/2006/relationships/hyperlink" Target="https://www.youtube.com/results?search_query=Mughal+Empire+BPSC+Wallah" TargetMode="External"/><Relationship Id="rId1240" Type="http://schemas.openxmlformats.org/officeDocument/2006/relationships/hyperlink" Target="https://www.youtube.com/results?search_query=Bihar+&#8211;+Economy%2C+Budget+%26+Government+Schemes+BPSC+Wallah" TargetMode="External"/><Relationship Id="rId1241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242" Type="http://schemas.openxmlformats.org/officeDocument/2006/relationships/hyperlink" Target="https://www.google.com/search?q=Mughal+Empire+notes+pdf+Drishti+IAS+Vision+IAS+BPSC+Wallah" TargetMode="External"/><Relationship Id="rId1243" Type="http://schemas.openxmlformats.org/officeDocument/2006/relationships/hyperlink" Target="https://www.google.com/search?q=Mughal+Empire+%28site%3Adrishtiias.com+OR+site%3Avisionias.in+OR+site%3Ancert.nic.in%29" TargetMode="External"/><Relationship Id="rId1244" Type="http://schemas.openxmlformats.org/officeDocument/2006/relationships/hyperlink" Target="https://www.youtube.com/results?search_query=Mughal+Empire+Drishti+IAS+BPSC" TargetMode="External"/><Relationship Id="rId1245" Type="http://schemas.openxmlformats.org/officeDocument/2006/relationships/hyperlink" Target="https://www.youtube.com/results?search_query=Mughal+Empire+BPSC+Wallah" TargetMode="External"/><Relationship Id="rId1246" Type="http://schemas.openxmlformats.org/officeDocument/2006/relationships/hyperlink" Target="https://www.youtube.com/results?search_query=Bihar+&#8211;+Economy%2C+Budget+%26+Government+Schemes+BPSC+Wallah" TargetMode="External"/><Relationship Id="rId1247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1248" Type="http://schemas.openxmlformats.org/officeDocument/2006/relationships/hyperlink" Target="https://www.google.com/search?q=Marathas+%26+Regional+Powers+%2818th+century%29+notes+pdf+Drishti+IAS+Vision+IAS+BPSC+Wallah" TargetMode="External"/><Relationship Id="rId1249" Type="http://schemas.openxmlformats.org/officeDocument/2006/relationships/hyperlink" Target="https://www.google.com/search?q=Marathas+%26+Regional+Powers+%2818th+century%29+%28site%3Adrishtiias.com+OR+site%3Avisionias.in+OR+site%3Ancert.nic.in%29" TargetMode="External"/><Relationship Id="rId1250" Type="http://schemas.openxmlformats.org/officeDocument/2006/relationships/hyperlink" Target="https://www.youtube.com/results?search_query=Marathas+%26+Regional+Powers+%2818th+century%29+Drishti+IAS+BPSC" TargetMode="External"/><Relationship Id="rId1251" Type="http://schemas.openxmlformats.org/officeDocument/2006/relationships/hyperlink" Target="https://www.youtube.com/results?search_query=Marathas+%26+Regional+Powers+%2818th+century%29+BPSC+Wallah" TargetMode="External"/><Relationship Id="rId1252" Type="http://schemas.openxmlformats.org/officeDocument/2006/relationships/hyperlink" Target="https://www.youtube.com/results?search_query=Bihar+&#8211;+Economy%2C+Budget+%26+Government+Schemes+BPSC+Wallah" TargetMode="External"/><Relationship Id="rId1253" Type="http://schemas.openxmlformats.org/officeDocument/2006/relationships/hyperlink" Target="https://www.google.com/search?q=&#2350;&#2352;&#2366;&#2336;&#2366;+&#2319;&#2357;&#2306;+&#2325;&#2381;&#2359;&#2375;&#2340;&#2381;&#2352;&#2368;&#2351;+&#2358;&#2325;&#2381;&#2340;&#2367;&#2351;&#2366;&#2305;+%2818&#2357;&#2368;&#2306;+&#2358;&#2340;&#2366;&#2348;&#2381;&#2342;&#2368;%29+%28site%3Adrishtiias.com+OR+site%3Avisionias.in+OR+site%3Ancert.nic.in+OR+site%3Ajagranjosh.com+OR+site%3Agktoday.in%29" TargetMode="External"/><Relationship Id="rId1254" Type="http://schemas.openxmlformats.org/officeDocument/2006/relationships/hyperlink" Target="https://www.google.com/search?q=European+Advent+%26+British+Expansion+notes+pdf+Drishti+IAS+Vision+IAS+BPSC+Wallah" TargetMode="External"/><Relationship Id="rId1255" Type="http://schemas.openxmlformats.org/officeDocument/2006/relationships/hyperlink" Target="https://www.google.com/search?q=European+Advent+%26+British+Expansion+%28site%3Adrishtiias.com+OR+site%3Avisionias.in+OR+site%3Ancert.nic.in%29" TargetMode="External"/><Relationship Id="rId1256" Type="http://schemas.openxmlformats.org/officeDocument/2006/relationships/hyperlink" Target="https://www.youtube.com/results?search_query=European+Advent+%26+British+Expansion+Drishti+IAS+BPSC" TargetMode="External"/><Relationship Id="rId1257" Type="http://schemas.openxmlformats.org/officeDocument/2006/relationships/hyperlink" Target="https://www.youtube.com/results?search_query=European+Advent+%26+British+Expansion+BPSC+Wallah" TargetMode="External"/><Relationship Id="rId1258" Type="http://schemas.openxmlformats.org/officeDocument/2006/relationships/hyperlink" Target="https://www.youtube.com/results?search_query=Bihar+&#8211;+Economy%2C+Budget+%26+Government+Schemes+BPSC+Wallah" TargetMode="External"/><Relationship Id="rId1259" Type="http://schemas.openxmlformats.org/officeDocument/2006/relationships/hyperlink" Target="https://www.google.com/search?q=&#2351;&#2370;&#2352;&#2379;&#2346;&#2368;&#2351;+&#2310;&#2327;&#2350;&#2344;+&#2319;&#2357;&#2306;+&#2348;&#2381;&#2352;&#2367;&#2335;&#2367;&#2358;+&#2357;&#2367;&#2360;&#2381;&#2340;&#2366;&#2352;+%28site%3Adrishtiias.com+OR+site%3Avisionias.in+OR+site%3Ancert.nic.in+OR+site%3Ajagranjosh.com+OR+site%3Agktoday.in%29" TargetMode="External"/><Relationship Id="rId1260" Type="http://schemas.openxmlformats.org/officeDocument/2006/relationships/hyperlink" Target="https://www.google.com/search?q=European+Advent+%26+British+Expansion+notes+pdf+Drishti+IAS+Vision+IAS+BPSC+Wallah" TargetMode="External"/><Relationship Id="rId1261" Type="http://schemas.openxmlformats.org/officeDocument/2006/relationships/hyperlink" Target="https://www.google.com/search?q=European+Advent+%26+British+Expansion+%28site%3Adrishtiias.com+OR+site%3Avisionias.in+OR+site%3Ancert.nic.in%29" TargetMode="External"/><Relationship Id="rId1262" Type="http://schemas.openxmlformats.org/officeDocument/2006/relationships/hyperlink" Target="https://www.youtube.com/results?search_query=European+Advent+%26+British+Expansion+Drishti+IAS+BPSC" TargetMode="External"/><Relationship Id="rId1263" Type="http://schemas.openxmlformats.org/officeDocument/2006/relationships/hyperlink" Target="https://www.youtube.com/results?search_query=European+Advent+%26+British+Expansion+BPSC+Wallah" TargetMode="External"/><Relationship Id="rId1264" Type="http://schemas.openxmlformats.org/officeDocument/2006/relationships/hyperlink" Target="https://www.youtube.com/results?search_query=Bihar+&#8211;+Polity+%26+Administration+BPSC+Wallah" TargetMode="External"/><Relationship Id="rId1265" Type="http://schemas.openxmlformats.org/officeDocument/2006/relationships/hyperlink" Target="https://www.google.com/search?q=&#2351;&#2370;&#2352;&#2379;&#2346;&#2368;&#2351;+&#2310;&#2327;&#2350;&#2344;+&#2319;&#2357;&#2306;+&#2348;&#2381;&#2352;&#2367;&#2335;&#2367;&#2358;+&#2357;&#2367;&#2360;&#2381;&#2340;&#2366;&#2352;+%28site%3Adrishtiias.com+OR+site%3Avisionias.in+OR+site%3Ancert.nic.in+OR+site%3Ajagranjosh.com+OR+site%3Agktoday.in%29" TargetMode="External"/><Relationship Id="rId1266" Type="http://schemas.openxmlformats.org/officeDocument/2006/relationships/hyperlink" Target="https://www.google.com/search?q=European+Advent+%26+British+Expansion+notes+pdf+Drishti+IAS+Vision+IAS+BPSC+Wallah" TargetMode="External"/><Relationship Id="rId1267" Type="http://schemas.openxmlformats.org/officeDocument/2006/relationships/hyperlink" Target="https://www.google.com/search?q=European+Advent+%26+British+Expansion+%28site%3Adrishtiias.com+OR+site%3Avisionias.in+OR+site%3Ancert.nic.in%29" TargetMode="External"/><Relationship Id="rId1268" Type="http://schemas.openxmlformats.org/officeDocument/2006/relationships/hyperlink" Target="https://www.youtube.com/results?search_query=European+Advent+%26+British+Expansion+Drishti+IAS+BPSC" TargetMode="External"/><Relationship Id="rId1269" Type="http://schemas.openxmlformats.org/officeDocument/2006/relationships/hyperlink" Target="https://www.youtube.com/results?search_query=European+Advent+%26+British+Expansion+BPSC+Wallah" TargetMode="External"/><Relationship Id="rId1270" Type="http://schemas.openxmlformats.org/officeDocument/2006/relationships/hyperlink" Target="https://www.youtube.com/results?search_query=Bihar+&#8211;+Polity+%26+Administration+BPSC+Wallah" TargetMode="External"/><Relationship Id="rId1271" Type="http://schemas.openxmlformats.org/officeDocument/2006/relationships/hyperlink" Target="https://www.google.com/search?q=&#2351;&#2370;&#2352;&#2379;&#2346;&#2368;&#2351;+&#2310;&#2327;&#2350;&#2344;+&#2319;&#2357;&#2306;+&#2348;&#2381;&#2352;&#2367;&#2335;&#2367;&#2358;+&#2357;&#2367;&#2360;&#2381;&#2340;&#2366;&#2352;+%28site%3Adrishtiias.com+OR+site%3Avisionias.in+OR+site%3Ancert.nic.in+OR+site%3Ajagranjosh.com+OR+site%3Agktoday.in%29" TargetMode="External"/><Relationship Id="rId1272" Type="http://schemas.openxmlformats.org/officeDocument/2006/relationships/hyperlink" Target="https://www.google.com/search?q=BPSC+weekly+revision+notes+pdf+Drishti+IAS+Vision+IAS" TargetMode="External"/><Relationship Id="rId1273" Type="http://schemas.openxmlformats.org/officeDocument/2006/relationships/hyperlink" Target="https://www.google.com/search?q=weekly+current+affairs+revision+%28site%3Adrishtiias.com+OR+site%3Avisionias.in+OR+site%3Apib.gov.in%29" TargetMode="External"/><Relationship Id="rId1274" Type="http://schemas.openxmlformats.org/officeDocument/2006/relationships/hyperlink" Target="https://www.youtube.com/results?search_query=BPSC+prelims+mock+test+analysis+strategy+Drishti+IAS" TargetMode="External"/><Relationship Id="rId1275" Type="http://schemas.openxmlformats.org/officeDocument/2006/relationships/hyperlink" Target="https://www.youtube.com/results?search_query=BPSC+Wallah+BPSC+prelims+test+series+discussion" TargetMode="External"/><Relationship Id="rId1276" Type="http://schemas.openxmlformats.org/officeDocument/2006/relationships/hyperlink" Target="https://www.youtube.com/results?search_query=BPSC+Wallah+BPSC+revision+strategy" TargetMode="External"/><Relationship Id="rId1277" Type="http://schemas.openxmlformats.org/officeDocument/2006/relationships/hyperlink" Target="https://www.google.com/search?q=Revolt+of+1857+notes+pdf+Drishti+IAS+Vision+IAS+BPSC+Wallah" TargetMode="External"/><Relationship Id="rId1278" Type="http://schemas.openxmlformats.org/officeDocument/2006/relationships/hyperlink" Target="https://www.google.com/search?q=Revolt+of+1857+%28site%3Adrishtiias.com+OR+site%3Avisionias.in+OR+site%3Ancert.nic.in%29" TargetMode="External"/><Relationship Id="rId1279" Type="http://schemas.openxmlformats.org/officeDocument/2006/relationships/hyperlink" Target="https://www.youtube.com/results?search_query=Revolt+of+1857+Drishti+IAS+BPSC" TargetMode="External"/><Relationship Id="rId1280" Type="http://schemas.openxmlformats.org/officeDocument/2006/relationships/hyperlink" Target="https://www.youtube.com/results?search_query=Revolt+of+1857+BPSC+Wallah" TargetMode="External"/><Relationship Id="rId1281" Type="http://schemas.openxmlformats.org/officeDocument/2006/relationships/hyperlink" Target="https://www.youtube.com/results?search_query=Bihar+&#8211;+Polity+%26+Administration+BPSC+Wallah" TargetMode="External"/><Relationship Id="rId1282" Type="http://schemas.openxmlformats.org/officeDocument/2006/relationships/hyperlink" Target="https://www.google.com/search?q=1857+&#2325;&#2366;+&#2357;&#2367;&#2342;&#2381;&#2352;&#2379;&#2361;+%28site%3Adrishtiias.com+OR+site%3Avisionias.in+OR+site%3Ancert.nic.in+OR+site%3Ajagranjosh.com+OR+site%3Agktoday.in%29" TargetMode="External"/><Relationship Id="rId1283" Type="http://schemas.openxmlformats.org/officeDocument/2006/relationships/hyperlink" Target="https://www.google.com/search?q=Revolt+of+1857+notes+pdf+Drishti+IAS+Vision+IAS+BPSC+Wallah" TargetMode="External"/><Relationship Id="rId1284" Type="http://schemas.openxmlformats.org/officeDocument/2006/relationships/hyperlink" Target="https://www.google.com/search?q=Revolt+of+1857+%28site%3Adrishtiias.com+OR+site%3Avisionias.in+OR+site%3Ancert.nic.in%29" TargetMode="External"/><Relationship Id="rId1285" Type="http://schemas.openxmlformats.org/officeDocument/2006/relationships/hyperlink" Target="https://www.youtube.com/results?search_query=Revolt+of+1857+Drishti+IAS+BPSC" TargetMode="External"/><Relationship Id="rId1286" Type="http://schemas.openxmlformats.org/officeDocument/2006/relationships/hyperlink" Target="https://www.youtube.com/results?search_query=Revolt+of+1857+BPSC+Wallah" TargetMode="External"/><Relationship Id="rId1287" Type="http://schemas.openxmlformats.org/officeDocument/2006/relationships/hyperlink" Target="https://www.youtube.com/results?search_query=Bihar+&#8211;+Polity+%26+Administration+BPSC+Wallah" TargetMode="External"/><Relationship Id="rId1288" Type="http://schemas.openxmlformats.org/officeDocument/2006/relationships/hyperlink" Target="https://www.google.com/search?q=1857+&#2325;&#2366;+&#2357;&#2367;&#2342;&#2381;&#2352;&#2379;&#2361;+%28site%3Adrishtiias.com+OR+site%3Avisionias.in+OR+site%3Ancert.nic.in+OR+site%3Ajagranjosh.com+OR+site%3Agktoday.in%29" TargetMode="External"/><Relationship Id="rId1289" Type="http://schemas.openxmlformats.org/officeDocument/2006/relationships/hyperlink" Target="https://www.google.com/search?q=Socio-Religious+Reform+Movements+notes+pdf+Drishti+IAS+Vision+IAS+BPSC+Wallah" TargetMode="External"/><Relationship Id="rId1290" Type="http://schemas.openxmlformats.org/officeDocument/2006/relationships/hyperlink" Target="https://www.google.com/search?q=Socio-Religious+Reform+Movements+%28site%3Adrishtiias.com+OR+site%3Avisionias.in+OR+site%3Ancert.nic.in%29" TargetMode="External"/><Relationship Id="rId1291" Type="http://schemas.openxmlformats.org/officeDocument/2006/relationships/hyperlink" Target="https://www.youtube.com/results?search_query=Socio-Religious+Reform+Movements+Drishti+IAS+BPSC" TargetMode="External"/><Relationship Id="rId1292" Type="http://schemas.openxmlformats.org/officeDocument/2006/relationships/hyperlink" Target="https://www.youtube.com/results?search_query=Socio-Religious+Reform+Movements+BPSC+Wallah" TargetMode="External"/><Relationship Id="rId1293" Type="http://schemas.openxmlformats.org/officeDocument/2006/relationships/hyperlink" Target="https://www.youtube.com/results?search_query=Bihar+&#8211;+Art%2C+Culture%2C+Literature+%26+Tourism+BPSC+Wallah" TargetMode="External"/><Relationship Id="rId1294" Type="http://schemas.openxmlformats.org/officeDocument/2006/relationships/hyperlink" Target="https://www.google.com/search?q=&#2360;&#2366;&#2350;&#2366;&#2332;&#2367;&#2325;-&#2343;&#2366;&#2352;&#2381;&#2350;&#2367;&#2325;+&#2360;&#2369;&#2343;&#2366;&#2352;+&#2310;&#2306;&#2342;&#2379;&#2354;&#2344;+%28site%3Adrishtiias.com+OR+site%3Avisionias.in+OR+site%3Ancert.nic.in+OR+site%3Ajagranjosh.com+OR+site%3Agktoday.in%29" TargetMode="External"/><Relationship Id="rId1295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1296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1297" Type="http://schemas.openxmlformats.org/officeDocument/2006/relationships/hyperlink" Target="https://www.youtube.com/results?search_query=Early+Nationalism%3A+INC%2C+Moderates%2C+Extremists%2C+Swadeshi+Drishti+IAS+BPSC" TargetMode="External"/><Relationship Id="rId1298" Type="http://schemas.openxmlformats.org/officeDocument/2006/relationships/hyperlink" Target="https://www.youtube.com/results?search_query=Early+Nationalism%3A+INC%2C+Moderates%2C+Extremists%2C+Swadeshi+BPSC+Wallah" TargetMode="External"/><Relationship Id="rId1299" Type="http://schemas.openxmlformats.org/officeDocument/2006/relationships/hyperlink" Target="https://www.youtube.com/results?search_query=Bihar+&#8211;+Art%2C+Culture%2C+Literature+%26+Tourism+BPSC+Wallah" TargetMode="External"/><Relationship Id="rId1300" Type="http://schemas.openxmlformats.org/officeDocument/2006/relationships/hyperlink" Target="https://www.google.com/search?q=&#2346;&#2381;&#2352;&#2366;&#2352;&#2306;&#2349;&#2367;&#2325;+&#2352;&#2366;&#2359;&#2381;&#2335;&#2381;&#2352;&#2357;&#2366;&#2342;%3A+&#2325;&#2366;&#2306;&#2327;&#2381;&#2352;&#2375;&#2360;%2C+&#2344;&#2352;&#2350;&#2346;&#2306;&#2341;&#2368;%2C+&#2327;&#2352;&#2350;&#2346;&#2306;&#2341;&#2368;%2C+&#2360;&#2381;&#2357;&#2342;&#2375;&#2358;&#2368;+%28site%3Adrishtiias.com+OR+site%3Avisionias.in+OR+site%3Ancert.nic.in+OR+site%3Ajagranjosh.com+OR+site%3Agktoday.in%29" TargetMode="External"/><Relationship Id="rId1301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1302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1303" Type="http://schemas.openxmlformats.org/officeDocument/2006/relationships/hyperlink" Target="https://www.youtube.com/results?search_query=Early+Nationalism%3A+INC%2C+Moderates%2C+Extremists%2C+Swadeshi+Drishti+IAS+BPSC" TargetMode="External"/><Relationship Id="rId1304" Type="http://schemas.openxmlformats.org/officeDocument/2006/relationships/hyperlink" Target="https://www.youtube.com/results?search_query=Early+Nationalism%3A+INC%2C+Moderates%2C+Extremists%2C+Swadeshi+BPSC+Wallah" TargetMode="External"/><Relationship Id="rId1305" Type="http://schemas.openxmlformats.org/officeDocument/2006/relationships/hyperlink" Target="https://www.youtube.com/results?search_query=Bihar+&#8211;+Art%2C+Culture%2C+Literature+%26+Tourism+BPSC+Wallah" TargetMode="External"/><Relationship Id="rId1306" Type="http://schemas.openxmlformats.org/officeDocument/2006/relationships/hyperlink" Target="https://www.google.com/search?q=&#2346;&#2381;&#2352;&#2366;&#2352;&#2306;&#2349;&#2367;&#2325;+&#2352;&#2366;&#2359;&#2381;&#2335;&#2381;&#2352;&#2357;&#2366;&#2342;%3A+&#2325;&#2366;&#2306;&#2327;&#2381;&#2352;&#2375;&#2360;%2C+&#2344;&#2352;&#2350;&#2346;&#2306;&#2341;&#2368;%2C+&#2327;&#2352;&#2350;&#2346;&#2306;&#2341;&#2368;%2C+&#2360;&#2381;&#2357;&#2342;&#2375;&#2358;&#2368;+%28site%3Adrishtiias.com+OR+site%3Avisionias.in+OR+site%3Ancert.nic.in+OR+site%3Ajagranjosh.com+OR+site%3Agktoday.in%29" TargetMode="External"/><Relationship Id="rId1307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1308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1309" Type="http://schemas.openxmlformats.org/officeDocument/2006/relationships/hyperlink" Target="https://www.youtube.com/results?search_query=Early+Nationalism%3A+INC%2C+Moderates%2C+Extremists%2C+Swadeshi+Drishti+IAS+BPSC" TargetMode="External"/><Relationship Id="rId1310" Type="http://schemas.openxmlformats.org/officeDocument/2006/relationships/hyperlink" Target="https://www.youtube.com/results?search_query=Early+Nationalism%3A+INC%2C+Moderates%2C+Extremists%2C+Swadeshi+BPSC+Wallah" TargetMode="External"/><Relationship Id="rId1311" Type="http://schemas.openxmlformats.org/officeDocument/2006/relationships/hyperlink" Target="https://www.youtube.com/results?search_query=Bihar+&#8211;+Art%2C+Culture%2C+Literature+%26+Tourism+BPSC+Wallah" TargetMode="External"/><Relationship Id="rId1312" Type="http://schemas.openxmlformats.org/officeDocument/2006/relationships/hyperlink" Target="https://www.google.com/search?q=&#2346;&#2381;&#2352;&#2366;&#2352;&#2306;&#2349;&#2367;&#2325;+&#2352;&#2366;&#2359;&#2381;&#2335;&#2381;&#2352;&#2357;&#2366;&#2342;%3A+&#2325;&#2366;&#2306;&#2327;&#2381;&#2352;&#2375;&#2360;%2C+&#2344;&#2352;&#2350;&#2346;&#2306;&#2341;&#2368;%2C+&#2327;&#2352;&#2350;&#2346;&#2306;&#2341;&#2368;%2C+&#2360;&#2381;&#2357;&#2342;&#2375;&#2358;&#2368;+%28site%3Adrishtiias.com+OR+site%3Avisionias.in+OR+site%3Ancert.nic.in+OR+site%3Ajagranjosh.com+OR+site%3Agktoday.in%29" TargetMode="External"/><Relationship Id="rId1313" Type="http://schemas.openxmlformats.org/officeDocument/2006/relationships/hyperlink" Target="https://www.google.com/search?q=BPSC+weekly+revision+notes+pdf+Drishti+IAS+Vision+IAS" TargetMode="External"/><Relationship Id="rId1314" Type="http://schemas.openxmlformats.org/officeDocument/2006/relationships/hyperlink" Target="https://www.google.com/search?q=weekly+current+affairs+revision+%28site%3Adrishtiias.com+OR+site%3Avisionias.in+OR+site%3Apib.gov.in%29" TargetMode="External"/><Relationship Id="rId1315" Type="http://schemas.openxmlformats.org/officeDocument/2006/relationships/hyperlink" Target="https://www.youtube.com/results?search_query=BPSC+prelims+mock+test+analysis+strategy+Drishti+IAS" TargetMode="External"/><Relationship Id="rId1316" Type="http://schemas.openxmlformats.org/officeDocument/2006/relationships/hyperlink" Target="https://www.youtube.com/results?search_query=BPSC+Wallah+BPSC+prelims+test+series+discussion" TargetMode="External"/><Relationship Id="rId1317" Type="http://schemas.openxmlformats.org/officeDocument/2006/relationships/hyperlink" Target="https://www.youtube.com/results?search_query=BPSC+Wallah+BPSC+revision+strategy" TargetMode="External"/><Relationship Id="rId1318" Type="http://schemas.openxmlformats.org/officeDocument/2006/relationships/hyperlink" Target="https://www.google.com/search?q=Gandhian+Era%3A+Champaran+to+Quit+India+notes+pdf+Drishti+IAS+Vision+IAS+BPSC+Wallah" TargetMode="External"/><Relationship Id="rId1319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1320" Type="http://schemas.openxmlformats.org/officeDocument/2006/relationships/hyperlink" Target="https://www.youtube.com/results?search_query=Gandhian+Era%3A+Champaran+to+Quit+India+Drishti+IAS+BPSC" TargetMode="External"/><Relationship Id="rId1321" Type="http://schemas.openxmlformats.org/officeDocument/2006/relationships/hyperlink" Target="https://www.youtube.com/results?search_query=Gandhian+Era%3A+Champaran+to+Quit+India+BPSC+Wallah" TargetMode="External"/><Relationship Id="rId1322" Type="http://schemas.openxmlformats.org/officeDocument/2006/relationships/hyperlink" Target="https://www.youtube.com/results?search_query=Bihar+&#8211;+Demography%2C+Education+%26+Health+BPSC+Wallah" TargetMode="External"/><Relationship Id="rId1323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1324" Type="http://schemas.openxmlformats.org/officeDocument/2006/relationships/hyperlink" Target="https://www.google.com/search?q=Gandhian+Era%3A+Champaran+to+Quit+India+notes+pdf+Drishti+IAS+Vision+IAS+BPSC+Wallah" TargetMode="External"/><Relationship Id="rId1325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1326" Type="http://schemas.openxmlformats.org/officeDocument/2006/relationships/hyperlink" Target="https://www.youtube.com/results?search_query=Gandhian+Era%3A+Champaran+to+Quit+India+Drishti+IAS+BPSC" TargetMode="External"/><Relationship Id="rId1327" Type="http://schemas.openxmlformats.org/officeDocument/2006/relationships/hyperlink" Target="https://www.youtube.com/results?search_query=Gandhian+Era%3A+Champaran+to+Quit+India+BPSC+Wallah" TargetMode="External"/><Relationship Id="rId1328" Type="http://schemas.openxmlformats.org/officeDocument/2006/relationships/hyperlink" Target="https://www.youtube.com/results?search_query=Bihar+&#8211;+Demography%2C+Education+%26+Health+BPSC+Wallah" TargetMode="External"/><Relationship Id="rId1329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1330" Type="http://schemas.openxmlformats.org/officeDocument/2006/relationships/hyperlink" Target="https://www.google.com/search?q=Gandhian+Era%3A+Champaran+to+Quit+India+notes+pdf+Drishti+IAS+Vision+IAS+BPSC+Wallah" TargetMode="External"/><Relationship Id="rId1331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1332" Type="http://schemas.openxmlformats.org/officeDocument/2006/relationships/hyperlink" Target="https://www.youtube.com/results?search_query=Gandhian+Era%3A+Champaran+to+Quit+India+Drishti+IAS+BPSC" TargetMode="External"/><Relationship Id="rId1333" Type="http://schemas.openxmlformats.org/officeDocument/2006/relationships/hyperlink" Target="https://www.youtube.com/results?search_query=Gandhian+Era%3A+Champaran+to+Quit+India+BPSC+Wallah" TargetMode="External"/><Relationship Id="rId1334" Type="http://schemas.openxmlformats.org/officeDocument/2006/relationships/hyperlink" Target="https://www.youtube.com/results?search_query=Bihar+&#8211;+Demography%2C+Education+%26+Health+BPSC+Wallah" TargetMode="External"/><Relationship Id="rId1335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1336" Type="http://schemas.openxmlformats.org/officeDocument/2006/relationships/hyperlink" Target="https://www.google.com/search?q=Gandhian+Era%3A+Champaran+to+Quit+India+notes+pdf+Drishti+IAS+Vision+IAS+BPSC+Wallah" TargetMode="External"/><Relationship Id="rId1337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1338" Type="http://schemas.openxmlformats.org/officeDocument/2006/relationships/hyperlink" Target="https://www.youtube.com/results?search_query=Gandhian+Era%3A+Champaran+to+Quit+India+Drishti+IAS+BPSC" TargetMode="External"/><Relationship Id="rId1339" Type="http://schemas.openxmlformats.org/officeDocument/2006/relationships/hyperlink" Target="https://www.youtube.com/results?search_query=Gandhian+Era%3A+Champaran+to+Quit+India+BPSC+Wallah" TargetMode="External"/><Relationship Id="rId1340" Type="http://schemas.openxmlformats.org/officeDocument/2006/relationships/hyperlink" Target="https://www.youtube.com/results?search_query=Bihar+&#8211;+Demography%2C+Education+%26+Health+BPSC+Wallah" TargetMode="External"/><Relationship Id="rId1341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1342" Type="http://schemas.openxmlformats.org/officeDocument/2006/relationships/hyperlink" Target="https://www.google.com/search?q=Gandhian+Era%3A+Champaran+to+Quit+India+notes+pdf+Drishti+IAS+Vision+IAS+BPSC+Wallah" TargetMode="External"/><Relationship Id="rId1343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1344" Type="http://schemas.openxmlformats.org/officeDocument/2006/relationships/hyperlink" Target="https://www.youtube.com/results?search_query=Gandhian+Era%3A+Champaran+to+Quit+India+Drishti+IAS+BPSC" TargetMode="External"/><Relationship Id="rId1345" Type="http://schemas.openxmlformats.org/officeDocument/2006/relationships/hyperlink" Target="https://www.youtube.com/results?search_query=Gandhian+Era%3A+Champaran+to+Quit+India+BPSC+Wallah" TargetMode="External"/><Relationship Id="rId1346" Type="http://schemas.openxmlformats.org/officeDocument/2006/relationships/hyperlink" Target="https://www.youtube.com/results?search_query=Maths+I%3A+Number+System%2C+HCF-LCM+%26+Simplification+BPSC+Wallah" TargetMode="External"/><Relationship Id="rId1347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1348" Type="http://schemas.openxmlformats.org/officeDocument/2006/relationships/hyperlink" Target="https://www.google.com/search?q=Revolutionaries%2C+Constitutional+Developments+%26+Partition+notes+pdf+Drishti+IAS+Vision+IAS+BPSC+Wallah" TargetMode="External"/><Relationship Id="rId1349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1350" Type="http://schemas.openxmlformats.org/officeDocument/2006/relationships/hyperlink" Target="https://www.youtube.com/results?search_query=Revolutionaries%2C+Constitutional+Developments+%26+Partition+Drishti+IAS+BPSC" TargetMode="External"/><Relationship Id="rId1351" Type="http://schemas.openxmlformats.org/officeDocument/2006/relationships/hyperlink" Target="https://www.youtube.com/results?search_query=Revolutionaries%2C+Constitutional+Developments+%26+Partition+BPSC+Wallah" TargetMode="External"/><Relationship Id="rId1352" Type="http://schemas.openxmlformats.org/officeDocument/2006/relationships/hyperlink" Target="https://www.youtube.com/results?search_query=Maths+I%3A+Number+System%2C+HCF-LCM+%26+Simplification+BPSC+Wallah" TargetMode="External"/><Relationship Id="rId1353" Type="http://schemas.openxmlformats.org/officeDocument/2006/relationships/hyperlink" Target="https://www.google.com/search?q=&#2325;&#2381;&#2352;&#2366;&#2306;&#2340;&#2367;&#2325;&#2366;&#2352;&#2368;+&#2310;&#2306;&#2342;&#2379;&#2354;&#2344;%2C+&#2360;&#2306;&#2357;&#2376;&#2343;&#2366;&#2344;&#2367;&#2325;+&#2357;&#2367;&#2325;&#2366;&#2360;+&#2319;&#2357;&#2306;+&#2357;&#2367;&#2349;&#2366;&#2332;&#2344;+%28site%3Adrishtiias.com+OR+site%3Avisionias.in+OR+site%3Ancert.nic.in+OR+site%3Ajagranjosh.com+OR+site%3Agktoday.in%29" TargetMode="External"/><Relationship Id="rId1354" Type="http://schemas.openxmlformats.org/officeDocument/2006/relationships/hyperlink" Target="https://www.google.com/search?q=BPSC+weekly+revision+notes+pdf+Drishti+IAS+Vision+IAS" TargetMode="External"/><Relationship Id="rId1355" Type="http://schemas.openxmlformats.org/officeDocument/2006/relationships/hyperlink" Target="https://www.google.com/search?q=weekly+current+affairs+revision+%28site%3Adrishtiias.com+OR+site%3Avisionias.in+OR+site%3Apib.gov.in%29" TargetMode="External"/><Relationship Id="rId1356" Type="http://schemas.openxmlformats.org/officeDocument/2006/relationships/hyperlink" Target="https://www.youtube.com/results?search_query=BPSC+prelims+mock+test+analysis+strategy+Drishti+IAS" TargetMode="External"/><Relationship Id="rId1357" Type="http://schemas.openxmlformats.org/officeDocument/2006/relationships/hyperlink" Target="https://www.youtube.com/results?search_query=BPSC+Wallah+BPSC+prelims+test+series+discussion" TargetMode="External"/><Relationship Id="rId1358" Type="http://schemas.openxmlformats.org/officeDocument/2006/relationships/hyperlink" Target="https://www.youtube.com/results?search_query=BPSC+Wallah+BPSC+revision+strategy" TargetMode="External"/><Relationship Id="rId1359" Type="http://schemas.openxmlformats.org/officeDocument/2006/relationships/hyperlink" Target="https://www.google.com/search?q=Revolutionaries%2C+Constitutional+Developments+%26+Partition+notes+pdf+Drishti+IAS+Vision+IAS+BPSC+Wallah" TargetMode="External"/><Relationship Id="rId1360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1361" Type="http://schemas.openxmlformats.org/officeDocument/2006/relationships/hyperlink" Target="https://www.youtube.com/results?search_query=Revolutionaries%2C+Constitutional+Developments+%26+Partition+Drishti+IAS+BPSC" TargetMode="External"/><Relationship Id="rId1362" Type="http://schemas.openxmlformats.org/officeDocument/2006/relationships/hyperlink" Target="https://www.youtube.com/results?search_query=Revolutionaries%2C+Constitutional+Developments+%26+Partition+BPSC+Wallah" TargetMode="External"/><Relationship Id="rId1363" Type="http://schemas.openxmlformats.org/officeDocument/2006/relationships/hyperlink" Target="https://www.youtube.com/results?search_query=Maths+I%3A+Number+System%2C+HCF-LCM+%26+Simplification+BPSC+Wallah" TargetMode="External"/><Relationship Id="rId1364" Type="http://schemas.openxmlformats.org/officeDocument/2006/relationships/hyperlink" Target="https://www.google.com/search?q=&#2325;&#2381;&#2352;&#2366;&#2306;&#2340;&#2367;&#2325;&#2366;&#2352;&#2368;+&#2310;&#2306;&#2342;&#2379;&#2354;&#2344;%2C+&#2360;&#2306;&#2357;&#2376;&#2343;&#2366;&#2344;&#2367;&#2325;+&#2357;&#2367;&#2325;&#2366;&#2360;+&#2319;&#2357;&#2306;+&#2357;&#2367;&#2349;&#2366;&#2332;&#2344;+%28site%3Adrishtiias.com+OR+site%3Avisionias.in+OR+site%3Ancert.nic.in+OR+site%3Ajagranjosh.com+OR+site%3Agktoday.in%29" TargetMode="External"/><Relationship Id="rId1365" Type="http://schemas.openxmlformats.org/officeDocument/2006/relationships/hyperlink" Target="https://www.google.com/search?q=Revolutionaries%2C+Constitutional+Developments+%26+Partition+notes+pdf+Drishti+IAS+Vision+IAS+BPSC+Wallah" TargetMode="External"/><Relationship Id="rId1366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1367" Type="http://schemas.openxmlformats.org/officeDocument/2006/relationships/hyperlink" Target="https://www.youtube.com/results?search_query=Revolutionaries%2C+Constitutional+Developments+%26+Partition+Drishti+IAS+BPSC" TargetMode="External"/><Relationship Id="rId1368" Type="http://schemas.openxmlformats.org/officeDocument/2006/relationships/hyperlink" Target="https://www.youtube.com/results?search_query=Revolutionaries%2C+Constitutional+Developments+%26+Partition+BPSC+Wallah" TargetMode="External"/><Relationship Id="rId1369" Type="http://schemas.openxmlformats.org/officeDocument/2006/relationships/hyperlink" Target="https://www.youtube.com/results?search_query=Maths+I%3A+Number+System%2C+HCF-LCM+%26+Simplification+BPSC+Wallah" TargetMode="External"/><Relationship Id="rId1370" Type="http://schemas.openxmlformats.org/officeDocument/2006/relationships/hyperlink" Target="https://www.google.com/search?q=&#2325;&#2381;&#2352;&#2366;&#2306;&#2340;&#2367;&#2325;&#2366;&#2352;&#2368;+&#2310;&#2306;&#2342;&#2379;&#2354;&#2344;%2C+&#2360;&#2306;&#2357;&#2376;&#2343;&#2366;&#2344;&#2367;&#2325;+&#2357;&#2367;&#2325;&#2366;&#2360;+&#2319;&#2357;&#2306;+&#2357;&#2367;&#2349;&#2366;&#2332;&#2344;+%28site%3Adrishtiias.com+OR+site%3Avisionias.in+OR+site%3Ancert.nic.in+OR+site%3Ajagranjosh.com+OR+site%3Agktoday.in%29" TargetMode="External"/><Relationship Id="rId1371" Type="http://schemas.openxmlformats.org/officeDocument/2006/relationships/hyperlink" Target="https://www.google.com/search?q=Post-Independence+India+%281947+onwards%29+notes+pdf+Drishti+IAS+Vision+IAS+BPSC+Wallah" TargetMode="External"/><Relationship Id="rId1372" Type="http://schemas.openxmlformats.org/officeDocument/2006/relationships/hyperlink" Target="https://www.google.com/search?q=Post-Independence+India+%281947+onwards%29+%28site%3Adrishtiias.com+OR+site%3Avisionias.in+OR+site%3Ancert.nic.in%29" TargetMode="External"/><Relationship Id="rId1373" Type="http://schemas.openxmlformats.org/officeDocument/2006/relationships/hyperlink" Target="https://www.youtube.com/results?search_query=Post-Independence+India+%281947+onwards%29+Drishti+IAS+BPSC" TargetMode="External"/><Relationship Id="rId1374" Type="http://schemas.openxmlformats.org/officeDocument/2006/relationships/hyperlink" Target="https://www.youtube.com/results?search_query=Post-Independence+India+%281947+onwards%29+BPSC+Wallah" TargetMode="External"/><Relationship Id="rId1375" Type="http://schemas.openxmlformats.org/officeDocument/2006/relationships/hyperlink" Target="https://www.youtube.com/results?search_query=Maths+II%3A+Percentage%2C+Profit-Loss%2C+Ratio+%26+Average+BPSC+Wallah" TargetMode="External"/><Relationship Id="rId1376" Type="http://schemas.openxmlformats.org/officeDocument/2006/relationships/hyperlink" Target="https://www.google.com/search?q=&#2360;&#2381;&#2357;&#2366;&#2340;&#2306;&#2340;&#2381;&#2352;&#2381;&#2351;&#2379;&#2340;&#2381;&#2340;&#2352;+&#2349;&#2366;&#2352;&#2340;+%281947+&#2325;&#2375;+&#2348;&#2366;&#2342;%29+%28site%3Adrishtiias.com+OR+site%3Avisionias.in+OR+site%3Ancert.nic.in+OR+site%3Ajagranjosh.com+OR+site%3Agktoday.in%29" TargetMode="External"/><Relationship Id="rId1377" Type="http://schemas.openxmlformats.org/officeDocument/2006/relationships/hyperlink" Target="https://www.google.com/search?q=Art+%26+Architecture+of+India+notes+pdf+Drishti+IAS+Vision+IAS+BPSC+Wallah" TargetMode="External"/><Relationship Id="rId1378" Type="http://schemas.openxmlformats.org/officeDocument/2006/relationships/hyperlink" Target="https://www.google.com/search?q=Art+%26+Architecture+of+India+%28site%3Adrishtiias.com+OR+site%3Avisionias.in+OR+site%3Ancert.nic.in%29" TargetMode="External"/><Relationship Id="rId1379" Type="http://schemas.openxmlformats.org/officeDocument/2006/relationships/hyperlink" Target="https://www.youtube.com/results?search_query=Art+%26+Architecture+of+India+Drishti+IAS+BPSC" TargetMode="External"/><Relationship Id="rId1380" Type="http://schemas.openxmlformats.org/officeDocument/2006/relationships/hyperlink" Target="https://www.youtube.com/results?search_query=Art+%26+Architecture+of+India+BPSC+Wallah" TargetMode="External"/><Relationship Id="rId1381" Type="http://schemas.openxmlformats.org/officeDocument/2006/relationships/hyperlink" Target="https://www.youtube.com/results?search_query=Maths+II%3A+Percentage%2C+Profit-Loss%2C+Ratio+%26+Average+BPSC+Wallah" TargetMode="External"/><Relationship Id="rId1382" Type="http://schemas.openxmlformats.org/officeDocument/2006/relationships/hyperlink" Target="https://www.google.com/search?q=&#2349;&#2366;&#2352;&#2340;&#2368;&#2351;+&#2325;&#2354;&#2366;+&#2319;&#2357;&#2306;+&#2360;&#2381;&#2341;&#2366;&#2346;&#2340;&#2381;&#2351;+%28site%3Adrishtiias.com+OR+site%3Avisionias.in+OR+site%3Ancert.nic.in+OR+site%3Ajagranjosh.com+OR+site%3Agktoday.in%29" TargetMode="External"/><Relationship Id="rId1383" Type="http://schemas.openxmlformats.org/officeDocument/2006/relationships/hyperlink" Target="https://www.google.com/search?q=Art+%26+Architecture+of+India+notes+pdf+Drishti+IAS+Vision+IAS+BPSC+Wallah" TargetMode="External"/><Relationship Id="rId1384" Type="http://schemas.openxmlformats.org/officeDocument/2006/relationships/hyperlink" Target="https://www.google.com/search?q=Art+%26+Architecture+of+India+%28site%3Adrishtiias.com+OR+site%3Avisionias.in+OR+site%3Ancert.nic.in%29" TargetMode="External"/><Relationship Id="rId1385" Type="http://schemas.openxmlformats.org/officeDocument/2006/relationships/hyperlink" Target="https://www.youtube.com/results?search_query=Art+%26+Architecture+of+India+Drishti+IAS+BPSC" TargetMode="External"/><Relationship Id="rId1386" Type="http://schemas.openxmlformats.org/officeDocument/2006/relationships/hyperlink" Target="https://www.youtube.com/results?search_query=Art+%26+Architecture+of+India+BPSC+Wallah" TargetMode="External"/><Relationship Id="rId1387" Type="http://schemas.openxmlformats.org/officeDocument/2006/relationships/hyperlink" Target="https://www.youtube.com/results?search_query=Maths+II%3A+Percentage%2C+Profit-Loss%2C+Ratio+%26+Average+BPSC+Wallah" TargetMode="External"/><Relationship Id="rId1388" Type="http://schemas.openxmlformats.org/officeDocument/2006/relationships/hyperlink" Target="https://www.google.com/search?q=&#2349;&#2366;&#2352;&#2340;&#2368;&#2351;+&#2325;&#2354;&#2366;+&#2319;&#2357;&#2306;+&#2360;&#2381;&#2341;&#2366;&#2346;&#2340;&#2381;&#2351;+%28site%3Adrishtiias.com+OR+site%3Avisionias.in+OR+site%3Ancert.nic.in+OR+site%3Ajagranjosh.com+OR+site%3Agktoday.in%29" TargetMode="External"/><Relationship Id="rId1389" Type="http://schemas.openxmlformats.org/officeDocument/2006/relationships/hyperlink" Target="https://www.google.com/search?q=Art+%26+Architecture+of+India+notes+pdf+Drishti+IAS+Vision+IAS+BPSC+Wallah" TargetMode="External"/><Relationship Id="rId1390" Type="http://schemas.openxmlformats.org/officeDocument/2006/relationships/hyperlink" Target="https://www.google.com/search?q=Art+%26+Architecture+of+India+%28site%3Adrishtiias.com+OR+site%3Avisionias.in+OR+site%3Ancert.nic.in%29" TargetMode="External"/><Relationship Id="rId1391" Type="http://schemas.openxmlformats.org/officeDocument/2006/relationships/hyperlink" Target="https://www.youtube.com/results?search_query=Art+%26+Architecture+of+India+Drishti+IAS+BPSC" TargetMode="External"/><Relationship Id="rId1392" Type="http://schemas.openxmlformats.org/officeDocument/2006/relationships/hyperlink" Target="https://www.youtube.com/results?search_query=Art+%26+Architecture+of+India+BPSC+Wallah" TargetMode="External"/><Relationship Id="rId1393" Type="http://schemas.openxmlformats.org/officeDocument/2006/relationships/hyperlink" Target="https://www.youtube.com/results?search_query=Maths+II%3A+Percentage%2C+Profit-Loss%2C+Ratio+%26+Average+BPSC+Wallah" TargetMode="External"/><Relationship Id="rId1394" Type="http://schemas.openxmlformats.org/officeDocument/2006/relationships/hyperlink" Target="https://www.google.com/search?q=&#2349;&#2366;&#2352;&#2340;&#2368;&#2351;+&#2325;&#2354;&#2366;+&#2319;&#2357;&#2306;+&#2360;&#2381;&#2341;&#2366;&#2346;&#2340;&#2381;&#2351;+%28site%3Adrishtiias.com+OR+site%3Avisionias.in+OR+site%3Ancert.nic.in+OR+site%3Ajagranjosh.com+OR+site%3Agktoday.in%29" TargetMode="External"/><Relationship Id="rId1395" Type="http://schemas.openxmlformats.org/officeDocument/2006/relationships/hyperlink" Target="https://www.google.com/search?q=BPSC+weekly+revision+notes+pdf+Drishti+IAS+Vision+IAS" TargetMode="External"/><Relationship Id="rId1396" Type="http://schemas.openxmlformats.org/officeDocument/2006/relationships/hyperlink" Target="https://www.google.com/search?q=weekly+current+affairs+revision+%28site%3Adrishtiias.com+OR+site%3Avisionias.in+OR+site%3Apib.gov.in%29" TargetMode="External"/><Relationship Id="rId1397" Type="http://schemas.openxmlformats.org/officeDocument/2006/relationships/hyperlink" Target="https://www.youtube.com/results?search_query=BPSC+prelims+mock+test+analysis+strategy+Drishti+IAS" TargetMode="External"/><Relationship Id="rId1398" Type="http://schemas.openxmlformats.org/officeDocument/2006/relationships/hyperlink" Target="https://www.youtube.com/results?search_query=BPSC+Wallah+BPSC+prelims+test+series+discussion" TargetMode="External"/><Relationship Id="rId1399" Type="http://schemas.openxmlformats.org/officeDocument/2006/relationships/hyperlink" Target="https://www.youtube.com/results?search_query=BPSC+Wallah+BPSC+revision+strategy" TargetMode="External"/><Relationship Id="rId1400" Type="http://schemas.openxmlformats.org/officeDocument/2006/relationships/hyperlink" Target="https://www.google.com/search?q=Performing+Arts%2C+Literature%2C+Festivals+%26+UNESCO+Sites+notes+pdf+Drishti+IAS+Vision+IAS+BPSC+Wallah" TargetMode="External"/><Relationship Id="rId1401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1402" Type="http://schemas.openxmlformats.org/officeDocument/2006/relationships/hyperlink" Target="https://www.youtube.com/results?search_query=Performing+Arts%2C+Literature%2C+Festivals+%26+UNESCO+Sites+Drishti+IAS+BPSC" TargetMode="External"/><Relationship Id="rId1403" Type="http://schemas.openxmlformats.org/officeDocument/2006/relationships/hyperlink" Target="https://www.youtube.com/results?search_query=Performing+Arts%2C+Literature%2C+Festivals+%26+UNESCO+Sites+BPSC+Wallah" TargetMode="External"/><Relationship Id="rId1404" Type="http://schemas.openxmlformats.org/officeDocument/2006/relationships/hyperlink" Target="https://www.youtube.com/results?search_query=Maths+II%3A+Percentage%2C+Profit-Loss%2C+Ratio+%26+Average+BPSC+Wallah" TargetMode="External"/><Relationship Id="rId1405" Type="http://schemas.openxmlformats.org/officeDocument/2006/relationships/hyperlink" Target="https://www.google.com/search?q=&#2346;&#2381;&#2352;&#2342;&#2352;&#2381;&#2358;&#2344;+&#2325;&#2354;&#2366;&#2319;&#2305;%2C+&#2360;&#2366;&#2361;&#2367;&#2340;&#2381;&#2351;%2C+&#2340;&#2381;&#2351;&#2379;&#2361;&#2366;&#2352;+&#2319;&#2357;&#2306;+&#2351;&#2370;&#2344;&#2375;&#2360;&#2381;&#2325;&#2379;+&#2360;&#2381;&#2341;&#2354;+%28site%3Adrishtiias.com+OR+site%3Avisionias.in+OR+site%3Ancert.nic.in+OR+site%3Ajagranjosh.com+OR+site%3Agktoday.in%29" TargetMode="External"/><Relationship Id="rId1406" Type="http://schemas.openxmlformats.org/officeDocument/2006/relationships/hyperlink" Target="https://www.google.com/search?q=Performing+Arts%2C+Literature%2C+Festivals+%26+UNESCO+Sites+notes+pdf+Drishti+IAS+Vision+IAS+BPSC+Wallah" TargetMode="External"/><Relationship Id="rId1407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1408" Type="http://schemas.openxmlformats.org/officeDocument/2006/relationships/hyperlink" Target="https://www.youtube.com/results?search_query=Performing+Arts%2C+Literature%2C+Festivals+%26+UNESCO+Sites+Drishti+IAS+BPSC" TargetMode="External"/><Relationship Id="rId1409" Type="http://schemas.openxmlformats.org/officeDocument/2006/relationships/hyperlink" Target="https://www.youtube.com/results?search_query=Performing+Arts%2C+Literature%2C+Festivals+%26+UNESCO+Sites+BPSC+Wallah" TargetMode="External"/><Relationship Id="rId1410" Type="http://schemas.openxmlformats.org/officeDocument/2006/relationships/hyperlink" Target="https://www.youtube.com/results?search_query=Maths+II%3A+Percentage%2C+Profit-Loss%2C+Ratio+%26+Average+BPSC+Wallah" TargetMode="External"/><Relationship Id="rId1411" Type="http://schemas.openxmlformats.org/officeDocument/2006/relationships/hyperlink" Target="https://www.google.com/search?q=&#2346;&#2381;&#2352;&#2342;&#2352;&#2381;&#2358;&#2344;+&#2325;&#2354;&#2366;&#2319;&#2305;%2C+&#2360;&#2366;&#2361;&#2367;&#2340;&#2381;&#2351;%2C+&#2340;&#2381;&#2351;&#2379;&#2361;&#2366;&#2352;+&#2319;&#2357;&#2306;+&#2351;&#2370;&#2344;&#2375;&#2360;&#2381;&#2325;&#2379;+&#2360;&#2381;&#2341;&#2354;+%28site%3Adrishtiias.com+OR+site%3Avisionias.in+OR+site%3Ancert.nic.in+OR+site%3Ajagranjosh.com+OR+site%3Agktoday.in%29" TargetMode="External"/><Relationship Id="rId1412" Type="http://schemas.openxmlformats.org/officeDocument/2006/relationships/hyperlink" Target="https://www.google.com/search?q=Performing+Arts%2C+Literature%2C+Festivals+%26+UNESCO+Sites+notes+pdf+Drishti+IAS+Vision+IAS+BPSC+Wallah" TargetMode="External"/><Relationship Id="rId1413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1414" Type="http://schemas.openxmlformats.org/officeDocument/2006/relationships/hyperlink" Target="https://www.youtube.com/results?search_query=Performing+Arts%2C+Literature%2C+Festivals+%26+UNESCO+Sites+Drishti+IAS+BPSC" TargetMode="External"/><Relationship Id="rId1415" Type="http://schemas.openxmlformats.org/officeDocument/2006/relationships/hyperlink" Target="https://www.youtube.com/results?search_query=Performing+Arts%2C+Literature%2C+Festivals+%26+UNESCO+Sites+BPSC+Wallah" TargetMode="External"/><Relationship Id="rId1416" Type="http://schemas.openxmlformats.org/officeDocument/2006/relationships/hyperlink" Target="https://www.youtube.com/results?search_query=Maths+III%3A+Time-Work%2C+Time-Speed-Distance+%26+Interest+BPSC+Wallah" TargetMode="External"/><Relationship Id="rId1417" Type="http://schemas.openxmlformats.org/officeDocument/2006/relationships/hyperlink" Target="https://www.google.com/search?q=&#2346;&#2381;&#2352;&#2342;&#2352;&#2381;&#2358;&#2344;+&#2325;&#2354;&#2366;&#2319;&#2305;%2C+&#2360;&#2366;&#2361;&#2367;&#2340;&#2381;&#2351;%2C+&#2340;&#2381;&#2351;&#2379;&#2361;&#2366;&#2352;+&#2319;&#2357;&#2306;+&#2351;&#2370;&#2344;&#2375;&#2360;&#2381;&#2325;&#2379;+&#2360;&#2381;&#2341;&#2354;+%28site%3Adrishtiias.com+OR+site%3Avisionias.in+OR+site%3Ancert.nic.in+OR+site%3Ajagranjosh.com+OR+site%3Agktoday.in%29" TargetMode="External"/><Relationship Id="rId1418" Type="http://schemas.openxmlformats.org/officeDocument/2006/relationships/hyperlink" Target="https://www.google.com/search?q=Universe%2C+Solar+System+%26+Earth+notes+pdf+Drishti+IAS+Vision+IAS+BPSC+Wallah" TargetMode="External"/><Relationship Id="rId1419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1420" Type="http://schemas.openxmlformats.org/officeDocument/2006/relationships/hyperlink" Target="https://www.youtube.com/results?search_query=Universe%2C+Solar+System+%26+Earth+Drishti+IAS+BPSC" TargetMode="External"/><Relationship Id="rId1421" Type="http://schemas.openxmlformats.org/officeDocument/2006/relationships/hyperlink" Target="https://www.youtube.com/results?search_query=Universe%2C+Solar+System+%26+Earth+BPSC+Wallah" TargetMode="External"/><Relationship Id="rId1422" Type="http://schemas.openxmlformats.org/officeDocument/2006/relationships/hyperlink" Target="https://www.youtube.com/results?search_query=Maths+III%3A+Time-Work%2C+Time-Speed-Distance+%26+Interest+BPSC+Wallah" TargetMode="External"/><Relationship Id="rId1423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1424" Type="http://schemas.openxmlformats.org/officeDocument/2006/relationships/hyperlink" Target="https://www.google.com/search?q=Universe%2C+Solar+System+%26+Earth+notes+pdf+Drishti+IAS+Vision+IAS+BPSC+Wallah" TargetMode="External"/><Relationship Id="rId1425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1426" Type="http://schemas.openxmlformats.org/officeDocument/2006/relationships/hyperlink" Target="https://www.youtube.com/results?search_query=Universe%2C+Solar+System+%26+Earth+Drishti+IAS+BPSC" TargetMode="External"/><Relationship Id="rId1427" Type="http://schemas.openxmlformats.org/officeDocument/2006/relationships/hyperlink" Target="https://www.youtube.com/results?search_query=Universe%2C+Solar+System+%26+Earth+BPSC+Wallah" TargetMode="External"/><Relationship Id="rId1428" Type="http://schemas.openxmlformats.org/officeDocument/2006/relationships/hyperlink" Target="https://www.youtube.com/results?search_query=Maths+III%3A+Time-Work%2C+Time-Speed-Distance+%26+Interest+BPSC+Wallah" TargetMode="External"/><Relationship Id="rId1429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1430" Type="http://schemas.openxmlformats.org/officeDocument/2006/relationships/hyperlink" Target="https://www.google.com/search?q=Universe%2C+Solar+System+%26+Earth+notes+pdf+Drishti+IAS+Vision+IAS+BPSC+Wallah" TargetMode="External"/><Relationship Id="rId1431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1432" Type="http://schemas.openxmlformats.org/officeDocument/2006/relationships/hyperlink" Target="https://www.youtube.com/results?search_query=Universe%2C+Solar+System+%26+Earth+Drishti+IAS+BPSC" TargetMode="External"/><Relationship Id="rId1433" Type="http://schemas.openxmlformats.org/officeDocument/2006/relationships/hyperlink" Target="https://www.youtube.com/results?search_query=Universe%2C+Solar+System+%26+Earth+BPSC+Wallah" TargetMode="External"/><Relationship Id="rId1434" Type="http://schemas.openxmlformats.org/officeDocument/2006/relationships/hyperlink" Target="https://www.youtube.com/results?search_query=Maths+III%3A+Time-Work%2C+Time-Speed-Distance+%26+Interest+BPSC+Wallah" TargetMode="External"/><Relationship Id="rId1435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1436" Type="http://schemas.openxmlformats.org/officeDocument/2006/relationships/hyperlink" Target="https://www.google.com/search?q=BPSC+weekly+revision+notes+pdf+Drishti+IAS+Vision+IAS" TargetMode="External"/><Relationship Id="rId1437" Type="http://schemas.openxmlformats.org/officeDocument/2006/relationships/hyperlink" Target="https://www.google.com/search?q=weekly+current+affairs+revision+%28site%3Adrishtiias.com+OR+site%3Avisionias.in+OR+site%3Apib.gov.in%29" TargetMode="External"/><Relationship Id="rId1438" Type="http://schemas.openxmlformats.org/officeDocument/2006/relationships/hyperlink" Target="https://www.youtube.com/results?search_query=BPSC+prelims+mock+test+analysis+strategy+Drishti+IAS" TargetMode="External"/><Relationship Id="rId1439" Type="http://schemas.openxmlformats.org/officeDocument/2006/relationships/hyperlink" Target="https://www.youtube.com/results?search_query=BPSC+Wallah+BPSC+prelims+test+series+discussion" TargetMode="External"/><Relationship Id="rId1440" Type="http://schemas.openxmlformats.org/officeDocument/2006/relationships/hyperlink" Target="https://www.youtube.com/results?search_query=BPSC+Wallah+BPSC+revision+strategy" TargetMode="External"/><Relationship Id="rId1441" Type="http://schemas.openxmlformats.org/officeDocument/2006/relationships/hyperlink" Target="https://www.google.com/search?q=Universe%2C+Solar+System+%26+Earth+notes+pdf+Drishti+IAS+Vision+IAS+BPSC+Wallah" TargetMode="External"/><Relationship Id="rId1442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1443" Type="http://schemas.openxmlformats.org/officeDocument/2006/relationships/hyperlink" Target="https://www.youtube.com/results?search_query=Universe%2C+Solar+System+%26+Earth+Drishti+IAS+BPSC" TargetMode="External"/><Relationship Id="rId1444" Type="http://schemas.openxmlformats.org/officeDocument/2006/relationships/hyperlink" Target="https://www.youtube.com/results?search_query=Universe%2C+Solar+System+%26+Earth+BPSC+Wallah" TargetMode="External"/><Relationship Id="rId1445" Type="http://schemas.openxmlformats.org/officeDocument/2006/relationships/hyperlink" Target="https://www.youtube.com/results?search_query=Maths+III%3A+Time-Work%2C+Time-Speed-Distance+%26+Interest+BPSC+Wallah" TargetMode="External"/><Relationship Id="rId1446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1447" Type="http://schemas.openxmlformats.org/officeDocument/2006/relationships/hyperlink" Target="https://www.google.com/search?q=Geomorphology%3A+Earth%27s+Interior%2C+Rocks+%26+Landforms+notes+pdf+Drishti+IAS+Vision+IAS+BPSC+Wallah" TargetMode="External"/><Relationship Id="rId1448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1449" Type="http://schemas.openxmlformats.org/officeDocument/2006/relationships/hyperlink" Target="https://www.youtube.com/results?search_query=Geomorphology%3A+Earth%27s+Interior%2C+Rocks+%26+Landforms+Drishti+IAS+BPSC" TargetMode="External"/><Relationship Id="rId1450" Type="http://schemas.openxmlformats.org/officeDocument/2006/relationships/hyperlink" Target="https://www.youtube.com/results?search_query=Geomorphology%3A+Earth%27s+Interior%2C+Rocks+%26+Landforms+BPSC+Wallah" TargetMode="External"/><Relationship Id="rId1451" Type="http://schemas.openxmlformats.org/officeDocument/2006/relationships/hyperlink" Target="https://www.youtube.com/results?search_query=Maths+III%3A+Time-Work%2C+Time-Speed-Distance+%26+Interest+BPSC+Wallah" TargetMode="External"/><Relationship Id="rId1452" Type="http://schemas.openxmlformats.org/officeDocument/2006/relationships/hyperlink" Target="https://www.google.com/search?q=&#2349;&#2370;-&#2310;&#2325;&#2371;&#2340;&#2367;+&#2357;&#2367;&#2332;&#2381;&#2334;&#2366;&#2344;%3A+&#2346;&#2371;&#2341;&#2381;&#2357;&#2368;+&#2325;&#2366;+&#2310;&#2306;&#2340;&#2352;&#2367;&#2325;+&#2349;&#2366;&#2327;%2C+&#2330;&#2335;&#2381;&#2335;&#2366;&#2344;&#2375;&#2306;+&#2319;&#2357;&#2306;+&#2360;&#2381;&#2341;&#2354;&#2352;&#2370;&#2346;+%28site%3Adrishtiias.com+OR+site%3Avisionias.in+OR+site%3Ancert.nic.in+OR+site%3Ajagranjosh.com+OR+site%3Agktoday.in%29" TargetMode="External"/><Relationship Id="rId1453" Type="http://schemas.openxmlformats.org/officeDocument/2006/relationships/hyperlink" Target="https://www.google.com/search?q=Geomorphology%3A+Earth%27s+Interior%2C+Rocks+%26+Landforms+notes+pdf+Drishti+IAS+Vision+IAS+BPSC+Wallah" TargetMode="External"/><Relationship Id="rId1454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1455" Type="http://schemas.openxmlformats.org/officeDocument/2006/relationships/hyperlink" Target="https://www.youtube.com/results?search_query=Geomorphology%3A+Earth%27s+Interior%2C+Rocks+%26+Landforms+Drishti+IAS+BPSC" TargetMode="External"/><Relationship Id="rId1456" Type="http://schemas.openxmlformats.org/officeDocument/2006/relationships/hyperlink" Target="https://www.youtube.com/results?search_query=Geomorphology%3A+Earth%27s+Interior%2C+Rocks+%26+Landforms+BPSC+Wallah" TargetMode="External"/><Relationship Id="rId1457" Type="http://schemas.openxmlformats.org/officeDocument/2006/relationships/hyperlink" Target="https://www.youtube.com/results?search_query=Maths+IV%3A+Algebra%2C+Geometry%2C+Mensuration+%26+Trigonometry+BPSC+Wallah" TargetMode="External"/><Relationship Id="rId1458" Type="http://schemas.openxmlformats.org/officeDocument/2006/relationships/hyperlink" Target="https://www.google.com/search?q=&#2349;&#2370;-&#2310;&#2325;&#2371;&#2340;&#2367;+&#2357;&#2367;&#2332;&#2381;&#2334;&#2366;&#2344;%3A+&#2346;&#2371;&#2341;&#2381;&#2357;&#2368;+&#2325;&#2366;+&#2310;&#2306;&#2340;&#2352;&#2367;&#2325;+&#2349;&#2366;&#2327;%2C+&#2330;&#2335;&#2381;&#2335;&#2366;&#2344;&#2375;&#2306;+&#2319;&#2357;&#2306;+&#2360;&#2381;&#2341;&#2354;&#2352;&#2370;&#2346;+%28site%3Adrishtiias.com+OR+site%3Avisionias.in+OR+site%3Ancert.nic.in+OR+site%3Ajagranjosh.com+OR+site%3Agktoday.in%29" TargetMode="External"/><Relationship Id="rId1459" Type="http://schemas.openxmlformats.org/officeDocument/2006/relationships/hyperlink" Target="https://www.google.com/search?q=Geomorphology%3A+Earth%27s+Interior%2C+Rocks+%26+Landforms+notes+pdf+Drishti+IAS+Vision+IAS+BPSC+Wallah" TargetMode="External"/><Relationship Id="rId1460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1461" Type="http://schemas.openxmlformats.org/officeDocument/2006/relationships/hyperlink" Target="https://www.youtube.com/results?search_query=Geomorphology%3A+Earth%27s+Interior%2C+Rocks+%26+Landforms+Drishti+IAS+BPSC" TargetMode="External"/><Relationship Id="rId1462" Type="http://schemas.openxmlformats.org/officeDocument/2006/relationships/hyperlink" Target="https://www.youtube.com/results?search_query=Geomorphology%3A+Earth%27s+Interior%2C+Rocks+%26+Landforms+BPSC+Wallah" TargetMode="External"/><Relationship Id="rId1463" Type="http://schemas.openxmlformats.org/officeDocument/2006/relationships/hyperlink" Target="https://www.youtube.com/results?search_query=Maths+IV%3A+Algebra%2C+Geometry%2C+Mensuration+%26+Trigonometry+BPSC+Wallah" TargetMode="External"/><Relationship Id="rId1464" Type="http://schemas.openxmlformats.org/officeDocument/2006/relationships/hyperlink" Target="https://www.google.com/search?q=&#2349;&#2370;-&#2310;&#2325;&#2371;&#2340;&#2367;+&#2357;&#2367;&#2332;&#2381;&#2334;&#2366;&#2344;%3A+&#2346;&#2371;&#2341;&#2381;&#2357;&#2368;+&#2325;&#2366;+&#2310;&#2306;&#2340;&#2352;&#2367;&#2325;+&#2349;&#2366;&#2327;%2C+&#2330;&#2335;&#2381;&#2335;&#2366;&#2344;&#2375;&#2306;+&#2319;&#2357;&#2306;+&#2360;&#2381;&#2341;&#2354;&#2352;&#2370;&#2346;+%28site%3Adrishtiias.com+OR+site%3Avisionias.in+OR+site%3Ancert.nic.in+OR+site%3Ajagranjosh.com+OR+site%3Agktoday.in%29" TargetMode="External"/><Relationship Id="rId1465" Type="http://schemas.openxmlformats.org/officeDocument/2006/relationships/hyperlink" Target="https://www.google.com/search?q=Climatology%3A+Atmosphere%2C+Winds+%26+Climate+notes+pdf+Drishti+IAS+Vision+IAS+BPSC+Wallah" TargetMode="External"/><Relationship Id="rId1466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1467" Type="http://schemas.openxmlformats.org/officeDocument/2006/relationships/hyperlink" Target="https://www.youtube.com/results?search_query=Climatology%3A+Atmosphere%2C+Winds+%26+Climate+Drishti+IAS+BPSC" TargetMode="External"/><Relationship Id="rId1468" Type="http://schemas.openxmlformats.org/officeDocument/2006/relationships/hyperlink" Target="https://www.youtube.com/results?search_query=Climatology%3A+Atmosphere%2C+Winds+%26+Climate+BPSC+Wallah" TargetMode="External"/><Relationship Id="rId1469" Type="http://schemas.openxmlformats.org/officeDocument/2006/relationships/hyperlink" Target="https://www.youtube.com/results?search_query=Maths+IV%3A+Algebra%2C+Geometry%2C+Mensuration+%26+Trigonometry+BPSC+Wallah" TargetMode="External"/><Relationship Id="rId1470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1471" Type="http://schemas.openxmlformats.org/officeDocument/2006/relationships/hyperlink" Target="https://www.google.com/search?q=Climatology%3A+Atmosphere%2C+Winds+%26+Climate+notes+pdf+Drishti+IAS+Vision+IAS+BPSC+Wallah" TargetMode="External"/><Relationship Id="rId1472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1473" Type="http://schemas.openxmlformats.org/officeDocument/2006/relationships/hyperlink" Target="https://www.youtube.com/results?search_query=Climatology%3A+Atmosphere%2C+Winds+%26+Climate+Drishti+IAS+BPSC" TargetMode="External"/><Relationship Id="rId1474" Type="http://schemas.openxmlformats.org/officeDocument/2006/relationships/hyperlink" Target="https://www.youtube.com/results?search_query=Climatology%3A+Atmosphere%2C+Winds+%26+Climate+BPSC+Wallah" TargetMode="External"/><Relationship Id="rId1475" Type="http://schemas.openxmlformats.org/officeDocument/2006/relationships/hyperlink" Target="https://www.youtube.com/results?search_query=Maths+IV%3A+Algebra%2C+Geometry%2C+Mensuration+%26+Trigonometry+BPSC+Wallah" TargetMode="External"/><Relationship Id="rId1476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1477" Type="http://schemas.openxmlformats.org/officeDocument/2006/relationships/hyperlink" Target="https://www.google.com/search?q=BPSC+weekly+revision+notes+pdf+Drishti+IAS+Vision+IAS" TargetMode="External"/><Relationship Id="rId1478" Type="http://schemas.openxmlformats.org/officeDocument/2006/relationships/hyperlink" Target="https://www.google.com/search?q=weekly+current+affairs+revision+%28site%3Adrishtiias.com+OR+site%3Avisionias.in+OR+site%3Apib.gov.in%29" TargetMode="External"/><Relationship Id="rId1479" Type="http://schemas.openxmlformats.org/officeDocument/2006/relationships/hyperlink" Target="https://www.youtube.com/results?search_query=BPSC+prelims+mock+test+analysis+strategy+Drishti+IAS" TargetMode="External"/><Relationship Id="rId1480" Type="http://schemas.openxmlformats.org/officeDocument/2006/relationships/hyperlink" Target="https://www.youtube.com/results?search_query=BPSC+Wallah+BPSC+prelims+test+series+discussion" TargetMode="External"/><Relationship Id="rId1481" Type="http://schemas.openxmlformats.org/officeDocument/2006/relationships/hyperlink" Target="https://www.youtube.com/results?search_query=BPSC+Wallah+BPSC+revision+strategy" TargetMode="External"/><Relationship Id="rId1482" Type="http://schemas.openxmlformats.org/officeDocument/2006/relationships/hyperlink" Target="https://www.google.com/search?q=Climatology%3A+Atmosphere%2C+Winds+%26+Climate+notes+pdf+Drishti+IAS+Vision+IAS+BPSC+Wallah" TargetMode="External"/><Relationship Id="rId1483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1484" Type="http://schemas.openxmlformats.org/officeDocument/2006/relationships/hyperlink" Target="https://www.youtube.com/results?search_query=Climatology%3A+Atmosphere%2C+Winds+%26+Climate+Drishti+IAS+BPSC" TargetMode="External"/><Relationship Id="rId1485" Type="http://schemas.openxmlformats.org/officeDocument/2006/relationships/hyperlink" Target="https://www.youtube.com/results?search_query=Climatology%3A+Atmosphere%2C+Winds+%26+Climate+BPSC+Wallah" TargetMode="External"/><Relationship Id="rId1486" Type="http://schemas.openxmlformats.org/officeDocument/2006/relationships/hyperlink" Target="https://www.youtube.com/results?search_query=Maths+IV%3A+Algebra%2C+Geometry%2C+Mensuration+%26+Trigonometry+BPSC+Wallah" TargetMode="External"/><Relationship Id="rId1487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1488" Type="http://schemas.openxmlformats.org/officeDocument/2006/relationships/hyperlink" Target="https://www.google.com/search?q=Climatology%3A+Atmosphere%2C+Winds+%26+Climate+notes+pdf+Drishti+IAS+Vision+IAS+BPSC+Wallah" TargetMode="External"/><Relationship Id="rId1489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1490" Type="http://schemas.openxmlformats.org/officeDocument/2006/relationships/hyperlink" Target="https://www.youtube.com/results?search_query=Climatology%3A+Atmosphere%2C+Winds+%26+Climate+Drishti+IAS+BPSC" TargetMode="External"/><Relationship Id="rId1491" Type="http://schemas.openxmlformats.org/officeDocument/2006/relationships/hyperlink" Target="https://www.youtube.com/results?search_query=Climatology%3A+Atmosphere%2C+Winds+%26+Climate+BPSC+Wallah" TargetMode="External"/><Relationship Id="rId1492" Type="http://schemas.openxmlformats.org/officeDocument/2006/relationships/hyperlink" Target="https://www.youtube.com/results?search_query=Maths+IV%3A+Algebra%2C+Geometry%2C+Mensuration+%26+Trigonometry+BPSC+Wallah" TargetMode="External"/><Relationship Id="rId1493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1494" Type="http://schemas.openxmlformats.org/officeDocument/2006/relationships/hyperlink" Target="https://www.google.com/search?q=Oceanography+notes+pdf+Drishti+IAS+Vision+IAS+BPSC+Wallah" TargetMode="External"/><Relationship Id="rId1495" Type="http://schemas.openxmlformats.org/officeDocument/2006/relationships/hyperlink" Target="https://www.google.com/search?q=Oceanography+%28site%3Adrishtiias.com+OR+site%3Avisionias.in+OR+site%3Ancert.nic.in%29" TargetMode="External"/><Relationship Id="rId1496" Type="http://schemas.openxmlformats.org/officeDocument/2006/relationships/hyperlink" Target="https://www.youtube.com/results?search_query=Oceanography+Drishti+IAS+BPSC" TargetMode="External"/><Relationship Id="rId1497" Type="http://schemas.openxmlformats.org/officeDocument/2006/relationships/hyperlink" Target="https://www.youtube.com/results?search_query=Oceanography+BPSC+Wallah" TargetMode="External"/><Relationship Id="rId1498" Type="http://schemas.openxmlformats.org/officeDocument/2006/relationships/hyperlink" Target="https://www.youtube.com/results?search_query=Maths+V%3A+Data+Interpretation+%26+Statistics+BPSC+Wallah" TargetMode="External"/><Relationship Id="rId1499" Type="http://schemas.openxmlformats.org/officeDocument/2006/relationships/hyperlink" Target="https://www.google.com/search?q=&#2360;&#2350;&#2369;&#2342;&#2381;&#2352;+&#2357;&#2367;&#2332;&#2381;&#2334;&#2366;&#2344;+%28site%3Adrishtiias.com+OR+site%3Avisionias.in+OR+site%3Ancert.nic.in+OR+site%3Ajagranjosh.com+OR+site%3Agktoday.in%29" TargetMode="External"/><Relationship Id="rId1500" Type="http://schemas.openxmlformats.org/officeDocument/2006/relationships/hyperlink" Target="https://www.google.com/search?q=Oceanography+notes+pdf+Drishti+IAS+Vision+IAS+BPSC+Wallah" TargetMode="External"/><Relationship Id="rId1501" Type="http://schemas.openxmlformats.org/officeDocument/2006/relationships/hyperlink" Target="https://www.google.com/search?q=Oceanography+%28site%3Adrishtiias.com+OR+site%3Avisionias.in+OR+site%3Ancert.nic.in%29" TargetMode="External"/><Relationship Id="rId1502" Type="http://schemas.openxmlformats.org/officeDocument/2006/relationships/hyperlink" Target="https://www.youtube.com/results?search_query=Oceanography+Drishti+IAS+BPSC" TargetMode="External"/><Relationship Id="rId1503" Type="http://schemas.openxmlformats.org/officeDocument/2006/relationships/hyperlink" Target="https://www.youtube.com/results?search_query=Oceanography+BPSC+Wallah" TargetMode="External"/><Relationship Id="rId1504" Type="http://schemas.openxmlformats.org/officeDocument/2006/relationships/hyperlink" Target="https://www.youtube.com/results?search_query=Maths+V%3A+Data+Interpretation+%26+Statistics+BPSC+Wallah" TargetMode="External"/><Relationship Id="rId1505" Type="http://schemas.openxmlformats.org/officeDocument/2006/relationships/hyperlink" Target="https://www.google.com/search?q=&#2360;&#2350;&#2369;&#2342;&#2381;&#2352;+&#2357;&#2367;&#2332;&#2381;&#2334;&#2366;&#2344;+%28site%3Adrishtiias.com+OR+site%3Avisionias.in+OR+site%3Ancert.nic.in+OR+site%3Ajagranjosh.com+OR+site%3Agktoday.in%29" TargetMode="External"/><Relationship Id="rId1506" Type="http://schemas.openxmlformats.org/officeDocument/2006/relationships/hyperlink" Target="https://www.google.com/search?q=Indian+Physiography+notes+pdf+Drishti+IAS+Vision+IAS+BPSC+Wallah" TargetMode="External"/><Relationship Id="rId1507" Type="http://schemas.openxmlformats.org/officeDocument/2006/relationships/hyperlink" Target="https://www.google.com/search?q=Indian+Physiography+%28site%3Adrishtiias.com+OR+site%3Avisionias.in+OR+site%3Ancert.nic.in%29" TargetMode="External"/><Relationship Id="rId1508" Type="http://schemas.openxmlformats.org/officeDocument/2006/relationships/hyperlink" Target="https://www.youtube.com/results?search_query=Indian+Physiography+Drishti+IAS+BPSC" TargetMode="External"/><Relationship Id="rId1509" Type="http://schemas.openxmlformats.org/officeDocument/2006/relationships/hyperlink" Target="https://www.youtube.com/results?search_query=Indian+Physiography+BPSC+Wallah" TargetMode="External"/><Relationship Id="rId1510" Type="http://schemas.openxmlformats.org/officeDocument/2006/relationships/hyperlink" Target="https://www.youtube.com/results?search_query=Maths+V%3A+Data+Interpretation+%26+Statistics+BPSC+Wallah" TargetMode="External"/><Relationship Id="rId1511" Type="http://schemas.openxmlformats.org/officeDocument/2006/relationships/hyperlink" Target="https://www.google.com/search?q=&#2349;&#2366;&#2352;&#2340;+&#2325;&#2366;+&#2349;&#2380;&#2340;&#2367;&#2325;+&#2360;&#2381;&#2357;&#2352;&#2370;&#2346;+%28site%3Adrishtiias.com+OR+site%3Avisionias.in+OR+site%3Ancert.nic.in+OR+site%3Ajagranjosh.com+OR+site%3Agktoday.in%29" TargetMode="External"/><Relationship Id="rId1512" Type="http://schemas.openxmlformats.org/officeDocument/2006/relationships/hyperlink" Target="https://www.google.com/search?q=Indian+Physiography+notes+pdf+Drishti+IAS+Vision+IAS+BPSC+Wallah" TargetMode="External"/><Relationship Id="rId1513" Type="http://schemas.openxmlformats.org/officeDocument/2006/relationships/hyperlink" Target="https://www.google.com/search?q=Indian+Physiography+%28site%3Adrishtiias.com+OR+site%3Avisionias.in+OR+site%3Ancert.nic.in%29" TargetMode="External"/><Relationship Id="rId1514" Type="http://schemas.openxmlformats.org/officeDocument/2006/relationships/hyperlink" Target="https://www.youtube.com/results?search_query=Indian+Physiography+Drishti+IAS+BPSC" TargetMode="External"/><Relationship Id="rId1515" Type="http://schemas.openxmlformats.org/officeDocument/2006/relationships/hyperlink" Target="https://www.youtube.com/results?search_query=Indian+Physiography+BPSC+Wallah" TargetMode="External"/><Relationship Id="rId1516" Type="http://schemas.openxmlformats.org/officeDocument/2006/relationships/hyperlink" Target="https://www.youtube.com/results?search_query=Maths+V%3A+Data+Interpretation+%26+Statistics+BPSC+Wallah" TargetMode="External"/><Relationship Id="rId1517" Type="http://schemas.openxmlformats.org/officeDocument/2006/relationships/hyperlink" Target="https://www.google.com/search?q=&#2349;&#2366;&#2352;&#2340;+&#2325;&#2366;+&#2349;&#2380;&#2340;&#2367;&#2325;+&#2360;&#2381;&#2357;&#2352;&#2370;&#2346;+%28site%3Adrishtiias.com+OR+site%3Avisionias.in+OR+site%3Ancert.nic.in+OR+site%3Ajagranjosh.com+OR+site%3Agktoday.in%29" TargetMode="External"/><Relationship Id="rId1518" Type="http://schemas.openxmlformats.org/officeDocument/2006/relationships/hyperlink" Target="https://www.google.com/search?q=BPSC+weekly+revision+notes+pdf+Drishti+IAS+Vision+IAS" TargetMode="External"/><Relationship Id="rId1519" Type="http://schemas.openxmlformats.org/officeDocument/2006/relationships/hyperlink" Target="https://www.google.com/search?q=weekly+current+affairs+revision+%28site%3Adrishtiias.com+OR+site%3Avisionias.in+OR+site%3Apib.gov.in%29" TargetMode="External"/><Relationship Id="rId1520" Type="http://schemas.openxmlformats.org/officeDocument/2006/relationships/hyperlink" Target="https://www.youtube.com/results?search_query=BPSC+prelims+mock+test+analysis+strategy+Drishti+IAS" TargetMode="External"/><Relationship Id="rId1521" Type="http://schemas.openxmlformats.org/officeDocument/2006/relationships/hyperlink" Target="https://www.youtube.com/results?search_query=BPSC+Wallah+BPSC+prelims+test+series+discussion" TargetMode="External"/><Relationship Id="rId1522" Type="http://schemas.openxmlformats.org/officeDocument/2006/relationships/hyperlink" Target="https://www.youtube.com/results?search_query=BPSC+Wallah+BPSC+revision+strategy" TargetMode="External"/><Relationship Id="rId1523" Type="http://schemas.openxmlformats.org/officeDocument/2006/relationships/hyperlink" Target="https://www.google.com/search?q=Indian+Physiography+notes+pdf+Drishti+IAS+Vision+IAS+BPSC+Wallah" TargetMode="External"/><Relationship Id="rId1524" Type="http://schemas.openxmlformats.org/officeDocument/2006/relationships/hyperlink" Target="https://www.google.com/search?q=Indian+Physiography+%28site%3Adrishtiias.com+OR+site%3Avisionias.in+OR+site%3Ancert.nic.in%29" TargetMode="External"/><Relationship Id="rId1525" Type="http://schemas.openxmlformats.org/officeDocument/2006/relationships/hyperlink" Target="https://www.youtube.com/results?search_query=Indian+Physiography+Drishti+IAS+BPSC" TargetMode="External"/><Relationship Id="rId1526" Type="http://schemas.openxmlformats.org/officeDocument/2006/relationships/hyperlink" Target="https://www.youtube.com/results?search_query=Indian+Physiography+BPSC+Wallah" TargetMode="External"/><Relationship Id="rId1527" Type="http://schemas.openxmlformats.org/officeDocument/2006/relationships/hyperlink" Target="https://www.youtube.com/results?search_query=Reasoning+I%3A+Series%2C+Coding-Decoding+%26+Analogy+BPSC+Wallah" TargetMode="External"/><Relationship Id="rId1528" Type="http://schemas.openxmlformats.org/officeDocument/2006/relationships/hyperlink" Target="https://www.google.com/search?q=&#2349;&#2366;&#2352;&#2340;+&#2325;&#2366;+&#2349;&#2380;&#2340;&#2367;&#2325;+&#2360;&#2381;&#2357;&#2352;&#2370;&#2346;+%28site%3Adrishtiias.com+OR+site%3Avisionias.in+OR+site%3Ancert.nic.in+OR+site%3Ajagranjosh.com+OR+site%3Agktoday.in%29" TargetMode="External"/><Relationship Id="rId1529" Type="http://schemas.openxmlformats.org/officeDocument/2006/relationships/hyperlink" Target="https://www.google.com/search?q=Indian+Drainage+System+notes+pdf+Drishti+IAS+Vision+IAS+BPSC+Wallah" TargetMode="External"/><Relationship Id="rId1530" Type="http://schemas.openxmlformats.org/officeDocument/2006/relationships/hyperlink" Target="https://www.google.com/search?q=Indian+Drainage+System+%28site%3Adrishtiias.com+OR+site%3Avisionias.in+OR+site%3Ancert.nic.in%29" TargetMode="External"/><Relationship Id="rId1531" Type="http://schemas.openxmlformats.org/officeDocument/2006/relationships/hyperlink" Target="https://www.youtube.com/results?search_query=Indian+Drainage+System+Drishti+IAS+BPSC" TargetMode="External"/><Relationship Id="rId1532" Type="http://schemas.openxmlformats.org/officeDocument/2006/relationships/hyperlink" Target="https://www.youtube.com/results?search_query=Indian+Drainage+System+BPSC+Wallah" TargetMode="External"/><Relationship Id="rId1533" Type="http://schemas.openxmlformats.org/officeDocument/2006/relationships/hyperlink" Target="https://www.youtube.com/results?search_query=Reasoning+I%3A+Series%2C+Coding-Decoding+%26+Analogy+BPSC+Wallah" TargetMode="External"/><Relationship Id="rId1534" Type="http://schemas.openxmlformats.org/officeDocument/2006/relationships/hyperlink" Target="https://www.google.com/search?q=&#2349;&#2366;&#2352;&#2340;&#2368;&#2351;+&#2309;&#2346;&#2357;&#2366;&#2361;+&#2340;&#2306;&#2340;&#2381;&#2352;+%28site%3Adrishtiias.com+OR+site%3Avisionias.in+OR+site%3Ancert.nic.in+OR+site%3Ajagranjosh.com+OR+site%3Agktoday.in%29" TargetMode="External"/><Relationship Id="rId1535" Type="http://schemas.openxmlformats.org/officeDocument/2006/relationships/hyperlink" Target="https://www.google.com/search?q=Indian+Drainage+System+notes+pdf+Drishti+IAS+Vision+IAS+BPSC+Wallah" TargetMode="External"/><Relationship Id="rId1536" Type="http://schemas.openxmlformats.org/officeDocument/2006/relationships/hyperlink" Target="https://www.google.com/search?q=Indian+Drainage+System+%28site%3Adrishtiias.com+OR+site%3Avisionias.in+OR+site%3Ancert.nic.in%29" TargetMode="External"/><Relationship Id="rId1537" Type="http://schemas.openxmlformats.org/officeDocument/2006/relationships/hyperlink" Target="https://www.youtube.com/results?search_query=Indian+Drainage+System+Drishti+IAS+BPSC" TargetMode="External"/><Relationship Id="rId1538" Type="http://schemas.openxmlformats.org/officeDocument/2006/relationships/hyperlink" Target="https://www.youtube.com/results?search_query=Indian+Drainage+System+BPSC+Wallah" TargetMode="External"/><Relationship Id="rId1539" Type="http://schemas.openxmlformats.org/officeDocument/2006/relationships/hyperlink" Target="https://www.youtube.com/results?search_query=Reasoning+I%3A+Series%2C+Coding-Decoding+%26+Analogy+BPSC+Wallah" TargetMode="External"/><Relationship Id="rId1540" Type="http://schemas.openxmlformats.org/officeDocument/2006/relationships/hyperlink" Target="https://www.google.com/search?q=&#2349;&#2366;&#2352;&#2340;&#2368;&#2351;+&#2309;&#2346;&#2357;&#2366;&#2361;+&#2340;&#2306;&#2340;&#2381;&#2352;+%28site%3Adrishtiias.com+OR+site%3Avisionias.in+OR+site%3Ancert.nic.in+OR+site%3Ajagranjosh.com+OR+site%3Agktoday.in%29" TargetMode="External"/><Relationship Id="rId1541" Type="http://schemas.openxmlformats.org/officeDocument/2006/relationships/hyperlink" Target="https://www.google.com/search?q=Indian+Drainage+System+notes+pdf+Drishti+IAS+Vision+IAS+BPSC+Wallah" TargetMode="External"/><Relationship Id="rId1542" Type="http://schemas.openxmlformats.org/officeDocument/2006/relationships/hyperlink" Target="https://www.google.com/search?q=Indian+Drainage+System+%28site%3Adrishtiias.com+OR+site%3Avisionias.in+OR+site%3Ancert.nic.in%29" TargetMode="External"/><Relationship Id="rId1543" Type="http://schemas.openxmlformats.org/officeDocument/2006/relationships/hyperlink" Target="https://www.youtube.com/results?search_query=Indian+Drainage+System+Drishti+IAS+BPSC" TargetMode="External"/><Relationship Id="rId1544" Type="http://schemas.openxmlformats.org/officeDocument/2006/relationships/hyperlink" Target="https://www.youtube.com/results?search_query=Indian+Drainage+System+BPSC+Wallah" TargetMode="External"/><Relationship Id="rId1545" Type="http://schemas.openxmlformats.org/officeDocument/2006/relationships/hyperlink" Target="https://www.youtube.com/results?search_query=Reasoning+I%3A+Series%2C+Coding-Decoding+%26+Analogy+BPSC+Wallah" TargetMode="External"/><Relationship Id="rId1546" Type="http://schemas.openxmlformats.org/officeDocument/2006/relationships/hyperlink" Target="https://www.google.com/search?q=&#2349;&#2366;&#2352;&#2340;&#2368;&#2351;+&#2309;&#2346;&#2357;&#2366;&#2361;+&#2340;&#2306;&#2340;&#2381;&#2352;+%28site%3Adrishtiias.com+OR+site%3Avisionias.in+OR+site%3Ancert.nic.in+OR+site%3Ajagranjosh.com+OR+site%3Agktoday.in%29" TargetMode="External"/><Relationship Id="rId1547" Type="http://schemas.openxmlformats.org/officeDocument/2006/relationships/hyperlink" Target="https://www.google.com/search?q=Indian+Climate%2C+Monsoon%2C+Soils+%26+Vegetation+notes+pdf+Drishti+IAS+Vision+IAS+BPSC+Wallah" TargetMode="External"/><Relationship Id="rId1548" Type="http://schemas.openxmlformats.org/officeDocument/2006/relationships/hyperlink" Target="https://www.google.com/search?q=Indian+Climate%2C+Monsoon%2C+Soils+%26+Vegetation+%28site%3Adrishtiias.com+OR+site%3Avisionias.in+OR+site%3Ancert.nic.in%29" TargetMode="External"/><Relationship Id="rId1549" Type="http://schemas.openxmlformats.org/officeDocument/2006/relationships/hyperlink" Target="https://www.youtube.com/results?search_query=Indian+Climate%2C+Monsoon%2C+Soils+%26+Vegetation+Drishti+IAS+BPSC" TargetMode="External"/><Relationship Id="rId1550" Type="http://schemas.openxmlformats.org/officeDocument/2006/relationships/hyperlink" Target="https://www.youtube.com/results?search_query=Indian+Climate%2C+Monsoon%2C+Soils+%26+Vegetation+BPSC+Wallah" TargetMode="External"/><Relationship Id="rId1551" Type="http://schemas.openxmlformats.org/officeDocument/2006/relationships/hyperlink" Target="https://www.youtube.com/results?search_query=Reasoning+II%3A+Direction%2C+Blood+Relation%2C+Syllogism+%26+Puzzles+BPSC+Wallah" TargetMode="External"/><Relationship Id="rId1552" Type="http://schemas.openxmlformats.org/officeDocument/2006/relationships/hyperlink" Target="https://www.google.com/search?q=&#2349;&#2366;&#2352;&#2340;+&#2325;&#2368;+&#2332;&#2354;&#2357;&#2366;&#2351;&#2369;%2C+&#2350;&#2366;&#2344;&#2360;&#2370;&#2344;%2C+&#2350;&#2371;&#2342;&#2366;+&#2319;&#2357;&#2306;+&#2357;&#2344;&#2360;&#2381;&#2346;&#2340;&#2367;+%28site%3Adrishtiias.com+OR+site%3Avisionias.in+OR+site%3Ancert.nic.in+OR+site%3Ajagranjosh.com+OR+site%3Agktoday.in%29" TargetMode="External"/><Relationship Id="rId1553" Type="http://schemas.openxmlformats.org/officeDocument/2006/relationships/hyperlink" Target="https://www.google.com/search?q=Indian+Climate%2C+Monsoon%2C+Soils+%26+Vegetation+notes+pdf+Drishti+IAS+Vision+IAS+BPSC+Wallah" TargetMode="External"/><Relationship Id="rId1554" Type="http://schemas.openxmlformats.org/officeDocument/2006/relationships/hyperlink" Target="https://www.google.com/search?q=Indian+Climate%2C+Monsoon%2C+Soils+%26+Vegetation+%28site%3Adrishtiias.com+OR+site%3Avisionias.in+OR+site%3Ancert.nic.in%29" TargetMode="External"/><Relationship Id="rId1555" Type="http://schemas.openxmlformats.org/officeDocument/2006/relationships/hyperlink" Target="https://www.youtube.com/results?search_query=Indian+Climate%2C+Monsoon%2C+Soils+%26+Vegetation+Drishti+IAS+BPSC" TargetMode="External"/><Relationship Id="rId1556" Type="http://schemas.openxmlformats.org/officeDocument/2006/relationships/hyperlink" Target="https://www.youtube.com/results?search_query=Indian+Climate%2C+Monsoon%2C+Soils+%26+Vegetation+BPSC+Wallah" TargetMode="External"/><Relationship Id="rId1557" Type="http://schemas.openxmlformats.org/officeDocument/2006/relationships/hyperlink" Target="https://www.youtube.com/results?search_query=Reasoning+II%3A+Direction%2C+Blood+Relation%2C+Syllogism+%26+Puzzles+BPSC+Wallah" TargetMode="External"/><Relationship Id="rId1558" Type="http://schemas.openxmlformats.org/officeDocument/2006/relationships/hyperlink" Target="https://www.google.com/search?q=&#2349;&#2366;&#2352;&#2340;+&#2325;&#2368;+&#2332;&#2354;&#2357;&#2366;&#2351;&#2369;%2C+&#2350;&#2366;&#2344;&#2360;&#2370;&#2344;%2C+&#2350;&#2371;&#2342;&#2366;+&#2319;&#2357;&#2306;+&#2357;&#2344;&#2360;&#2381;&#2346;&#2340;&#2367;+%28site%3Adrishtiias.com+OR+site%3Avisionias.in+OR+site%3Ancert.nic.in+OR+site%3Ajagranjosh.com+OR+site%3Agktoday.in%29" TargetMode="External"/><Relationship Id="rId1559" Type="http://schemas.openxmlformats.org/officeDocument/2006/relationships/hyperlink" Target="https://www.google.com/search?q=BPSC+weekly+revision+notes+pdf+Drishti+IAS+Vision+IAS" TargetMode="External"/><Relationship Id="rId1560" Type="http://schemas.openxmlformats.org/officeDocument/2006/relationships/hyperlink" Target="https://www.google.com/search?q=weekly+current+affairs+revision+%28site%3Adrishtiias.com+OR+site%3Avisionias.in+OR+site%3Apib.gov.in%29" TargetMode="External"/><Relationship Id="rId1561" Type="http://schemas.openxmlformats.org/officeDocument/2006/relationships/hyperlink" Target="https://www.youtube.com/results?search_query=BPSC+prelims+mock+test+analysis+strategy+Drishti+IAS" TargetMode="External"/><Relationship Id="rId1562" Type="http://schemas.openxmlformats.org/officeDocument/2006/relationships/hyperlink" Target="https://www.youtube.com/results?search_query=BPSC+Wallah+BPSC+prelims+test+series+discussion" TargetMode="External"/><Relationship Id="rId1563" Type="http://schemas.openxmlformats.org/officeDocument/2006/relationships/hyperlink" Target="https://www.youtube.com/results?search_query=BPSC+Wallah+BPSC+revision+strategy" TargetMode="External"/><Relationship Id="rId1564" Type="http://schemas.openxmlformats.org/officeDocument/2006/relationships/hyperlink" Target="https://www.google.com/search?q=Indian+Climate%2C+Monsoon%2C+Soils+%26+Vegetation+notes+pdf+Drishti+IAS+Vision+IAS+BPSC+Wallah" TargetMode="External"/><Relationship Id="rId1565" Type="http://schemas.openxmlformats.org/officeDocument/2006/relationships/hyperlink" Target="https://www.google.com/search?q=Indian+Climate%2C+Monsoon%2C+Soils+%26+Vegetation+%28site%3Adrishtiias.com+OR+site%3Avisionias.in+OR+site%3Ancert.nic.in%29" TargetMode="External"/><Relationship Id="rId1566" Type="http://schemas.openxmlformats.org/officeDocument/2006/relationships/hyperlink" Target="https://www.youtube.com/results?search_query=Indian+Climate%2C+Monsoon%2C+Soils+%26+Vegetation+Drishti+IAS+BPSC" TargetMode="External"/><Relationship Id="rId1567" Type="http://schemas.openxmlformats.org/officeDocument/2006/relationships/hyperlink" Target="https://www.youtube.com/results?search_query=Indian+Climate%2C+Monsoon%2C+Soils+%26+Vegetation+BPSC+Wallah" TargetMode="External"/><Relationship Id="rId1568" Type="http://schemas.openxmlformats.org/officeDocument/2006/relationships/hyperlink" Target="https://www.youtube.com/results?search_query=Reasoning+II%3A+Direction%2C+Blood+Relation%2C+Syllogism+%26+Puzzles+BPSC+Wallah" TargetMode="External"/><Relationship Id="rId1569" Type="http://schemas.openxmlformats.org/officeDocument/2006/relationships/hyperlink" Target="https://www.google.com/search?q=&#2349;&#2366;&#2352;&#2340;+&#2325;&#2368;+&#2332;&#2354;&#2357;&#2366;&#2351;&#2369;%2C+&#2350;&#2366;&#2344;&#2360;&#2370;&#2344;%2C+&#2350;&#2371;&#2342;&#2366;+&#2319;&#2357;&#2306;+&#2357;&#2344;&#2360;&#2381;&#2346;&#2340;&#2367;+%28site%3Adrishtiias.com+OR+site%3Avisionias.in+OR+site%3Ancert.nic.in+OR+site%3Ajagranjosh.com+OR+site%3Agktoday.in%29" TargetMode="External"/><Relationship Id="rId1570" Type="http://schemas.openxmlformats.org/officeDocument/2006/relationships/hyperlink" Target="https://www.google.com/search?q=Indian+Agriculture+notes+pdf+Drishti+IAS+Vision+IAS+BPSC+Wallah" TargetMode="External"/><Relationship Id="rId1571" Type="http://schemas.openxmlformats.org/officeDocument/2006/relationships/hyperlink" Target="https://www.google.com/search?q=Indian+Agriculture+%28site%3Adrishtiias.com+OR+site%3Avisionias.in+OR+site%3Ancert.nic.in%29" TargetMode="External"/><Relationship Id="rId1572" Type="http://schemas.openxmlformats.org/officeDocument/2006/relationships/hyperlink" Target="https://www.youtube.com/results?search_query=Indian+Agriculture+Drishti+IAS+BPSC" TargetMode="External"/><Relationship Id="rId1573" Type="http://schemas.openxmlformats.org/officeDocument/2006/relationships/hyperlink" Target="https://www.youtube.com/results?search_query=Indian+Agriculture+BPSC+Wallah" TargetMode="External"/><Relationship Id="rId1574" Type="http://schemas.openxmlformats.org/officeDocument/2006/relationships/hyperlink" Target="https://www.youtube.com/results?search_query=Reasoning+II%3A+Direction%2C+Blood+Relation%2C+Syllogism+%26+Puzzles+BPSC+Wallah" TargetMode="External"/><Relationship Id="rId1575" Type="http://schemas.openxmlformats.org/officeDocument/2006/relationships/hyperlink" Target="https://www.google.com/search?q=&#2349;&#2366;&#2352;&#2340;&#2368;&#2351;+&#2325;&#2371;&#2359;&#2367;+%28site%3Adrishtiias.com+OR+site%3Avisionias.in+OR+site%3Ancert.nic.in+OR+site%3Ajagranjosh.com+OR+site%3Agktoday.in%29" TargetMode="External"/><Relationship Id="rId1576" Type="http://schemas.openxmlformats.org/officeDocument/2006/relationships/hyperlink" Target="https://www.google.com/search?q=Indian+Agriculture+notes+pdf+Drishti+IAS+Vision+IAS+BPSC+Wallah" TargetMode="External"/><Relationship Id="rId1577" Type="http://schemas.openxmlformats.org/officeDocument/2006/relationships/hyperlink" Target="https://www.google.com/search?q=Indian+Agriculture+%28site%3Adrishtiias.com+OR+site%3Avisionias.in+OR+site%3Ancert.nic.in%29" TargetMode="External"/><Relationship Id="rId1578" Type="http://schemas.openxmlformats.org/officeDocument/2006/relationships/hyperlink" Target="https://www.youtube.com/results?search_query=Indian+Agriculture+Drishti+IAS+BPSC" TargetMode="External"/><Relationship Id="rId1579" Type="http://schemas.openxmlformats.org/officeDocument/2006/relationships/hyperlink" Target="https://www.youtube.com/results?search_query=Indian+Agriculture+BPSC+Wallah" TargetMode="External"/><Relationship Id="rId1580" Type="http://schemas.openxmlformats.org/officeDocument/2006/relationships/hyperlink" Target="https://www.youtube.com/results?search_query=Reasoning+II%3A+Direction%2C+Blood+Relation%2C+Syllogism+%26+Puzzles+BPSC+Wallah" TargetMode="External"/><Relationship Id="rId1581" Type="http://schemas.openxmlformats.org/officeDocument/2006/relationships/hyperlink" Target="https://www.google.com/search?q=&#2349;&#2366;&#2352;&#2340;&#2368;&#2351;+&#2325;&#2371;&#2359;&#2367;+%28site%3Adrishtiias.com+OR+site%3Avisionias.in+OR+site%3Ancert.nic.in+OR+site%3Ajagranjosh.com+OR+site%3Agktoday.in%29" TargetMode="External"/><Relationship Id="rId1582" Type="http://schemas.openxmlformats.org/officeDocument/2006/relationships/hyperlink" Target="https://www.google.com/search?q=Indian+Agriculture+notes+pdf+Drishti+IAS+Vision+IAS+BPSC+Wallah" TargetMode="External"/><Relationship Id="rId1583" Type="http://schemas.openxmlformats.org/officeDocument/2006/relationships/hyperlink" Target="https://www.google.com/search?q=Indian+Agriculture+%28site%3Adrishtiias.com+OR+site%3Avisionias.in+OR+site%3Ancert.nic.in%29" TargetMode="External"/><Relationship Id="rId1584" Type="http://schemas.openxmlformats.org/officeDocument/2006/relationships/hyperlink" Target="https://www.youtube.com/results?search_query=Indian+Agriculture+Drishti+IAS+BPSC" TargetMode="External"/><Relationship Id="rId1585" Type="http://schemas.openxmlformats.org/officeDocument/2006/relationships/hyperlink" Target="https://www.youtube.com/results?search_query=Indian+Agriculture+BPSC+Wallah" TargetMode="External"/><Relationship Id="rId1586" Type="http://schemas.openxmlformats.org/officeDocument/2006/relationships/hyperlink" Target="https://www.youtube.com/results?search_query=Reasoning+II%3A+Direction%2C+Blood+Relation%2C+Syllogism+%26+Puzzles+BPSC+Wallah" TargetMode="External"/><Relationship Id="rId1587" Type="http://schemas.openxmlformats.org/officeDocument/2006/relationships/hyperlink" Target="https://www.google.com/search?q=&#2349;&#2366;&#2352;&#2340;&#2368;&#2351;+&#2325;&#2371;&#2359;&#2367;+%28site%3Adrishtiias.com+OR+site%3Avisionias.in+OR+site%3Ancert.nic.in+OR+site%3Ajagranjosh.com+OR+site%3Agktoday.in%29" TargetMode="External"/><Relationship Id="rId1588" Type="http://schemas.openxmlformats.org/officeDocument/2006/relationships/hyperlink" Target="https://www.google.com/search?q=Minerals%2C+Energy+%26+Industries+notes+pdf+Drishti+IAS+Vision+IAS+BPSC+Wallah" TargetMode="External"/><Relationship Id="rId1589" Type="http://schemas.openxmlformats.org/officeDocument/2006/relationships/hyperlink" Target="https://www.google.com/search?q=Minerals%2C+Energy+%26+Industries+%28site%3Adrishtiias.com+OR+site%3Avisionias.in+OR+site%3Ancert.nic.in%29" TargetMode="External"/><Relationship Id="rId1590" Type="http://schemas.openxmlformats.org/officeDocument/2006/relationships/hyperlink" Target="https://www.youtube.com/results?search_query=Minerals%2C+Energy+%26+Industries+Drishti+IAS+BPSC" TargetMode="External"/><Relationship Id="rId1591" Type="http://schemas.openxmlformats.org/officeDocument/2006/relationships/hyperlink" Target="https://www.youtube.com/results?search_query=Minerals%2C+Energy+%26+Industries+BPSC+Wallah" TargetMode="External"/><Relationship Id="rId1592" Type="http://schemas.openxmlformats.org/officeDocument/2006/relationships/hyperlink" Target="https://www.youtube.com/results?search_query=Answer+Writing+Basics%3A+Structure%2C+Intro-Body-Conclusion+BPSC+Wallah" TargetMode="External"/><Relationship Id="rId1593" Type="http://schemas.openxmlformats.org/officeDocument/2006/relationships/hyperlink" Target="https://www.google.com/search?q=&#2326;&#2344;&#2367;&#2332;%2C+&#2314;&#2352;&#2381;&#2332;&#2366;+&#2319;&#2357;&#2306;+&#2313;&#2342;&#2381;&#2351;&#2379;&#2327;+%28site%3Adrishtiias.com+OR+site%3Avisionias.in+OR+site%3Ancert.nic.in+OR+site%3Ajagranjosh.com+OR+site%3Agktoday.in%29" TargetMode="External"/><Relationship Id="rId1594" Type="http://schemas.openxmlformats.org/officeDocument/2006/relationships/hyperlink" Target="https://www.google.com/search?q=Minerals%2C+Energy+%26+Industries+notes+pdf+Drishti+IAS+Vision+IAS+BPSC+Wallah" TargetMode="External"/><Relationship Id="rId1595" Type="http://schemas.openxmlformats.org/officeDocument/2006/relationships/hyperlink" Target="https://www.google.com/search?q=Minerals%2C+Energy+%26+Industries+%28site%3Adrishtiias.com+OR+site%3Avisionias.in+OR+site%3Ancert.nic.in%29" TargetMode="External"/><Relationship Id="rId1596" Type="http://schemas.openxmlformats.org/officeDocument/2006/relationships/hyperlink" Target="https://www.youtube.com/results?search_query=Minerals%2C+Energy+%26+Industries+Drishti+IAS+BPSC" TargetMode="External"/><Relationship Id="rId1597" Type="http://schemas.openxmlformats.org/officeDocument/2006/relationships/hyperlink" Target="https://www.youtube.com/results?search_query=Minerals%2C+Energy+%26+Industries+BPSC+Wallah" TargetMode="External"/><Relationship Id="rId1598" Type="http://schemas.openxmlformats.org/officeDocument/2006/relationships/hyperlink" Target="https://www.youtube.com/results?search_query=Answer+Writing+Basics%3A+Structure%2C+Intro-Body-Conclusion+BPSC+Wallah" TargetMode="External"/><Relationship Id="rId1599" Type="http://schemas.openxmlformats.org/officeDocument/2006/relationships/hyperlink" Target="https://www.google.com/search?q=&#2326;&#2344;&#2367;&#2332;%2C+&#2314;&#2352;&#2381;&#2332;&#2366;+&#2319;&#2357;&#2306;+&#2313;&#2342;&#2381;&#2351;&#2379;&#2327;+%28site%3Adrishtiias.com+OR+site%3Avisionias.in+OR+site%3Ancert.nic.in+OR+site%3Ajagranjosh.com+OR+site%3Agktoday.in%29" TargetMode="External"/><Relationship Id="rId1600" Type="http://schemas.openxmlformats.org/officeDocument/2006/relationships/hyperlink" Target="https://www.google.com/search?q=BPSC+weekly+revision+notes+pdf+Drishti+IAS+Vision+IAS" TargetMode="External"/><Relationship Id="rId1601" Type="http://schemas.openxmlformats.org/officeDocument/2006/relationships/hyperlink" Target="https://www.google.com/search?q=weekly+current+affairs+revision+%28site%3Adrishtiias.com+OR+site%3Avisionias.in+OR+site%3Apib.gov.in%29" TargetMode="External"/><Relationship Id="rId1602" Type="http://schemas.openxmlformats.org/officeDocument/2006/relationships/hyperlink" Target="https://www.youtube.com/results?search_query=BPSC+prelims+mock+test+analysis+strategy+Drishti+IAS" TargetMode="External"/><Relationship Id="rId1603" Type="http://schemas.openxmlformats.org/officeDocument/2006/relationships/hyperlink" Target="https://www.youtube.com/results?search_query=BPSC+Wallah+BPSC+prelims+test+series+discussion" TargetMode="External"/><Relationship Id="rId1604" Type="http://schemas.openxmlformats.org/officeDocument/2006/relationships/hyperlink" Target="https://www.youtube.com/results?search_query=BPSC+Wallah+BPSC+revision+strategy" TargetMode="External"/><Relationship Id="rId1605" Type="http://schemas.openxmlformats.org/officeDocument/2006/relationships/hyperlink" Target="https://www.google.com/search?q=Minerals%2C+Energy+%26+Industries+notes+pdf+Drishti+IAS+Vision+IAS+BPSC+Wallah" TargetMode="External"/><Relationship Id="rId1606" Type="http://schemas.openxmlformats.org/officeDocument/2006/relationships/hyperlink" Target="https://www.google.com/search?q=Minerals%2C+Energy+%26+Industries+%28site%3Adrishtiias.com+OR+site%3Avisionias.in+OR+site%3Ancert.nic.in%29" TargetMode="External"/><Relationship Id="rId1607" Type="http://schemas.openxmlformats.org/officeDocument/2006/relationships/hyperlink" Target="https://www.youtube.com/results?search_query=Minerals%2C+Energy+%26+Industries+Drishti+IAS+BPSC" TargetMode="External"/><Relationship Id="rId1608" Type="http://schemas.openxmlformats.org/officeDocument/2006/relationships/hyperlink" Target="https://www.youtube.com/results?search_query=Minerals%2C+Energy+%26+Industries+BPSC+Wallah" TargetMode="External"/><Relationship Id="rId1609" Type="http://schemas.openxmlformats.org/officeDocument/2006/relationships/hyperlink" Target="https://www.youtube.com/results?search_query=Answer+Writing+Basics%3A+Structure%2C+Intro-Body-Conclusion+BPSC+Wallah" TargetMode="External"/><Relationship Id="rId1610" Type="http://schemas.openxmlformats.org/officeDocument/2006/relationships/hyperlink" Target="https://www.google.com/search?q=&#2326;&#2344;&#2367;&#2332;%2C+&#2314;&#2352;&#2381;&#2332;&#2366;+&#2319;&#2357;&#2306;+&#2313;&#2342;&#2381;&#2351;&#2379;&#2327;+%28site%3Adrishtiias.com+OR+site%3Avisionias.in+OR+site%3Ancert.nic.in+OR+site%3Ajagranjosh.com+OR+site%3Agktoday.in%29" TargetMode="External"/><Relationship Id="rId1611" Type="http://schemas.openxmlformats.org/officeDocument/2006/relationships/hyperlink" Target="https://www.google.com/search?q=Transport%2C+Population%2C+Census+%26+Urbanisation+notes+pdf+Drishti+IAS+Vision+IAS+BPSC+Wallah" TargetMode="External"/><Relationship Id="rId1612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1613" Type="http://schemas.openxmlformats.org/officeDocument/2006/relationships/hyperlink" Target="https://www.youtube.com/results?search_query=Transport%2C+Population%2C+Census+%26+Urbanisation+Drishti+IAS+BPSC" TargetMode="External"/><Relationship Id="rId1614" Type="http://schemas.openxmlformats.org/officeDocument/2006/relationships/hyperlink" Target="https://www.youtube.com/results?search_query=Transport%2C+Population%2C+Census+%26+Urbanisation+BPSC+Wallah" TargetMode="External"/><Relationship Id="rId1615" Type="http://schemas.openxmlformats.org/officeDocument/2006/relationships/hyperlink" Target="https://www.youtube.com/results?search_query=Answer+Writing+Basics%3A+Structure%2C+Intro-Body-Conclusion+BPSC+Wallah" TargetMode="External"/><Relationship Id="rId1616" Type="http://schemas.openxmlformats.org/officeDocument/2006/relationships/hyperlink" Target="https://www.google.com/search?q=&#2346;&#2352;&#2367;&#2357;&#2361;&#2344;%2C+&#2332;&#2344;&#2360;&#2306;&#2326;&#2381;&#2351;&#2366;%2C+&#2332;&#2344;&#2327;&#2339;&#2344;&#2366;+&#2319;&#2357;&#2306;+&#2344;&#2327;&#2352;&#2368;&#2325;&#2352;&#2339;+%28site%3Adrishtiias.com+OR+site%3Avisionias.in+OR+site%3Ancert.nic.in+OR+site%3Ajagranjosh.com+OR+site%3Agktoday.in%29" TargetMode="External"/><Relationship Id="rId1617" Type="http://schemas.openxmlformats.org/officeDocument/2006/relationships/hyperlink" Target="https://www.google.com/search?q=Transport%2C+Population%2C+Census+%26+Urbanisation+notes+pdf+Drishti+IAS+Vision+IAS+BPSC+Wallah" TargetMode="External"/><Relationship Id="rId1618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1619" Type="http://schemas.openxmlformats.org/officeDocument/2006/relationships/hyperlink" Target="https://www.youtube.com/results?search_query=Transport%2C+Population%2C+Census+%26+Urbanisation+Drishti+IAS+BPSC" TargetMode="External"/><Relationship Id="rId1620" Type="http://schemas.openxmlformats.org/officeDocument/2006/relationships/hyperlink" Target="https://www.youtube.com/results?search_query=Transport%2C+Population%2C+Census+%26+Urbanisation+BPSC+Wallah" TargetMode="External"/><Relationship Id="rId1621" Type="http://schemas.openxmlformats.org/officeDocument/2006/relationships/hyperlink" Target="https://www.youtube.com/results?search_query=Answer+Writing+&#8211;+History+%26+Culture+BPSC+Wallah" TargetMode="External"/><Relationship Id="rId1622" Type="http://schemas.openxmlformats.org/officeDocument/2006/relationships/hyperlink" Target="https://www.google.com/search?q=&#2346;&#2352;&#2367;&#2357;&#2361;&#2344;%2C+&#2332;&#2344;&#2360;&#2306;&#2326;&#2381;&#2351;&#2366;%2C+&#2332;&#2344;&#2327;&#2339;&#2344;&#2366;+&#2319;&#2357;&#2306;+&#2344;&#2327;&#2352;&#2368;&#2325;&#2352;&#2339;+%28site%3Adrishtiias.com+OR+site%3Avisionias.in+OR+site%3Ancert.nic.in+OR+site%3Ajagranjosh.com+OR+site%3Agktoday.in%29" TargetMode="External"/><Relationship Id="rId1623" Type="http://schemas.openxmlformats.org/officeDocument/2006/relationships/hyperlink" Target="https://www.google.com/search?q=Transport%2C+Population%2C+Census+%26+Urbanisation+notes+pdf+Drishti+IAS+Vision+IAS+BPSC+Wallah" TargetMode="External"/><Relationship Id="rId1624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1625" Type="http://schemas.openxmlformats.org/officeDocument/2006/relationships/hyperlink" Target="https://www.youtube.com/results?search_query=Transport%2C+Population%2C+Census+%26+Urbanisation+Drishti+IAS+BPSC" TargetMode="External"/><Relationship Id="rId1626" Type="http://schemas.openxmlformats.org/officeDocument/2006/relationships/hyperlink" Target="https://www.youtube.com/results?search_query=Transport%2C+Population%2C+Census+%26+Urbanisation+BPSC+Wallah" TargetMode="External"/><Relationship Id="rId1627" Type="http://schemas.openxmlformats.org/officeDocument/2006/relationships/hyperlink" Target="https://www.youtube.com/results?search_query=Answer+Writing+&#8211;+History+%26+Culture+BPSC+Wallah" TargetMode="External"/><Relationship Id="rId1628" Type="http://schemas.openxmlformats.org/officeDocument/2006/relationships/hyperlink" Target="https://www.google.com/search?q=&#2346;&#2352;&#2367;&#2357;&#2361;&#2344;%2C+&#2332;&#2344;&#2360;&#2306;&#2326;&#2381;&#2351;&#2366;%2C+&#2332;&#2344;&#2327;&#2339;&#2344;&#2366;+&#2319;&#2357;&#2306;+&#2344;&#2327;&#2352;&#2368;&#2325;&#2352;&#2339;+%28site%3Adrishtiias.com+OR+site%3Avisionias.in+OR+site%3Ancert.nic.in+OR+site%3Ajagranjosh.com+OR+site%3Agktoday.in%29" TargetMode="External"/><Relationship Id="rId1629" Type="http://schemas.openxmlformats.org/officeDocument/2006/relationships/hyperlink" Target="https://www.google.com/search?q=World+Geography+notes+pdf+Drishti+IAS+Vision+IAS+BPSC+Wallah" TargetMode="External"/><Relationship Id="rId1630" Type="http://schemas.openxmlformats.org/officeDocument/2006/relationships/hyperlink" Target="https://www.google.com/search?q=World+Geography+%28site%3Adrishtiias.com+OR+site%3Avisionias.in+OR+site%3Ancert.nic.in%29" TargetMode="External"/><Relationship Id="rId1631" Type="http://schemas.openxmlformats.org/officeDocument/2006/relationships/hyperlink" Target="https://www.youtube.com/results?search_query=World+Geography+Drishti+IAS+BPSC" TargetMode="External"/><Relationship Id="rId1632" Type="http://schemas.openxmlformats.org/officeDocument/2006/relationships/hyperlink" Target="https://www.youtube.com/results?search_query=World+Geography+BPSC+Wallah" TargetMode="External"/><Relationship Id="rId1633" Type="http://schemas.openxmlformats.org/officeDocument/2006/relationships/hyperlink" Target="https://www.youtube.com/results?search_query=Answer+Writing+&#8211;+History+%26+Culture+BPSC+Wallah" TargetMode="External"/><Relationship Id="rId1634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1635" Type="http://schemas.openxmlformats.org/officeDocument/2006/relationships/hyperlink" Target="https://www.google.com/search?q=World+Geography+notes+pdf+Drishti+IAS+Vision+IAS+BPSC+Wallah" TargetMode="External"/><Relationship Id="rId1636" Type="http://schemas.openxmlformats.org/officeDocument/2006/relationships/hyperlink" Target="https://www.google.com/search?q=World+Geography+%28site%3Adrishtiias.com+OR+site%3Avisionias.in+OR+site%3Ancert.nic.in%29" TargetMode="External"/><Relationship Id="rId1637" Type="http://schemas.openxmlformats.org/officeDocument/2006/relationships/hyperlink" Target="https://www.youtube.com/results?search_query=World+Geography+Drishti+IAS+BPSC" TargetMode="External"/><Relationship Id="rId1638" Type="http://schemas.openxmlformats.org/officeDocument/2006/relationships/hyperlink" Target="https://www.youtube.com/results?search_query=World+Geography+BPSC+Wallah" TargetMode="External"/><Relationship Id="rId1639" Type="http://schemas.openxmlformats.org/officeDocument/2006/relationships/hyperlink" Target="https://www.youtube.com/results?search_query=Answer+Writing+&#8211;+History+%26+Culture+BPSC+Wallah" TargetMode="External"/><Relationship Id="rId1640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1641" Type="http://schemas.openxmlformats.org/officeDocument/2006/relationships/hyperlink" Target="https://www.google.com/search?q=BPSC+weekly+revision+notes+pdf+Drishti+IAS+Vision+IAS" TargetMode="External"/><Relationship Id="rId1642" Type="http://schemas.openxmlformats.org/officeDocument/2006/relationships/hyperlink" Target="https://www.google.com/search?q=weekly+current+affairs+revision+%28site%3Adrishtiias.com+OR+site%3Avisionias.in+OR+site%3Apib.gov.in%29" TargetMode="External"/><Relationship Id="rId1643" Type="http://schemas.openxmlformats.org/officeDocument/2006/relationships/hyperlink" Target="https://www.youtube.com/results?search_query=BPSC+prelims+mock+test+analysis+strategy+Drishti+IAS" TargetMode="External"/><Relationship Id="rId1644" Type="http://schemas.openxmlformats.org/officeDocument/2006/relationships/hyperlink" Target="https://www.youtube.com/results?search_query=BPSC+Wallah+BPSC+prelims+test+series+discussion" TargetMode="External"/><Relationship Id="rId1645" Type="http://schemas.openxmlformats.org/officeDocument/2006/relationships/hyperlink" Target="https://www.youtube.com/results?search_query=BPSC+Wallah+BPSC+revision+strategy" TargetMode="External"/><Relationship Id="rId1646" Type="http://schemas.openxmlformats.org/officeDocument/2006/relationships/hyperlink" Target="https://www.google.com/search?q=World+Geography+notes+pdf+Drishti+IAS+Vision+IAS+BPSC+Wallah" TargetMode="External"/><Relationship Id="rId1647" Type="http://schemas.openxmlformats.org/officeDocument/2006/relationships/hyperlink" Target="https://www.google.com/search?q=World+Geography+%28site%3Adrishtiias.com+OR+site%3Avisionias.in+OR+site%3Ancert.nic.in%29" TargetMode="External"/><Relationship Id="rId1648" Type="http://schemas.openxmlformats.org/officeDocument/2006/relationships/hyperlink" Target="https://www.youtube.com/results?search_query=World+Geography+Drishti+IAS+BPSC" TargetMode="External"/><Relationship Id="rId1649" Type="http://schemas.openxmlformats.org/officeDocument/2006/relationships/hyperlink" Target="https://www.youtube.com/results?search_query=World+Geography+BPSC+Wallah" TargetMode="External"/><Relationship Id="rId1650" Type="http://schemas.openxmlformats.org/officeDocument/2006/relationships/hyperlink" Target="https://www.youtube.com/results?search_query=Answer+Writing+&#8211;+History+%26+Culture+BPSC+Wallah" TargetMode="External"/><Relationship Id="rId1651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1652" Type="http://schemas.openxmlformats.org/officeDocument/2006/relationships/hyperlink" Target="https://www.google.com/search?q=World+Geography+notes+pdf+Drishti+IAS+Vision+IAS+BPSC+Wallah" TargetMode="External"/><Relationship Id="rId1653" Type="http://schemas.openxmlformats.org/officeDocument/2006/relationships/hyperlink" Target="https://www.google.com/search?q=World+Geography+%28site%3Adrishtiias.com+OR+site%3Avisionias.in+OR+site%3Ancert.nic.in%29" TargetMode="External"/><Relationship Id="rId1654" Type="http://schemas.openxmlformats.org/officeDocument/2006/relationships/hyperlink" Target="https://www.youtube.com/results?search_query=World+Geography+Drishti+IAS+BPSC" TargetMode="External"/><Relationship Id="rId1655" Type="http://schemas.openxmlformats.org/officeDocument/2006/relationships/hyperlink" Target="https://www.youtube.com/results?search_query=World+Geography+BPSC+Wallah" TargetMode="External"/><Relationship Id="rId1656" Type="http://schemas.openxmlformats.org/officeDocument/2006/relationships/hyperlink" Target="https://www.youtube.com/results?search_query=Answer+Writing+&#8211;+History+%26+Culture+BPSC+Wallah" TargetMode="External"/><Relationship Id="rId1657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1658" Type="http://schemas.openxmlformats.org/officeDocument/2006/relationships/hyperlink" Target="https://www.google.com/search?q=Constitution+Making%2C+Preamble+%26+Features+notes+pdf+Drishti+IAS+Vision+IAS+BPSC+Wallah" TargetMode="External"/><Relationship Id="rId1659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1660" Type="http://schemas.openxmlformats.org/officeDocument/2006/relationships/hyperlink" Target="https://www.youtube.com/results?search_query=Constitution+Making%2C+Preamble+%26+Features+Drishti+IAS+BPSC" TargetMode="External"/><Relationship Id="rId1661" Type="http://schemas.openxmlformats.org/officeDocument/2006/relationships/hyperlink" Target="https://www.youtube.com/results?search_query=Constitution+Making%2C+Preamble+%26+Features+BPSC+Wallah" TargetMode="External"/><Relationship Id="rId1662" Type="http://schemas.openxmlformats.org/officeDocument/2006/relationships/hyperlink" Target="https://www.youtube.com/results?search_query=Answer+Writing+&#8211;+History+%26+Culture+BPSC+Wallah" TargetMode="External"/><Relationship Id="rId1663" Type="http://schemas.openxmlformats.org/officeDocument/2006/relationships/hyperlink" Target="https://www.google.com/search?q=&#2360;&#2306;&#2357;&#2367;&#2343;&#2366;&#2344;+&#2344;&#2367;&#2352;&#2381;&#2350;&#2366;&#2339;%2C+&#2346;&#2381;&#2352;&#2360;&#2381;&#2340;&#2366;&#2357;&#2344;&#2366;+&#2319;&#2357;&#2306;+&#2357;&#2367;&#2358;&#2375;&#2359;&#2340;&#2366;&#2319;&#2305;+%28site%3Adrishtiias.com+OR+site%3Avisionias.in+OR+site%3Ancert.nic.in+OR+site%3Ajagranjosh.com+OR+site%3Agktoday.in%29" TargetMode="External"/><Relationship Id="rId1664" Type="http://schemas.openxmlformats.org/officeDocument/2006/relationships/hyperlink" Target="https://www.google.com/search?q=Constitution+Making%2C+Preamble+%26+Features+notes+pdf+Drishti+IAS+Vision+IAS+BPSC+Wallah" TargetMode="External"/><Relationship Id="rId1665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1666" Type="http://schemas.openxmlformats.org/officeDocument/2006/relationships/hyperlink" Target="https://www.youtube.com/results?search_query=Constitution+Making%2C+Preamble+%26+Features+Drishti+IAS+BPSC" TargetMode="External"/><Relationship Id="rId1667" Type="http://schemas.openxmlformats.org/officeDocument/2006/relationships/hyperlink" Target="https://www.youtube.com/results?search_query=Constitution+Making%2C+Preamble+%26+Features+BPSC+Wallah" TargetMode="External"/><Relationship Id="rId1668" Type="http://schemas.openxmlformats.org/officeDocument/2006/relationships/hyperlink" Target="https://www.youtube.com/results?search_query=Answer+Writing+&#8211;+Geography+%26+Disaster+Management+BPSC+Wallah" TargetMode="External"/><Relationship Id="rId1669" Type="http://schemas.openxmlformats.org/officeDocument/2006/relationships/hyperlink" Target="https://www.google.com/search?q=&#2360;&#2306;&#2357;&#2367;&#2343;&#2366;&#2344;+&#2344;&#2367;&#2352;&#2381;&#2350;&#2366;&#2339;%2C+&#2346;&#2381;&#2352;&#2360;&#2381;&#2340;&#2366;&#2357;&#2344;&#2366;+&#2319;&#2357;&#2306;+&#2357;&#2367;&#2358;&#2375;&#2359;&#2340;&#2366;&#2319;&#2305;+%28site%3Adrishtiias.com+OR+site%3Avisionias.in+OR+site%3Ancert.nic.in+OR+site%3Ajagranjosh.com+OR+site%3Agktoday.in%29" TargetMode="External"/><Relationship Id="rId1670" Type="http://schemas.openxmlformats.org/officeDocument/2006/relationships/hyperlink" Target="https://www.google.com/search?q=Constitution+Making%2C+Preamble+%26+Features+notes+pdf+Drishti+IAS+Vision+IAS+BPSC+Wallah" TargetMode="External"/><Relationship Id="rId1671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1672" Type="http://schemas.openxmlformats.org/officeDocument/2006/relationships/hyperlink" Target="https://www.youtube.com/results?search_query=Constitution+Making%2C+Preamble+%26+Features+Drishti+IAS+BPSC" TargetMode="External"/><Relationship Id="rId1673" Type="http://schemas.openxmlformats.org/officeDocument/2006/relationships/hyperlink" Target="https://www.youtube.com/results?search_query=Constitution+Making%2C+Preamble+%26+Features+BPSC+Wallah" TargetMode="External"/><Relationship Id="rId1674" Type="http://schemas.openxmlformats.org/officeDocument/2006/relationships/hyperlink" Target="https://www.youtube.com/results?search_query=Answer+Writing+&#8211;+Geography+%26+Disaster+Management+BPSC+Wallah" TargetMode="External"/><Relationship Id="rId1675" Type="http://schemas.openxmlformats.org/officeDocument/2006/relationships/hyperlink" Target="https://www.google.com/search?q=&#2360;&#2306;&#2357;&#2367;&#2343;&#2366;&#2344;+&#2344;&#2367;&#2352;&#2381;&#2350;&#2366;&#2339;%2C+&#2346;&#2381;&#2352;&#2360;&#2381;&#2340;&#2366;&#2357;&#2344;&#2366;+&#2319;&#2357;&#2306;+&#2357;&#2367;&#2358;&#2375;&#2359;&#2340;&#2366;&#2319;&#2305;+%28site%3Adrishtiias.com+OR+site%3Avisionias.in+OR+site%3Ancert.nic.in+OR+site%3Ajagranjosh.com+OR+site%3Agktoday.in%29" TargetMode="External"/><Relationship Id="rId1676" Type="http://schemas.openxmlformats.org/officeDocument/2006/relationships/hyperlink" Target="https://www.google.com/search?q=Union%2C+Citizenship+%26+Fundamental+Rights+notes+pdf+Drishti+IAS+Vision+IAS+BPSC+Wallah" TargetMode="External"/><Relationship Id="rId1677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1678" Type="http://schemas.openxmlformats.org/officeDocument/2006/relationships/hyperlink" Target="https://www.youtube.com/results?search_query=Union%2C+Citizenship+%26+Fundamental+Rights+Drishti+IAS+BPSC" TargetMode="External"/><Relationship Id="rId1679" Type="http://schemas.openxmlformats.org/officeDocument/2006/relationships/hyperlink" Target="https://www.youtube.com/results?search_query=Union%2C+Citizenship+%26+Fundamental+Rights+BPSC+Wallah" TargetMode="External"/><Relationship Id="rId1680" Type="http://schemas.openxmlformats.org/officeDocument/2006/relationships/hyperlink" Target="https://www.youtube.com/results?search_query=Answer+Writing+&#8211;+Geography+%26+Disaster+Management+BPSC+Wallah" TargetMode="External"/><Relationship Id="rId1681" Type="http://schemas.openxmlformats.org/officeDocument/2006/relationships/hyperlink" Target="https://www.google.com/search?q=&#2360;&#2306;&#2328;%2C+&#2344;&#2366;&#2327;&#2352;&#2367;&#2325;&#2340;&#2366;+&#2319;&#2357;&#2306;+&#2350;&#2380;&#2354;&#2367;&#2325;+&#2309;&#2343;&#2367;&#2325;&#2366;&#2352;+%28site%3Adrishtiias.com+OR+site%3Avisionias.in+OR+site%3Ancert.nic.in+OR+site%3Ajagranjosh.com+OR+site%3Agktoday.in%29" TargetMode="External"/><Relationship Id="rId1682" Type="http://schemas.openxmlformats.org/officeDocument/2006/relationships/hyperlink" Target="https://www.google.com/search?q=BPSC+weekly+revision+notes+pdf+Drishti+IAS+Vision+IAS" TargetMode="External"/><Relationship Id="rId1683" Type="http://schemas.openxmlformats.org/officeDocument/2006/relationships/hyperlink" Target="https://www.google.com/search?q=weekly+current+affairs+revision+%28site%3Adrishtiias.com+OR+site%3Avisionias.in+OR+site%3Apib.gov.in%29" TargetMode="External"/><Relationship Id="rId1684" Type="http://schemas.openxmlformats.org/officeDocument/2006/relationships/hyperlink" Target="https://www.youtube.com/results?search_query=BPSC+prelims+mock+test+analysis+strategy+Drishti+IAS" TargetMode="External"/><Relationship Id="rId1685" Type="http://schemas.openxmlformats.org/officeDocument/2006/relationships/hyperlink" Target="https://www.youtube.com/results?search_query=BPSC+Wallah+BPSC+prelims+test+series+discussion" TargetMode="External"/><Relationship Id="rId1686" Type="http://schemas.openxmlformats.org/officeDocument/2006/relationships/hyperlink" Target="https://www.youtube.com/results?search_query=BPSC+Wallah+BPSC+revision+strategy" TargetMode="External"/><Relationship Id="rId1687" Type="http://schemas.openxmlformats.org/officeDocument/2006/relationships/hyperlink" Target="https://www.google.com/search?q=Union%2C+Citizenship+%26+Fundamental+Rights+notes+pdf+Drishti+IAS+Vision+IAS+BPSC+Wallah" TargetMode="External"/><Relationship Id="rId1688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1689" Type="http://schemas.openxmlformats.org/officeDocument/2006/relationships/hyperlink" Target="https://www.youtube.com/results?search_query=Union%2C+Citizenship+%26+Fundamental+Rights+Drishti+IAS+BPSC" TargetMode="External"/><Relationship Id="rId1690" Type="http://schemas.openxmlformats.org/officeDocument/2006/relationships/hyperlink" Target="https://www.youtube.com/results?search_query=Union%2C+Citizenship+%26+Fundamental+Rights+BPSC+Wallah" TargetMode="External"/><Relationship Id="rId1691" Type="http://schemas.openxmlformats.org/officeDocument/2006/relationships/hyperlink" Target="https://www.youtube.com/results?search_query=Answer+Writing+&#8211;+Geography+%26+Disaster+Management+BPSC+Wallah" TargetMode="External"/><Relationship Id="rId1692" Type="http://schemas.openxmlformats.org/officeDocument/2006/relationships/hyperlink" Target="https://www.google.com/search?q=&#2360;&#2306;&#2328;%2C+&#2344;&#2366;&#2327;&#2352;&#2367;&#2325;&#2340;&#2366;+&#2319;&#2357;&#2306;+&#2350;&#2380;&#2354;&#2367;&#2325;+&#2309;&#2343;&#2367;&#2325;&#2366;&#2352;+%28site%3Adrishtiias.com+OR+site%3Avisionias.in+OR+site%3Ancert.nic.in+OR+site%3Ajagranjosh.com+OR+site%3Agktoday.in%29" TargetMode="External"/><Relationship Id="rId1693" Type="http://schemas.openxmlformats.org/officeDocument/2006/relationships/hyperlink" Target="https://www.google.com/search?q=Union%2C+Citizenship+%26+Fundamental+Rights+notes+pdf+Drishti+IAS+Vision+IAS+BPSC+Wallah" TargetMode="External"/><Relationship Id="rId1694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1695" Type="http://schemas.openxmlformats.org/officeDocument/2006/relationships/hyperlink" Target="https://www.youtube.com/results?search_query=Union%2C+Citizenship+%26+Fundamental+Rights+Drishti+IAS+BPSC" TargetMode="External"/><Relationship Id="rId1696" Type="http://schemas.openxmlformats.org/officeDocument/2006/relationships/hyperlink" Target="https://www.youtube.com/results?search_query=Union%2C+Citizenship+%26+Fundamental+Rights+BPSC+Wallah" TargetMode="External"/><Relationship Id="rId1697" Type="http://schemas.openxmlformats.org/officeDocument/2006/relationships/hyperlink" Target="https://www.youtube.com/results?search_query=Answer+Writing+&#8211;+Geography+%26+Disaster+Management+BPSC+Wallah" TargetMode="External"/><Relationship Id="rId1698" Type="http://schemas.openxmlformats.org/officeDocument/2006/relationships/hyperlink" Target="https://www.google.com/search?q=&#2360;&#2306;&#2328;%2C+&#2344;&#2366;&#2327;&#2352;&#2367;&#2325;&#2340;&#2366;+&#2319;&#2357;&#2306;+&#2350;&#2380;&#2354;&#2367;&#2325;+&#2309;&#2343;&#2367;&#2325;&#2366;&#2352;+%28site%3Adrishtiias.com+OR+site%3Avisionias.in+OR+site%3Ancert.nic.in+OR+site%3Ajagranjosh.com+OR+site%3Agktoday.in%29" TargetMode="External"/><Relationship Id="rId1699" Type="http://schemas.openxmlformats.org/officeDocument/2006/relationships/hyperlink" Target="https://www.google.com/search?q=DPSP%2C+Fundamental+Duties+%26+Constitutional+Amendments+notes+pdf+Drishti+IAS+Vision+IAS+BPSC+Wallah" TargetMode="External"/><Relationship Id="rId1700" Type="http://schemas.openxmlformats.org/officeDocument/2006/relationships/hyperlink" Target="https://www.google.com/search?q=DPSP%2C+Fundamental+Duties+%26+Constitutional+Amendments+%28site%3Adrishtiias.com+OR+site%3Avisionias.in+OR+site%3Aprsindia.org%29" TargetMode="External"/><Relationship Id="rId1701" Type="http://schemas.openxmlformats.org/officeDocument/2006/relationships/hyperlink" Target="https://www.youtube.com/results?search_query=DPSP%2C+Fundamental+Duties+%26+Constitutional+Amendments+Drishti+IAS+BPSC" TargetMode="External"/><Relationship Id="rId1702" Type="http://schemas.openxmlformats.org/officeDocument/2006/relationships/hyperlink" Target="https://www.youtube.com/results?search_query=DPSP%2C+Fundamental+Duties+%26+Constitutional+Amendments+BPSC+Wallah" TargetMode="External"/><Relationship Id="rId1703" Type="http://schemas.openxmlformats.org/officeDocument/2006/relationships/hyperlink" Target="https://www.youtube.com/results?search_query=Answer+Writing+&#8211;+Geography+%26+Disaster+Management+BPSC+Wallah" TargetMode="External"/><Relationship Id="rId1704" Type="http://schemas.openxmlformats.org/officeDocument/2006/relationships/hyperlink" Target="https://www.google.com/search?q=&#2344;&#2368;&#2340;&#2367;+&#2344;&#2367;&#2342;&#2375;&#2358;&#2325;+&#2340;&#2340;&#2381;&#2357;%2C+&#2350;&#2380;&#2354;&#2367;&#2325;+&#2325;&#2352;&#2381;&#2340;&#2357;&#2381;&#2351;+&#2319;&#2357;&#2306;+&#2360;&#2306;&#2357;&#2367;&#2343;&#2366;&#2344;+&#2360;&#2306;&#2358;&#2379;&#2343;&#2344;+%28site%3Adrishtiias.com+OR+site%3Avisionias.in+OR+site%3Ancert.nic.in+OR+site%3Ajagranjosh.com+OR+site%3Agktoday.in%29" TargetMode="External"/><Relationship Id="rId1705" Type="http://schemas.openxmlformats.org/officeDocument/2006/relationships/hyperlink" Target="https://www.google.com/search?q=DPSP%2C+Fundamental+Duties+%26+Constitutional+Amendments+notes+pdf+Drishti+IAS+Vision+IAS+BPSC+Wallah" TargetMode="External"/><Relationship Id="rId1706" Type="http://schemas.openxmlformats.org/officeDocument/2006/relationships/hyperlink" Target="https://www.google.com/search?q=DPSP%2C+Fundamental+Duties+%26+Constitutional+Amendments+%28site%3Adrishtiias.com+OR+site%3Avisionias.in+OR+site%3Aprsindia.org%29" TargetMode="External"/><Relationship Id="rId1707" Type="http://schemas.openxmlformats.org/officeDocument/2006/relationships/hyperlink" Target="https://www.youtube.com/results?search_query=DPSP%2C+Fundamental+Duties+%26+Constitutional+Amendments+Drishti+IAS+BPSC" TargetMode="External"/><Relationship Id="rId1708" Type="http://schemas.openxmlformats.org/officeDocument/2006/relationships/hyperlink" Target="https://www.youtube.com/results?search_query=DPSP%2C+Fundamental+Duties+%26+Constitutional+Amendments+BPSC+Wallah" TargetMode="External"/><Relationship Id="rId1709" Type="http://schemas.openxmlformats.org/officeDocument/2006/relationships/hyperlink" Target="https://www.youtube.com/results?search_query=Answer+Writing+&#8211;+Geography+%26+Disaster+Management+BPSC+Wallah" TargetMode="External"/><Relationship Id="rId1710" Type="http://schemas.openxmlformats.org/officeDocument/2006/relationships/hyperlink" Target="https://www.google.com/search?q=&#2344;&#2368;&#2340;&#2367;+&#2344;&#2367;&#2342;&#2375;&#2358;&#2325;+&#2340;&#2340;&#2381;&#2357;%2C+&#2350;&#2380;&#2354;&#2367;&#2325;+&#2325;&#2352;&#2381;&#2340;&#2357;&#2381;&#2351;+&#2319;&#2357;&#2306;+&#2360;&#2306;&#2357;&#2367;&#2343;&#2366;&#2344;+&#2360;&#2306;&#2358;&#2379;&#2343;&#2344;+%28site%3Adrishtiias.com+OR+site%3Avisionias.in+OR+site%3Ancert.nic.in+OR+site%3Ajagranjosh.com+OR+site%3Agktoday.in%29" TargetMode="External"/><Relationship Id="rId1711" Type="http://schemas.openxmlformats.org/officeDocument/2006/relationships/hyperlink" Target="https://www.google.com/search?q=DPSP%2C+Fundamental+Duties+%26+Constitutional+Amendments+notes+pdf+Drishti+IAS+Vision+IAS+BPSC+Wallah" TargetMode="External"/><Relationship Id="rId1712" Type="http://schemas.openxmlformats.org/officeDocument/2006/relationships/hyperlink" Target="https://www.google.com/search?q=DPSP%2C+Fundamental+Duties+%26+Constitutional+Amendments+%28site%3Adrishtiias.com+OR+site%3Avisionias.in+OR+site%3Aprsindia.org%29" TargetMode="External"/><Relationship Id="rId1713" Type="http://schemas.openxmlformats.org/officeDocument/2006/relationships/hyperlink" Target="https://www.youtube.com/results?search_query=DPSP%2C+Fundamental+Duties+%26+Constitutional+Amendments+Drishti+IAS+BPSC" TargetMode="External"/><Relationship Id="rId1714" Type="http://schemas.openxmlformats.org/officeDocument/2006/relationships/hyperlink" Target="https://www.youtube.com/results?search_query=DPSP%2C+Fundamental+Duties+%26+Constitutional+Amendments+BPSC+Wallah" TargetMode="External"/><Relationship Id="rId1715" Type="http://schemas.openxmlformats.org/officeDocument/2006/relationships/hyperlink" Target="https://www.youtube.com/results?search_query=Answer+Writing+&#8211;+Geography+%26+Disaster+Management+BPSC+Wallah" TargetMode="External"/><Relationship Id="rId1716" Type="http://schemas.openxmlformats.org/officeDocument/2006/relationships/hyperlink" Target="https://www.google.com/search?q=&#2344;&#2368;&#2340;&#2367;+&#2344;&#2367;&#2342;&#2375;&#2358;&#2325;+&#2340;&#2340;&#2381;&#2357;%2C+&#2350;&#2380;&#2354;&#2367;&#2325;+&#2325;&#2352;&#2381;&#2340;&#2357;&#2381;&#2351;+&#2319;&#2357;&#2306;+&#2360;&#2306;&#2357;&#2367;&#2343;&#2366;&#2344;+&#2360;&#2306;&#2358;&#2379;&#2343;&#2344;+%28site%3Adrishtiias.com+OR+site%3Avisionias.in+OR+site%3Ancert.nic.in+OR+site%3Ajagranjosh.com+OR+site%3Agktoday.in%29" TargetMode="External"/><Relationship Id="rId1717" Type="http://schemas.openxmlformats.org/officeDocument/2006/relationships/hyperlink" Target="https://www.google.com/search?q=Union+Executive+notes+pdf+Drishti+IAS+Vision+IAS+BPSC+Wallah" TargetMode="External"/><Relationship Id="rId1718" Type="http://schemas.openxmlformats.org/officeDocument/2006/relationships/hyperlink" Target="https://www.google.com/search?q=Union+Executive+%28site%3Adrishtiias.com+OR+site%3Avisionias.in+OR+site%3Aprsindia.org%29" TargetMode="External"/><Relationship Id="rId1719" Type="http://schemas.openxmlformats.org/officeDocument/2006/relationships/hyperlink" Target="https://www.youtube.com/results?search_query=Union+Executive+Drishti+IAS+BPSC" TargetMode="External"/><Relationship Id="rId1720" Type="http://schemas.openxmlformats.org/officeDocument/2006/relationships/hyperlink" Target="https://www.youtube.com/results?search_query=Union+Executive+BPSC+Wallah" TargetMode="External"/><Relationship Id="rId1721" Type="http://schemas.openxmlformats.org/officeDocument/2006/relationships/hyperlink" Target="https://www.youtube.com/results?search_query=Answer+Writing+&#8211;+Polity%2C+Governance+%26+Social+Justice+BPSC+Wallah" TargetMode="External"/><Relationship Id="rId1722" Type="http://schemas.openxmlformats.org/officeDocument/2006/relationships/hyperlink" Target="https://www.google.com/search?q=&#2360;&#2306;&#2328;+&#2325;&#2368;+&#2325;&#2366;&#2352;&#2381;&#2351;&#2346;&#2366;&#2354;&#2367;&#2325;&#2366;+%28site%3Adrishtiias.com+OR+site%3Avisionias.in+OR+site%3Ancert.nic.in+OR+site%3Ajagranjosh.com+OR+site%3Agktoday.in%29" TargetMode="External"/><Relationship Id="rId1723" Type="http://schemas.openxmlformats.org/officeDocument/2006/relationships/hyperlink" Target="https://www.google.com/search?q=BPSC+weekly+revision+notes+pdf+Drishti+IAS+Vision+IAS" TargetMode="External"/><Relationship Id="rId1724" Type="http://schemas.openxmlformats.org/officeDocument/2006/relationships/hyperlink" Target="https://www.google.com/search?q=weekly+current+affairs+revision+%28site%3Adrishtiias.com+OR+site%3Avisionias.in+OR+site%3Apib.gov.in%29" TargetMode="External"/><Relationship Id="rId1725" Type="http://schemas.openxmlformats.org/officeDocument/2006/relationships/hyperlink" Target="https://www.youtube.com/results?search_query=BPSC+prelims+mock+test+analysis+strategy+Drishti+IAS" TargetMode="External"/><Relationship Id="rId1726" Type="http://schemas.openxmlformats.org/officeDocument/2006/relationships/hyperlink" Target="https://www.youtube.com/results?search_query=BPSC+Wallah+BPSC+prelims+test+series+discussion" TargetMode="External"/><Relationship Id="rId1727" Type="http://schemas.openxmlformats.org/officeDocument/2006/relationships/hyperlink" Target="https://www.youtube.com/results?search_query=BPSC+Wallah+BPSC+revision+strategy" TargetMode="External"/><Relationship Id="rId1728" Type="http://schemas.openxmlformats.org/officeDocument/2006/relationships/hyperlink" Target="https://www.google.com/search?q=Union+Executive+notes+pdf+Drishti+IAS+Vision+IAS+BPSC+Wallah" TargetMode="External"/><Relationship Id="rId1729" Type="http://schemas.openxmlformats.org/officeDocument/2006/relationships/hyperlink" Target="https://www.google.com/search?q=Union+Executive+%28site%3Adrishtiias.com+OR+site%3Avisionias.in+OR+site%3Aprsindia.org%29" TargetMode="External"/><Relationship Id="rId1730" Type="http://schemas.openxmlformats.org/officeDocument/2006/relationships/hyperlink" Target="https://www.youtube.com/results?search_query=Union+Executive+Drishti+IAS+BPSC" TargetMode="External"/><Relationship Id="rId1731" Type="http://schemas.openxmlformats.org/officeDocument/2006/relationships/hyperlink" Target="https://www.youtube.com/results?search_query=Union+Executive+BPSC+Wallah" TargetMode="External"/><Relationship Id="rId1732" Type="http://schemas.openxmlformats.org/officeDocument/2006/relationships/hyperlink" Target="https://www.youtube.com/results?search_query=Answer+Writing+&#8211;+Polity%2C+Governance+%26+Social+Justice+BPSC+Wallah" TargetMode="External"/><Relationship Id="rId1733" Type="http://schemas.openxmlformats.org/officeDocument/2006/relationships/hyperlink" Target="https://www.google.com/search?q=&#2360;&#2306;&#2328;+&#2325;&#2368;+&#2325;&#2366;&#2352;&#2381;&#2351;&#2346;&#2366;&#2354;&#2367;&#2325;&#2366;+%28site%3Adrishtiias.com+OR+site%3Avisionias.in+OR+site%3Ancert.nic.in+OR+site%3Ajagranjosh.com+OR+site%3Agktoday.in%29" TargetMode="External"/><Relationship Id="rId1734" Type="http://schemas.openxmlformats.org/officeDocument/2006/relationships/hyperlink" Target="https://www.google.com/search?q=Union+Executive+notes+pdf+Drishti+IAS+Vision+IAS+BPSC+Wallah" TargetMode="External"/><Relationship Id="rId1735" Type="http://schemas.openxmlformats.org/officeDocument/2006/relationships/hyperlink" Target="https://www.google.com/search?q=Union+Executive+%28site%3Adrishtiias.com+OR+site%3Avisionias.in+OR+site%3Aprsindia.org%29" TargetMode="External"/><Relationship Id="rId1736" Type="http://schemas.openxmlformats.org/officeDocument/2006/relationships/hyperlink" Target="https://www.youtube.com/results?search_query=Union+Executive+Drishti+IAS+BPSC" TargetMode="External"/><Relationship Id="rId1737" Type="http://schemas.openxmlformats.org/officeDocument/2006/relationships/hyperlink" Target="https://www.youtube.com/results?search_query=Union+Executive+BPSC+Wallah" TargetMode="External"/><Relationship Id="rId1738" Type="http://schemas.openxmlformats.org/officeDocument/2006/relationships/hyperlink" Target="https://www.youtube.com/results?search_query=Answer+Writing+&#8211;+Polity%2C+Governance+%26+Social+Justice+BPSC+Wallah" TargetMode="External"/><Relationship Id="rId1739" Type="http://schemas.openxmlformats.org/officeDocument/2006/relationships/hyperlink" Target="https://www.google.com/search?q=&#2360;&#2306;&#2328;+&#2325;&#2368;+&#2325;&#2366;&#2352;&#2381;&#2351;&#2346;&#2366;&#2354;&#2367;&#2325;&#2366;+%28site%3Adrishtiias.com+OR+site%3Avisionias.in+OR+site%3Ancert.nic.in+OR+site%3Ajagranjosh.com+OR+site%3Agktoday.in%29" TargetMode="External"/><Relationship Id="rId1740" Type="http://schemas.openxmlformats.org/officeDocument/2006/relationships/hyperlink" Target="https://www.google.com/search?q=Parliament+notes+pdf+Drishti+IAS+Vision+IAS+BPSC+Wallah" TargetMode="External"/><Relationship Id="rId1741" Type="http://schemas.openxmlformats.org/officeDocument/2006/relationships/hyperlink" Target="https://www.google.com/search?q=Parliament+%28site%3Adrishtiias.com+OR+site%3Avisionias.in+OR+site%3Aprsindia.org%29" TargetMode="External"/><Relationship Id="rId1742" Type="http://schemas.openxmlformats.org/officeDocument/2006/relationships/hyperlink" Target="https://www.youtube.com/results?search_query=Parliament+Drishti+IAS+BPSC" TargetMode="External"/><Relationship Id="rId1743" Type="http://schemas.openxmlformats.org/officeDocument/2006/relationships/hyperlink" Target="https://www.youtube.com/results?search_query=Parliament+BPSC+Wallah" TargetMode="External"/><Relationship Id="rId1744" Type="http://schemas.openxmlformats.org/officeDocument/2006/relationships/hyperlink" Target="https://www.youtube.com/results?search_query=Answer+Writing+&#8211;+Polity%2C+Governance+%26+Social+Justice+BPSC+Wallah" TargetMode="External"/><Relationship Id="rId1745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1746" Type="http://schemas.openxmlformats.org/officeDocument/2006/relationships/hyperlink" Target="https://www.google.com/search?q=Parliament+notes+pdf+Drishti+IAS+Vision+IAS+BPSC+Wallah" TargetMode="External"/><Relationship Id="rId1747" Type="http://schemas.openxmlformats.org/officeDocument/2006/relationships/hyperlink" Target="https://www.google.com/search?q=Parliament+%28site%3Adrishtiias.com+OR+site%3Avisionias.in+OR+site%3Aprsindia.org%29" TargetMode="External"/><Relationship Id="rId1748" Type="http://schemas.openxmlformats.org/officeDocument/2006/relationships/hyperlink" Target="https://www.youtube.com/results?search_query=Parliament+Drishti+IAS+BPSC" TargetMode="External"/><Relationship Id="rId1749" Type="http://schemas.openxmlformats.org/officeDocument/2006/relationships/hyperlink" Target="https://www.youtube.com/results?search_query=Parliament+BPSC+Wallah" TargetMode="External"/><Relationship Id="rId1750" Type="http://schemas.openxmlformats.org/officeDocument/2006/relationships/hyperlink" Target="https://www.youtube.com/results?search_query=Answer+Writing+&#8211;+Polity%2C+Governance+%26+Social+Justice+BPSC+Wallah" TargetMode="External"/><Relationship Id="rId1751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1752" Type="http://schemas.openxmlformats.org/officeDocument/2006/relationships/hyperlink" Target="https://www.google.com/search?q=Parliament+notes+pdf+Drishti+IAS+Vision+IAS+BPSC+Wallah" TargetMode="External"/><Relationship Id="rId1753" Type="http://schemas.openxmlformats.org/officeDocument/2006/relationships/hyperlink" Target="https://www.google.com/search?q=Parliament+%28site%3Adrishtiias.com+OR+site%3Avisionias.in+OR+site%3Aprsindia.org%29" TargetMode="External"/><Relationship Id="rId1754" Type="http://schemas.openxmlformats.org/officeDocument/2006/relationships/hyperlink" Target="https://www.youtube.com/results?search_query=Parliament+Drishti+IAS+BPSC" TargetMode="External"/><Relationship Id="rId1755" Type="http://schemas.openxmlformats.org/officeDocument/2006/relationships/hyperlink" Target="https://www.youtube.com/results?search_query=Parliament+BPSC+Wallah" TargetMode="External"/><Relationship Id="rId1756" Type="http://schemas.openxmlformats.org/officeDocument/2006/relationships/hyperlink" Target="https://www.youtube.com/results?search_query=Answer+Writing+&#8211;+Polity%2C+Governance+%26+Social+Justice+BPSC+Wallah" TargetMode="External"/><Relationship Id="rId1757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1758" Type="http://schemas.openxmlformats.org/officeDocument/2006/relationships/hyperlink" Target="https://www.google.com/search?q=Parliament+notes+pdf+Drishti+IAS+Vision+IAS+BPSC+Wallah" TargetMode="External"/><Relationship Id="rId1759" Type="http://schemas.openxmlformats.org/officeDocument/2006/relationships/hyperlink" Target="https://www.google.com/search?q=Parliament+%28site%3Adrishtiias.com+OR+site%3Avisionias.in+OR+site%3Aprsindia.org%29" TargetMode="External"/><Relationship Id="rId1760" Type="http://schemas.openxmlformats.org/officeDocument/2006/relationships/hyperlink" Target="https://www.youtube.com/results?search_query=Parliament+Drishti+IAS+BPSC" TargetMode="External"/><Relationship Id="rId1761" Type="http://schemas.openxmlformats.org/officeDocument/2006/relationships/hyperlink" Target="https://www.youtube.com/results?search_query=Parliament+BPSC+Wallah" TargetMode="External"/><Relationship Id="rId1762" Type="http://schemas.openxmlformats.org/officeDocument/2006/relationships/hyperlink" Target="https://www.youtube.com/results?search_query=Answer+Writing+&#8211;+Polity%2C+Governance+%26+Social+Justice+BPSC+Wallah" TargetMode="External"/><Relationship Id="rId1763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1764" Type="http://schemas.openxmlformats.org/officeDocument/2006/relationships/hyperlink" Target="https://www.google.com/search?q=BPSC+weekly+revision+notes+pdf+Drishti+IAS+Vision+IAS" TargetMode="External"/><Relationship Id="rId1765" Type="http://schemas.openxmlformats.org/officeDocument/2006/relationships/hyperlink" Target="https://www.google.com/search?q=weekly+current+affairs+revision+%28site%3Adrishtiias.com+OR+site%3Avisionias.in+OR+site%3Apib.gov.in%29" TargetMode="External"/><Relationship Id="rId1766" Type="http://schemas.openxmlformats.org/officeDocument/2006/relationships/hyperlink" Target="https://www.youtube.com/results?search_query=BPSC+prelims+mock+test+analysis+strategy+Drishti+IAS" TargetMode="External"/><Relationship Id="rId1767" Type="http://schemas.openxmlformats.org/officeDocument/2006/relationships/hyperlink" Target="https://www.youtube.com/results?search_query=BPSC+Wallah+BPSC+prelims+test+series+discussion" TargetMode="External"/><Relationship Id="rId1768" Type="http://schemas.openxmlformats.org/officeDocument/2006/relationships/hyperlink" Target="https://www.youtube.com/results?search_query=BPSC+Wallah+BPSC+revision+strategy" TargetMode="External"/><Relationship Id="rId1769" Type="http://schemas.openxmlformats.org/officeDocument/2006/relationships/hyperlink" Target="https://www.google.com/search?q=Parliament+notes+pdf+Drishti+IAS+Vision+IAS+BPSC+Wallah" TargetMode="External"/><Relationship Id="rId1770" Type="http://schemas.openxmlformats.org/officeDocument/2006/relationships/hyperlink" Target="https://www.google.com/search?q=Parliament+%28site%3Adrishtiias.com+OR+site%3Avisionias.in+OR+site%3Aprsindia.org%29" TargetMode="External"/><Relationship Id="rId1771" Type="http://schemas.openxmlformats.org/officeDocument/2006/relationships/hyperlink" Target="https://www.youtube.com/results?search_query=Parliament+Drishti+IAS+BPSC" TargetMode="External"/><Relationship Id="rId1772" Type="http://schemas.openxmlformats.org/officeDocument/2006/relationships/hyperlink" Target="https://www.youtube.com/results?search_query=Parliament+BPSC+Wallah" TargetMode="External"/><Relationship Id="rId1773" Type="http://schemas.openxmlformats.org/officeDocument/2006/relationships/hyperlink" Target="https://www.youtube.com/results?search_query=Answer+Writing+&#8211;+Polity%2C+Governance+%26+Social+Justice+BPSC+Wallah" TargetMode="External"/><Relationship Id="rId1774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1775" Type="http://schemas.openxmlformats.org/officeDocument/2006/relationships/hyperlink" Target="https://www.google.com/search?q=Judiciary+notes+pdf+Drishti+IAS+Vision+IAS+BPSC+Wallah" TargetMode="External"/><Relationship Id="rId1776" Type="http://schemas.openxmlformats.org/officeDocument/2006/relationships/hyperlink" Target="https://www.google.com/search?q=Judiciary+%28site%3Adrishtiias.com+OR+site%3Avisionias.in+OR+site%3Aprsindia.org%29" TargetMode="External"/><Relationship Id="rId1777" Type="http://schemas.openxmlformats.org/officeDocument/2006/relationships/hyperlink" Target="https://www.youtube.com/results?search_query=Judiciary+Drishti+IAS+BPSC" TargetMode="External"/><Relationship Id="rId1778" Type="http://schemas.openxmlformats.org/officeDocument/2006/relationships/hyperlink" Target="https://www.youtube.com/results?search_query=Judiciary+BPSC+Wallah" TargetMode="External"/><Relationship Id="rId1779" Type="http://schemas.openxmlformats.org/officeDocument/2006/relationships/hyperlink" Target="https://www.youtube.com/results?search_query=Answer+Writing+&#8211;+Economy+%26+Bihar+Economy+BPSC+Wallah" TargetMode="External"/><Relationship Id="rId1780" Type="http://schemas.openxmlformats.org/officeDocument/2006/relationships/hyperlink" Target="https://www.google.com/search?q=&#2344;&#2381;&#2351;&#2366;&#2351;&#2346;&#2366;&#2354;&#2367;&#2325;&#2366;+%28site%3Adrishtiias.com+OR+site%3Avisionias.in+OR+site%3Ancert.nic.in+OR+site%3Ajagranjosh.com+OR+site%3Agktoday.in%29" TargetMode="External"/><Relationship Id="rId1781" Type="http://schemas.openxmlformats.org/officeDocument/2006/relationships/hyperlink" Target="https://www.google.com/search?q=Judiciary+notes+pdf+Drishti+IAS+Vision+IAS+BPSC+Wallah" TargetMode="External"/><Relationship Id="rId1782" Type="http://schemas.openxmlformats.org/officeDocument/2006/relationships/hyperlink" Target="https://www.google.com/search?q=Judiciary+%28site%3Adrishtiias.com+OR+site%3Avisionias.in+OR+site%3Aprsindia.org%29" TargetMode="External"/><Relationship Id="rId1783" Type="http://schemas.openxmlformats.org/officeDocument/2006/relationships/hyperlink" Target="https://www.youtube.com/results?search_query=Judiciary+Drishti+IAS+BPSC" TargetMode="External"/><Relationship Id="rId1784" Type="http://schemas.openxmlformats.org/officeDocument/2006/relationships/hyperlink" Target="https://www.youtube.com/results?search_query=Judiciary+BPSC+Wallah" TargetMode="External"/><Relationship Id="rId1785" Type="http://schemas.openxmlformats.org/officeDocument/2006/relationships/hyperlink" Target="https://www.youtube.com/results?search_query=Answer+Writing+&#8211;+Economy+%26+Bihar+Economy+BPSC+Wallah" TargetMode="External"/><Relationship Id="rId1786" Type="http://schemas.openxmlformats.org/officeDocument/2006/relationships/hyperlink" Target="https://www.google.com/search?q=&#2344;&#2381;&#2351;&#2366;&#2351;&#2346;&#2366;&#2354;&#2367;&#2325;&#2366;+%28site%3Adrishtiias.com+OR+site%3Avisionias.in+OR+site%3Ancert.nic.in+OR+site%3Ajagranjosh.com+OR+site%3Agktoday.in%29" TargetMode="External"/><Relationship Id="rId1787" Type="http://schemas.openxmlformats.org/officeDocument/2006/relationships/hyperlink" Target="https://www.google.com/search?q=Judiciary+notes+pdf+Drishti+IAS+Vision+IAS+BPSC+Wallah" TargetMode="External"/><Relationship Id="rId1788" Type="http://schemas.openxmlformats.org/officeDocument/2006/relationships/hyperlink" Target="https://www.google.com/search?q=Judiciary+%28site%3Adrishtiias.com+OR+site%3Avisionias.in+OR+site%3Aprsindia.org%29" TargetMode="External"/><Relationship Id="rId1789" Type="http://schemas.openxmlformats.org/officeDocument/2006/relationships/hyperlink" Target="https://www.youtube.com/results?search_query=Judiciary+Drishti+IAS+BPSC" TargetMode="External"/><Relationship Id="rId1790" Type="http://schemas.openxmlformats.org/officeDocument/2006/relationships/hyperlink" Target="https://www.youtube.com/results?search_query=Judiciary+BPSC+Wallah" TargetMode="External"/><Relationship Id="rId1791" Type="http://schemas.openxmlformats.org/officeDocument/2006/relationships/hyperlink" Target="https://www.youtube.com/results?search_query=Answer+Writing+&#8211;+Economy+%26+Bihar+Economy+BPSC+Wallah" TargetMode="External"/><Relationship Id="rId1792" Type="http://schemas.openxmlformats.org/officeDocument/2006/relationships/hyperlink" Target="https://www.google.com/search?q=&#2344;&#2381;&#2351;&#2366;&#2351;&#2346;&#2366;&#2354;&#2367;&#2325;&#2366;+%28site%3Adrishtiias.com+OR+site%3Avisionias.in+OR+site%3Ancert.nic.in+OR+site%3Ajagranjosh.com+OR+site%3Agktoday.in%29" TargetMode="External"/><Relationship Id="rId1793" Type="http://schemas.openxmlformats.org/officeDocument/2006/relationships/hyperlink" Target="https://www.google.com/search?q=Federalism%3A+Centre&#8211;State+Relations+%26+Emergency+notes+pdf+Drishti+IAS+Vision+IAS+BPSC+Wallah" TargetMode="External"/><Relationship Id="rId1794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1795" Type="http://schemas.openxmlformats.org/officeDocument/2006/relationships/hyperlink" Target="https://www.youtube.com/results?search_query=Federalism%3A+Centre&#8211;State+Relations+%26+Emergency+Drishti+IAS+BPSC" TargetMode="External"/><Relationship Id="rId1796" Type="http://schemas.openxmlformats.org/officeDocument/2006/relationships/hyperlink" Target="https://www.youtube.com/results?search_query=Federalism%3A+Centre&#8211;State+Relations+%26+Emergency+BPSC+Wallah" TargetMode="External"/><Relationship Id="rId1797" Type="http://schemas.openxmlformats.org/officeDocument/2006/relationships/hyperlink" Target="https://www.youtube.com/results?search_query=Answer+Writing+&#8211;+Economy+%26+Bihar+Economy+BPSC+Wallah" TargetMode="External"/><Relationship Id="rId1798" Type="http://schemas.openxmlformats.org/officeDocument/2006/relationships/hyperlink" Target="https://www.google.com/search?q=&#2360;&#2306;&#2328;&#2357;&#2366;&#2342;%3A+&#2325;&#2375;&#2306;&#2342;&#2381;&#2352;&#8211;&#2352;&#2366;&#2332;&#2381;&#2351;+&#2360;&#2306;&#2348;&#2306;&#2343;+&#2319;&#2357;&#2306;+&#2310;&#2346;&#2366;&#2340;&#2325;&#2366;&#2354;+%28site%3Adrishtiias.com+OR+site%3Avisionias.in+OR+site%3Ancert.nic.in+OR+site%3Ajagranjosh.com+OR+site%3Agktoday.in%29" TargetMode="External"/><Relationship Id="rId1799" Type="http://schemas.openxmlformats.org/officeDocument/2006/relationships/hyperlink" Target="https://www.google.com/search?q=Federalism%3A+Centre&#8211;State+Relations+%26+Emergency+notes+pdf+Drishti+IAS+Vision+IAS+BPSC+Wallah" TargetMode="External"/><Relationship Id="rId1800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1801" Type="http://schemas.openxmlformats.org/officeDocument/2006/relationships/hyperlink" Target="https://www.youtube.com/results?search_query=Federalism%3A+Centre&#8211;State+Relations+%26+Emergency+Drishti+IAS+BPSC" TargetMode="External"/><Relationship Id="rId1802" Type="http://schemas.openxmlformats.org/officeDocument/2006/relationships/hyperlink" Target="https://www.youtube.com/results?search_query=Federalism%3A+Centre&#8211;State+Relations+%26+Emergency+BPSC+Wallah" TargetMode="External"/><Relationship Id="rId1803" Type="http://schemas.openxmlformats.org/officeDocument/2006/relationships/hyperlink" Target="https://www.youtube.com/results?search_query=Answer+Writing+&#8211;+Economy+%26+Bihar+Economy+BPSC+Wallah" TargetMode="External"/><Relationship Id="rId1804" Type="http://schemas.openxmlformats.org/officeDocument/2006/relationships/hyperlink" Target="https://www.google.com/search?q=&#2360;&#2306;&#2328;&#2357;&#2366;&#2342;%3A+&#2325;&#2375;&#2306;&#2342;&#2381;&#2352;&#8211;&#2352;&#2366;&#2332;&#2381;&#2351;+&#2360;&#2306;&#2348;&#2306;&#2343;+&#2319;&#2357;&#2306;+&#2310;&#2346;&#2366;&#2340;&#2325;&#2366;&#2354;+%28site%3Adrishtiias.com+OR+site%3Avisionias.in+OR+site%3Ancert.nic.in+OR+site%3Ajagranjosh.com+OR+site%3Agktoday.in%29" TargetMode="External"/><Relationship Id="rId1805" Type="http://schemas.openxmlformats.org/officeDocument/2006/relationships/hyperlink" Target="https://www.google.com/search?q=BPSC+weekly+revision+notes+pdf+Drishti+IAS+Vision+IAS" TargetMode="External"/><Relationship Id="rId1806" Type="http://schemas.openxmlformats.org/officeDocument/2006/relationships/hyperlink" Target="https://www.google.com/search?q=weekly+current+affairs+revision+%28site%3Adrishtiias.com+OR+site%3Avisionias.in+OR+site%3Apib.gov.in%29" TargetMode="External"/><Relationship Id="rId1807" Type="http://schemas.openxmlformats.org/officeDocument/2006/relationships/hyperlink" Target="https://www.youtube.com/results?search_query=BPSC+prelims+mock+test+analysis+strategy+Drishti+IAS" TargetMode="External"/><Relationship Id="rId1808" Type="http://schemas.openxmlformats.org/officeDocument/2006/relationships/hyperlink" Target="https://www.youtube.com/results?search_query=BPSC+Wallah+BPSC+prelims+test+series+discussion" TargetMode="External"/><Relationship Id="rId1809" Type="http://schemas.openxmlformats.org/officeDocument/2006/relationships/hyperlink" Target="https://www.youtube.com/results?search_query=BPSC+Wallah+BPSC+revision+strategy" TargetMode="External"/><Relationship Id="rId1810" Type="http://schemas.openxmlformats.org/officeDocument/2006/relationships/hyperlink" Target="https://www.google.com/search?q=Federalism%3A+Centre&#8211;State+Relations+%26+Emergency+notes+pdf+Drishti+IAS+Vision+IAS+BPSC+Wallah" TargetMode="External"/><Relationship Id="rId1811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1812" Type="http://schemas.openxmlformats.org/officeDocument/2006/relationships/hyperlink" Target="https://www.youtube.com/results?search_query=Federalism%3A+Centre&#8211;State+Relations+%26+Emergency+Drishti+IAS+BPSC" TargetMode="External"/><Relationship Id="rId1813" Type="http://schemas.openxmlformats.org/officeDocument/2006/relationships/hyperlink" Target="https://www.youtube.com/results?search_query=Federalism%3A+Centre&#8211;State+Relations+%26+Emergency+BPSC+Wallah" TargetMode="External"/><Relationship Id="rId1814" Type="http://schemas.openxmlformats.org/officeDocument/2006/relationships/hyperlink" Target="https://www.youtube.com/results?search_query=Answer+Writing+&#8211;+Economy+%26+Bihar+Economy+BPSC+Wallah" TargetMode="External"/><Relationship Id="rId1815" Type="http://schemas.openxmlformats.org/officeDocument/2006/relationships/hyperlink" Target="https://www.google.com/search?q=&#2360;&#2306;&#2328;&#2357;&#2366;&#2342;%3A+&#2325;&#2375;&#2306;&#2342;&#2381;&#2352;&#8211;&#2352;&#2366;&#2332;&#2381;&#2351;+&#2360;&#2306;&#2348;&#2306;&#2343;+&#2319;&#2357;&#2306;+&#2310;&#2346;&#2366;&#2340;&#2325;&#2366;&#2354;+%28site%3Adrishtiias.com+OR+site%3Avisionias.in+OR+site%3Ancert.nic.in+OR+site%3Ajagranjosh.com+OR+site%3Agktoday.in%29" TargetMode="External"/><Relationship Id="rId1816" Type="http://schemas.openxmlformats.org/officeDocument/2006/relationships/hyperlink" Target="https://www.google.com/search?q=State+Government%2C+Panchayati+Raj+%26+Municipalities+notes+pdf+Drishti+IAS+Vision+IAS+BPSC+Wallah" TargetMode="External"/><Relationship Id="rId1817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1818" Type="http://schemas.openxmlformats.org/officeDocument/2006/relationships/hyperlink" Target="https://www.youtube.com/results?search_query=State+Government%2C+Panchayati+Raj+%26+Municipalities+Drishti+IAS+BPSC" TargetMode="External"/><Relationship Id="rId1819" Type="http://schemas.openxmlformats.org/officeDocument/2006/relationships/hyperlink" Target="https://www.youtube.com/results?search_query=State+Government%2C+Panchayati+Raj+%26+Municipalities+BPSC+Wallah" TargetMode="External"/><Relationship Id="rId1820" Type="http://schemas.openxmlformats.org/officeDocument/2006/relationships/hyperlink" Target="https://www.youtube.com/results?search_query=Answer+Writing+&#8211;+Economy+%26+Bihar+Economy+BPSC+Wallah" TargetMode="External"/><Relationship Id="rId1821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1822" Type="http://schemas.openxmlformats.org/officeDocument/2006/relationships/hyperlink" Target="https://www.google.com/search?q=State+Government%2C+Panchayati+Raj+%26+Municipalities+notes+pdf+Drishti+IAS+Vision+IAS+BPSC+Wallah" TargetMode="External"/><Relationship Id="rId1823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1824" Type="http://schemas.openxmlformats.org/officeDocument/2006/relationships/hyperlink" Target="https://www.youtube.com/results?search_query=State+Government%2C+Panchayati+Raj+%26+Municipalities+Drishti+IAS+BPSC" TargetMode="External"/><Relationship Id="rId1825" Type="http://schemas.openxmlformats.org/officeDocument/2006/relationships/hyperlink" Target="https://www.youtube.com/results?search_query=State+Government%2C+Panchayati+Raj+%26+Municipalities+BPSC+Wallah" TargetMode="External"/><Relationship Id="rId1826" Type="http://schemas.openxmlformats.org/officeDocument/2006/relationships/hyperlink" Target="https://www.youtube.com/results?search_query=Answer+Writing+&#8211;+Science%2C+Technology+%26+Environment+BPSC+Wallah" TargetMode="External"/><Relationship Id="rId1827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1828" Type="http://schemas.openxmlformats.org/officeDocument/2006/relationships/hyperlink" Target="https://www.google.com/search?q=State+Government%2C+Panchayati+Raj+%26+Municipalities+notes+pdf+Drishti+IAS+Vision+IAS+BPSC+Wallah" TargetMode="External"/><Relationship Id="rId1829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1830" Type="http://schemas.openxmlformats.org/officeDocument/2006/relationships/hyperlink" Target="https://www.youtube.com/results?search_query=State+Government%2C+Panchayati+Raj+%26+Municipalities+Drishti+IAS+BPSC" TargetMode="External"/><Relationship Id="rId1831" Type="http://schemas.openxmlformats.org/officeDocument/2006/relationships/hyperlink" Target="https://www.youtube.com/results?search_query=State+Government%2C+Panchayati+Raj+%26+Municipalities+BPSC+Wallah" TargetMode="External"/><Relationship Id="rId1832" Type="http://schemas.openxmlformats.org/officeDocument/2006/relationships/hyperlink" Target="https://www.youtube.com/results?search_query=Answer+Writing+&#8211;+Science%2C+Technology+%26+Environment+BPSC+Wallah" TargetMode="External"/><Relationship Id="rId1833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1834" Type="http://schemas.openxmlformats.org/officeDocument/2006/relationships/hyperlink" Target="https://www.google.com/search?q=State+Government%2C+Panchayati+Raj+%26+Municipalities+notes+pdf+Drishti+IAS+Vision+IAS+BPSC+Wallah" TargetMode="External"/><Relationship Id="rId1835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1836" Type="http://schemas.openxmlformats.org/officeDocument/2006/relationships/hyperlink" Target="https://www.youtube.com/results?search_query=State+Government%2C+Panchayati+Raj+%26+Municipalities+Drishti+IAS+BPSC" TargetMode="External"/><Relationship Id="rId1837" Type="http://schemas.openxmlformats.org/officeDocument/2006/relationships/hyperlink" Target="https://www.youtube.com/results?search_query=State+Government%2C+Panchayati+Raj+%26+Municipalities+BPSC+Wallah" TargetMode="External"/><Relationship Id="rId1838" Type="http://schemas.openxmlformats.org/officeDocument/2006/relationships/hyperlink" Target="https://www.youtube.com/results?search_query=Answer+Writing+&#8211;+Science%2C+Technology+%26+Environment+BPSC+Wallah" TargetMode="External"/><Relationship Id="rId1839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1840" Type="http://schemas.openxmlformats.org/officeDocument/2006/relationships/hyperlink" Target="https://www.google.com/search?q=State+Government%2C+Panchayati+Raj+%26+Municipalities+notes+pdf+Drishti+IAS+Vision+IAS+BPSC+Wallah" TargetMode="External"/><Relationship Id="rId1841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1842" Type="http://schemas.openxmlformats.org/officeDocument/2006/relationships/hyperlink" Target="https://www.youtube.com/results?search_query=State+Government%2C+Panchayati+Raj+%26+Municipalities+Drishti+IAS+BPSC" TargetMode="External"/><Relationship Id="rId1843" Type="http://schemas.openxmlformats.org/officeDocument/2006/relationships/hyperlink" Target="https://www.youtube.com/results?search_query=State+Government%2C+Panchayati+Raj+%26+Municipalities+BPSC+Wallah" TargetMode="External"/><Relationship Id="rId1844" Type="http://schemas.openxmlformats.org/officeDocument/2006/relationships/hyperlink" Target="https://www.youtube.com/results?search_query=Answer+Writing+&#8211;+Science%2C+Technology+%26+Environment+BPSC+Wallah" TargetMode="External"/><Relationship Id="rId1845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1846" Type="http://schemas.openxmlformats.org/officeDocument/2006/relationships/hyperlink" Target="https://www.google.com/search?q=BPSC+weekly+revision+notes+pdf+Drishti+IAS+Vision+IAS" TargetMode="External"/><Relationship Id="rId1847" Type="http://schemas.openxmlformats.org/officeDocument/2006/relationships/hyperlink" Target="https://www.google.com/search?q=weekly+current+affairs+revision+%28site%3Adrishtiias.com+OR+site%3Avisionias.in+OR+site%3Apib.gov.in%29" TargetMode="External"/><Relationship Id="rId1848" Type="http://schemas.openxmlformats.org/officeDocument/2006/relationships/hyperlink" Target="https://www.youtube.com/results?search_query=BPSC+prelims+mock+test+analysis+strategy+Drishti+IAS" TargetMode="External"/><Relationship Id="rId1849" Type="http://schemas.openxmlformats.org/officeDocument/2006/relationships/hyperlink" Target="https://www.youtube.com/results?search_query=BPSC+Wallah+BPSC+prelims+test+series+discussion" TargetMode="External"/><Relationship Id="rId1850" Type="http://schemas.openxmlformats.org/officeDocument/2006/relationships/hyperlink" Target="https://www.youtube.com/results?search_query=BPSC+Wallah+BPSC+revision+strategy" TargetMode="External"/><Relationship Id="rId1851" Type="http://schemas.openxmlformats.org/officeDocument/2006/relationships/hyperlink" Target="https://www.google.com/search?q=Constitutional+%26+Non-Constitutional+Bodies+notes+pdf+Drishti+IAS+Vision+IAS+BPSC+Wallah" TargetMode="External"/><Relationship Id="rId1852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1853" Type="http://schemas.openxmlformats.org/officeDocument/2006/relationships/hyperlink" Target="https://www.youtube.com/results?search_query=Constitutional+%26+Non-Constitutional+Bodies+Drishti+IAS+BPSC" TargetMode="External"/><Relationship Id="rId1854" Type="http://schemas.openxmlformats.org/officeDocument/2006/relationships/hyperlink" Target="https://www.youtube.com/results?search_query=Constitutional+%26+Non-Constitutional+Bodies+BPSC+Wallah" TargetMode="External"/><Relationship Id="rId1855" Type="http://schemas.openxmlformats.org/officeDocument/2006/relationships/hyperlink" Target="https://www.youtube.com/results?search_query=Answer+Writing+&#8211;+Science%2C+Technology+%26+Environment+BPSC+Wallah" TargetMode="External"/><Relationship Id="rId1856" Type="http://schemas.openxmlformats.org/officeDocument/2006/relationships/hyperlink" Target="https://www.google.com/search?q=&#2360;&#2306;&#2357;&#2376;&#2343;&#2366;&#2344;&#2367;&#2325;+&#2319;&#2357;&#2306;+&#2327;&#2376;&#2352;-&#2360;&#2306;&#2357;&#2376;&#2343;&#2366;&#2344;&#2367;&#2325;+&#2344;&#2367;&#2325;&#2366;&#2351;+%28site%3Adrishtiias.com+OR+site%3Avisionias.in+OR+site%3Ancert.nic.in+OR+site%3Ajagranjosh.com+OR+site%3Agktoday.in%29" TargetMode="External"/><Relationship Id="rId1857" Type="http://schemas.openxmlformats.org/officeDocument/2006/relationships/hyperlink" Target="https://www.google.com/search?q=Constitutional+%26+Non-Constitutional+Bodies+notes+pdf+Drishti+IAS+Vision+IAS+BPSC+Wallah" TargetMode="External"/><Relationship Id="rId1858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1859" Type="http://schemas.openxmlformats.org/officeDocument/2006/relationships/hyperlink" Target="https://www.youtube.com/results?search_query=Constitutional+%26+Non-Constitutional+Bodies+Drishti+IAS+BPSC" TargetMode="External"/><Relationship Id="rId1860" Type="http://schemas.openxmlformats.org/officeDocument/2006/relationships/hyperlink" Target="https://www.youtube.com/results?search_query=Constitutional+%26+Non-Constitutional+Bodies+BPSC+Wallah" TargetMode="External"/><Relationship Id="rId1861" Type="http://schemas.openxmlformats.org/officeDocument/2006/relationships/hyperlink" Target="https://www.youtube.com/results?search_query=Answer+Writing+&#8211;+Science%2C+Technology+%26+Environment+BPSC+Wallah" TargetMode="External"/><Relationship Id="rId1862" Type="http://schemas.openxmlformats.org/officeDocument/2006/relationships/hyperlink" Target="https://www.google.com/search?q=&#2360;&#2306;&#2357;&#2376;&#2343;&#2366;&#2344;&#2367;&#2325;+&#2319;&#2357;&#2306;+&#2327;&#2376;&#2352;-&#2360;&#2306;&#2357;&#2376;&#2343;&#2366;&#2344;&#2367;&#2325;+&#2344;&#2367;&#2325;&#2366;&#2351;+%28site%3Adrishtiias.com+OR+site%3Avisionias.in+OR+site%3Ancert.nic.in+OR+site%3Ajagranjosh.com+OR+site%3Agktoday.in%29" TargetMode="External"/><Relationship Id="rId1863" Type="http://schemas.openxmlformats.org/officeDocument/2006/relationships/hyperlink" Target="https://www.google.com/search?q=Constitutional+%26+Non-Constitutional+Bodies+notes+pdf+Drishti+IAS+Vision+IAS+BPSC+Wallah" TargetMode="External"/><Relationship Id="rId1864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1865" Type="http://schemas.openxmlformats.org/officeDocument/2006/relationships/hyperlink" Target="https://www.youtube.com/results?search_query=Constitutional+%26+Non-Constitutional+Bodies+Drishti+IAS+BPSC" TargetMode="External"/><Relationship Id="rId1866" Type="http://schemas.openxmlformats.org/officeDocument/2006/relationships/hyperlink" Target="https://www.youtube.com/results?search_query=Constitutional+%26+Non-Constitutional+Bodies+BPSC+Wallah" TargetMode="External"/><Relationship Id="rId1867" Type="http://schemas.openxmlformats.org/officeDocument/2006/relationships/hyperlink" Target="https://www.youtube.com/results?search_query=Answer+Writing+&#8211;+Science%2C+Technology+%26+Environment+BPSC+Wallah" TargetMode="External"/><Relationship Id="rId1868" Type="http://schemas.openxmlformats.org/officeDocument/2006/relationships/hyperlink" Target="https://www.google.com/search?q=&#2360;&#2306;&#2357;&#2376;&#2343;&#2366;&#2344;&#2367;&#2325;+&#2319;&#2357;&#2306;+&#2327;&#2376;&#2352;-&#2360;&#2306;&#2357;&#2376;&#2343;&#2366;&#2344;&#2367;&#2325;+&#2344;&#2367;&#2325;&#2366;&#2351;+%28site%3Adrishtiias.com+OR+site%3Avisionias.in+OR+site%3Ancert.nic.in+OR+site%3Ajagranjosh.com+OR+site%3Agktoday.in%29" TargetMode="External"/><Relationship Id="rId1869" Type="http://schemas.openxmlformats.org/officeDocument/2006/relationships/hyperlink" Target="https://www.google.com/search?q=Governance%2C+Rights+%26+Social+Justice+notes+pdf+Drishti+IAS+Vision+IAS+BPSC+Wallah" TargetMode="External"/><Relationship Id="rId1870" Type="http://schemas.openxmlformats.org/officeDocument/2006/relationships/hyperlink" Target="https://www.google.com/search?q=Governance%2C+Rights+%26+Social+Justice+%28site%3Adrishtiias.com+OR+site%3Avisionias.in+OR+site%3Aprsindia.org%29" TargetMode="External"/><Relationship Id="rId1871" Type="http://schemas.openxmlformats.org/officeDocument/2006/relationships/hyperlink" Target="https://www.youtube.com/results?search_query=Governance%2C+Rights+%26+Social+Justice+Drishti+IAS+BPSC" TargetMode="External"/><Relationship Id="rId1872" Type="http://schemas.openxmlformats.org/officeDocument/2006/relationships/hyperlink" Target="https://www.youtube.com/results?search_query=Governance%2C+Rights+%26+Social+Justice+BPSC+Wallah" TargetMode="External"/><Relationship Id="rId1873" Type="http://schemas.openxmlformats.org/officeDocument/2006/relationships/hyperlink" Target="https://www.youtube.com/results?search_query=Answer+Writing+&#8211;+Science%2C+Technology+%26+Environment+BPSC+Wallah" TargetMode="External"/><Relationship Id="rId1874" Type="http://schemas.openxmlformats.org/officeDocument/2006/relationships/hyperlink" Target="https://www.google.com/search?q=&#2358;&#2366;&#2360;&#2344;%2C+&#2309;&#2343;&#2367;&#2325;&#2366;&#2352;+&#2319;&#2357;&#2306;+&#2360;&#2366;&#2350;&#2366;&#2332;&#2367;&#2325;+&#2344;&#2381;&#2351;&#2366;&#2351;+%28site%3Adrishtiias.com+OR+site%3Avisionias.in+OR+site%3Ancert.nic.in+OR+site%3Ajagranjosh.com+OR+site%3Agktoday.in%29" TargetMode="External"/><Relationship Id="rId1875" Type="http://schemas.openxmlformats.org/officeDocument/2006/relationships/hyperlink" Target="https://www.google.com/search?q=Governance%2C+Rights+%26+Social+Justice+notes+pdf+Drishti+IAS+Vision+IAS+BPSC+Wallah" TargetMode="External"/><Relationship Id="rId1876" Type="http://schemas.openxmlformats.org/officeDocument/2006/relationships/hyperlink" Target="https://www.google.com/search?q=Governance%2C+Rights+%26+Social+Justice+%28site%3Adrishtiias.com+OR+site%3Avisionias.in+OR+site%3Aprsindia.org%29" TargetMode="External"/><Relationship Id="rId1877" Type="http://schemas.openxmlformats.org/officeDocument/2006/relationships/hyperlink" Target="https://www.youtube.com/results?search_query=Governance%2C+Rights+%26+Social+Justice+Drishti+IAS+BPSC" TargetMode="External"/><Relationship Id="rId1878" Type="http://schemas.openxmlformats.org/officeDocument/2006/relationships/hyperlink" Target="https://www.youtube.com/results?search_query=Governance%2C+Rights+%26+Social+Justice+BPSC+Wallah" TargetMode="External"/><Relationship Id="rId1879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880" Type="http://schemas.openxmlformats.org/officeDocument/2006/relationships/hyperlink" Target="https://www.google.com/search?q=&#2358;&#2366;&#2360;&#2344;%2C+&#2309;&#2343;&#2367;&#2325;&#2366;&#2352;+&#2319;&#2357;&#2306;+&#2360;&#2366;&#2350;&#2366;&#2332;&#2367;&#2325;+&#2344;&#2381;&#2351;&#2366;&#2351;+%28site%3Adrishtiias.com+OR+site%3Avisionias.in+OR+site%3Ancert.nic.in+OR+site%3Ajagranjosh.com+OR+site%3Agktoday.in%29" TargetMode="External"/><Relationship Id="rId1881" Type="http://schemas.openxmlformats.org/officeDocument/2006/relationships/hyperlink" Target="https://www.google.com/search?q=Governance%2C+Rights+%26+Social+Justice+notes+pdf+Drishti+IAS+Vision+IAS+BPSC+Wallah" TargetMode="External"/><Relationship Id="rId1882" Type="http://schemas.openxmlformats.org/officeDocument/2006/relationships/hyperlink" Target="https://www.google.com/search?q=Governance%2C+Rights+%26+Social+Justice+%28site%3Adrishtiias.com+OR+site%3Avisionias.in+OR+site%3Aprsindia.org%29" TargetMode="External"/><Relationship Id="rId1883" Type="http://schemas.openxmlformats.org/officeDocument/2006/relationships/hyperlink" Target="https://www.youtube.com/results?search_query=Governance%2C+Rights+%26+Social+Justice+Drishti+IAS+BPSC" TargetMode="External"/><Relationship Id="rId1884" Type="http://schemas.openxmlformats.org/officeDocument/2006/relationships/hyperlink" Target="https://www.youtube.com/results?search_query=Governance%2C+Rights+%26+Social+Justice+BPSC+Wallah" TargetMode="External"/><Relationship Id="rId1885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886" Type="http://schemas.openxmlformats.org/officeDocument/2006/relationships/hyperlink" Target="https://www.google.com/search?q=&#2358;&#2366;&#2360;&#2344;%2C+&#2309;&#2343;&#2367;&#2325;&#2366;&#2352;+&#2319;&#2357;&#2306;+&#2360;&#2366;&#2350;&#2366;&#2332;&#2367;&#2325;+&#2344;&#2381;&#2351;&#2366;&#2351;+%28site%3Adrishtiias.com+OR+site%3Avisionias.in+OR+site%3Ancert.nic.in+OR+site%3Ajagranjosh.com+OR+site%3Agktoday.in%29" TargetMode="External"/><Relationship Id="rId1887" Type="http://schemas.openxmlformats.org/officeDocument/2006/relationships/hyperlink" Target="https://www.google.com/search?q=BPSC+weekly+revision+notes+pdf+Drishti+IAS+Vision+IAS" TargetMode="External"/><Relationship Id="rId1888" Type="http://schemas.openxmlformats.org/officeDocument/2006/relationships/hyperlink" Target="https://www.google.com/search?q=weekly+current+affairs+revision+%28site%3Adrishtiias.com+OR+site%3Avisionias.in+OR+site%3Apib.gov.in%29" TargetMode="External"/><Relationship Id="rId1889" Type="http://schemas.openxmlformats.org/officeDocument/2006/relationships/hyperlink" Target="https://www.youtube.com/results?search_query=BPSC+prelims+mock+test+analysis+strategy+Drishti+IAS" TargetMode="External"/><Relationship Id="rId1890" Type="http://schemas.openxmlformats.org/officeDocument/2006/relationships/hyperlink" Target="https://www.youtube.com/results?search_query=BPSC+Wallah+BPSC+prelims+test+series+discussion" TargetMode="External"/><Relationship Id="rId1891" Type="http://schemas.openxmlformats.org/officeDocument/2006/relationships/hyperlink" Target="https://www.youtube.com/results?search_query=BPSC+Wallah+BPSC+revision+strategy" TargetMode="External"/><Relationship Id="rId1892" Type="http://schemas.openxmlformats.org/officeDocument/2006/relationships/hyperlink" Target="https://www.google.com/search?q=Basic+Concepts%2C+National+Income+%26+Inflation+notes+pdf+Drishti+IAS+Vision+IAS+BPSC+Wallah" TargetMode="External"/><Relationship Id="rId1893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1894" Type="http://schemas.openxmlformats.org/officeDocument/2006/relationships/hyperlink" Target="https://www.youtube.com/results?search_query=Basic+Concepts%2C+National+Income+%26+Inflation+Drishti+IAS+BPSC" TargetMode="External"/><Relationship Id="rId1895" Type="http://schemas.openxmlformats.org/officeDocument/2006/relationships/hyperlink" Target="https://www.youtube.com/results?search_query=Basic+Concepts%2C+National+Income+%26+Inflation+BPSC+Wallah" TargetMode="External"/><Relationship Id="rId1896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897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1898" Type="http://schemas.openxmlformats.org/officeDocument/2006/relationships/hyperlink" Target="https://www.google.com/search?q=Basic+Concepts%2C+National+Income+%26+Inflation+notes+pdf+Drishti+IAS+Vision+IAS+BPSC+Wallah" TargetMode="External"/><Relationship Id="rId1899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1900" Type="http://schemas.openxmlformats.org/officeDocument/2006/relationships/hyperlink" Target="https://www.youtube.com/results?search_query=Basic+Concepts%2C+National+Income+%26+Inflation+Drishti+IAS+BPSC" TargetMode="External"/><Relationship Id="rId1901" Type="http://schemas.openxmlformats.org/officeDocument/2006/relationships/hyperlink" Target="https://www.youtube.com/results?search_query=Basic+Concepts%2C+National+Income+%26+Inflation+BPSC+Wallah" TargetMode="External"/><Relationship Id="rId1902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903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1904" Type="http://schemas.openxmlformats.org/officeDocument/2006/relationships/hyperlink" Target="https://www.google.com/search?q=Basic+Concepts%2C+National+Income+%26+Inflation+notes+pdf+Drishti+IAS+Vision+IAS+BPSC+Wallah" TargetMode="External"/><Relationship Id="rId1905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1906" Type="http://schemas.openxmlformats.org/officeDocument/2006/relationships/hyperlink" Target="https://www.youtube.com/results?search_query=Basic+Concepts%2C+National+Income+%26+Inflation+Drishti+IAS+BPSC" TargetMode="External"/><Relationship Id="rId1907" Type="http://schemas.openxmlformats.org/officeDocument/2006/relationships/hyperlink" Target="https://www.youtube.com/results?search_query=Basic+Concepts%2C+National+Income+%26+Inflation+BPSC+Wallah" TargetMode="External"/><Relationship Id="rId1908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909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1910" Type="http://schemas.openxmlformats.org/officeDocument/2006/relationships/hyperlink" Target="https://www.google.com/search?q=Basic+Concepts%2C+National+Income+%26+Inflation+notes+pdf+Drishti+IAS+Vision+IAS+BPSC+Wallah" TargetMode="External"/><Relationship Id="rId1911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1912" Type="http://schemas.openxmlformats.org/officeDocument/2006/relationships/hyperlink" Target="https://www.youtube.com/results?search_query=Basic+Concepts%2C+National+Income+%26+Inflation+Drishti+IAS+BPSC" TargetMode="External"/><Relationship Id="rId1913" Type="http://schemas.openxmlformats.org/officeDocument/2006/relationships/hyperlink" Target="https://www.youtube.com/results?search_query=Basic+Concepts%2C+National+Income+%26+Inflation+BPSC+Wallah" TargetMode="External"/><Relationship Id="rId1914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915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1916" Type="http://schemas.openxmlformats.org/officeDocument/2006/relationships/hyperlink" Target="https://www.google.com/search?q=Planning%2C+Poverty+%26+Unemployment+notes+pdf+Drishti+IAS+Vision+IAS+BPSC+Wallah" TargetMode="External"/><Relationship Id="rId1917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1918" Type="http://schemas.openxmlformats.org/officeDocument/2006/relationships/hyperlink" Target="https://www.youtube.com/results?search_query=Planning%2C+Poverty+%26+Unemployment+Drishti+IAS+BPSC" TargetMode="External"/><Relationship Id="rId1919" Type="http://schemas.openxmlformats.org/officeDocument/2006/relationships/hyperlink" Target="https://www.youtube.com/results?search_query=Planning%2C+Poverty+%26+Unemployment+BPSC+Wallah" TargetMode="External"/><Relationship Id="rId1920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921" Type="http://schemas.openxmlformats.org/officeDocument/2006/relationships/hyperlink" Target="https://www.google.com/search?q=&#2344;&#2367;&#2351;&#2379;&#2332;&#2344;%2C+&#2327;&#2352;&#2368;&#2348;&#2368;+&#2319;&#2357;&#2306;+&#2348;&#2375;&#2352;&#2379;&#2332;&#2364;&#2327;&#2366;&#2352;&#2368;+%28site%3Adrishtiias.com+OR+site%3Avisionias.in+OR+site%3Ancert.nic.in+OR+site%3Ajagranjosh.com+OR+site%3Agktoday.in%29" TargetMode="External"/><Relationship Id="rId1922" Type="http://schemas.openxmlformats.org/officeDocument/2006/relationships/hyperlink" Target="https://www.google.com/search?q=Planning%2C+Poverty+%26+Unemployment+notes+pdf+Drishti+IAS+Vision+IAS+BPSC+Wallah" TargetMode="External"/><Relationship Id="rId1923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1924" Type="http://schemas.openxmlformats.org/officeDocument/2006/relationships/hyperlink" Target="https://www.youtube.com/results?search_query=Planning%2C+Poverty+%26+Unemployment+Drishti+IAS+BPSC" TargetMode="External"/><Relationship Id="rId1925" Type="http://schemas.openxmlformats.org/officeDocument/2006/relationships/hyperlink" Target="https://www.youtube.com/results?search_query=Planning%2C+Poverty+%26+Unemployment+BPSC+Wallah" TargetMode="External"/><Relationship Id="rId1926" Type="http://schemas.openxmlformats.org/officeDocument/2006/relationships/hyperlink" Target="https://www.youtube.com/results?search_query=Bihar+Current+Issues%3A+Floods%2C+Migration%2C+Education%2C+Health%2C+Industrialisation+BPSC+Wallah" TargetMode="External"/><Relationship Id="rId1927" Type="http://schemas.openxmlformats.org/officeDocument/2006/relationships/hyperlink" Target="https://www.google.com/search?q=&#2344;&#2367;&#2351;&#2379;&#2332;&#2344;%2C+&#2327;&#2352;&#2368;&#2348;&#2368;+&#2319;&#2357;&#2306;+&#2348;&#2375;&#2352;&#2379;&#2332;&#2364;&#2327;&#2366;&#2352;&#2368;+%28site%3Adrishtiias.com+OR+site%3Avisionias.in+OR+site%3Ancert.nic.in+OR+site%3Ajagranjosh.com+OR+site%3Agktoday.in%29" TargetMode="External"/><Relationship Id="rId1928" Type="http://schemas.openxmlformats.org/officeDocument/2006/relationships/hyperlink" Target="https://www.google.com/search?q=BPSC+weekly+revision+notes+pdf+Drishti+IAS+Vision+IAS" TargetMode="External"/><Relationship Id="rId1929" Type="http://schemas.openxmlformats.org/officeDocument/2006/relationships/hyperlink" Target="https://www.google.com/search?q=weekly+current+affairs+revision+%28site%3Adrishtiias.com+OR+site%3Avisionias.in+OR+site%3Apib.gov.in%29" TargetMode="External"/><Relationship Id="rId1930" Type="http://schemas.openxmlformats.org/officeDocument/2006/relationships/hyperlink" Target="https://www.youtube.com/results?search_query=BPSC+prelims+mock+test+analysis+strategy+Drishti+IAS" TargetMode="External"/><Relationship Id="rId1931" Type="http://schemas.openxmlformats.org/officeDocument/2006/relationships/hyperlink" Target="https://www.youtube.com/results?search_query=BPSC+Wallah+BPSC+prelims+test+series+discussion" TargetMode="External"/><Relationship Id="rId1932" Type="http://schemas.openxmlformats.org/officeDocument/2006/relationships/hyperlink" Target="https://www.youtube.com/results?search_query=BPSC+Wallah+BPSC+revision+strategy" TargetMode="External"/><Relationship Id="rId1933" Type="http://schemas.openxmlformats.org/officeDocument/2006/relationships/hyperlink" Target="https://www.google.com/search?q=Planning%2C+Poverty+%26+Unemployment+notes+pdf+Drishti+IAS+Vision+IAS+BPSC+Wallah" TargetMode="External"/><Relationship Id="rId1934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1935" Type="http://schemas.openxmlformats.org/officeDocument/2006/relationships/hyperlink" Target="https://www.youtube.com/results?search_query=Planning%2C+Poverty+%26+Unemployment+Drishti+IAS+BPSC" TargetMode="External"/><Relationship Id="rId1936" Type="http://schemas.openxmlformats.org/officeDocument/2006/relationships/hyperlink" Target="https://www.youtube.com/results?search_query=Planning%2C+Poverty+%26+Unemployment+BPSC+Wallah" TargetMode="External"/><Relationship Id="rId1937" Type="http://schemas.openxmlformats.org/officeDocument/2006/relationships/hyperlink" Target="https://www.youtube.com/results?search_query=Social+Issues+%26+Contemporary+Topics+BPSC+Wallah" TargetMode="External"/><Relationship Id="rId1938" Type="http://schemas.openxmlformats.org/officeDocument/2006/relationships/hyperlink" Target="https://www.google.com/search?q=&#2344;&#2367;&#2351;&#2379;&#2332;&#2344;%2C+&#2327;&#2352;&#2368;&#2348;&#2368;+&#2319;&#2357;&#2306;+&#2348;&#2375;&#2352;&#2379;&#2332;&#2364;&#2327;&#2366;&#2352;&#2368;+%28site%3Adrishtiias.com+OR+site%3Avisionias.in+OR+site%3Ancert.nic.in+OR+site%3Ajagranjosh.com+OR+site%3Agktoday.in%29" TargetMode="External"/><Relationship Id="rId1939" Type="http://schemas.openxmlformats.org/officeDocument/2006/relationships/hyperlink" Target="https://www.google.com/search?q=Money%2C+Banking+%26+Monetary+Policy+notes+pdf+Drishti+IAS+Vision+IAS+BPSC+Wallah" TargetMode="External"/><Relationship Id="rId1940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1941" Type="http://schemas.openxmlformats.org/officeDocument/2006/relationships/hyperlink" Target="https://www.youtube.com/results?search_query=Money%2C+Banking+%26+Monetary+Policy+Drishti+IAS+BPSC" TargetMode="External"/><Relationship Id="rId1942" Type="http://schemas.openxmlformats.org/officeDocument/2006/relationships/hyperlink" Target="https://www.youtube.com/results?search_query=Money%2C+Banking+%26+Monetary+Policy+BPSC+Wallah" TargetMode="External"/><Relationship Id="rId1943" Type="http://schemas.openxmlformats.org/officeDocument/2006/relationships/hyperlink" Target="https://www.youtube.com/results?search_query=Social+Issues+%26+Contemporary+Topics+BPSC+Wallah" TargetMode="External"/><Relationship Id="rId1944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1945" Type="http://schemas.openxmlformats.org/officeDocument/2006/relationships/hyperlink" Target="https://www.google.com/search?q=Money%2C+Banking+%26+Monetary+Policy+notes+pdf+Drishti+IAS+Vision+IAS+BPSC+Wallah" TargetMode="External"/><Relationship Id="rId1946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1947" Type="http://schemas.openxmlformats.org/officeDocument/2006/relationships/hyperlink" Target="https://www.youtube.com/results?search_query=Money%2C+Banking+%26+Monetary+Policy+Drishti+IAS+BPSC" TargetMode="External"/><Relationship Id="rId1948" Type="http://schemas.openxmlformats.org/officeDocument/2006/relationships/hyperlink" Target="https://www.youtube.com/results?search_query=Money%2C+Banking+%26+Monetary+Policy+BPSC+Wallah" TargetMode="External"/><Relationship Id="rId1949" Type="http://schemas.openxmlformats.org/officeDocument/2006/relationships/hyperlink" Target="https://www.youtube.com/results?search_query=Social+Issues+%26+Contemporary+Topics+BPSC+Wallah" TargetMode="External"/><Relationship Id="rId1950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1951" Type="http://schemas.openxmlformats.org/officeDocument/2006/relationships/hyperlink" Target="https://www.google.com/search?q=Money%2C+Banking+%26+Monetary+Policy+notes+pdf+Drishti+IAS+Vision+IAS+BPSC+Wallah" TargetMode="External"/><Relationship Id="rId1952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1953" Type="http://schemas.openxmlformats.org/officeDocument/2006/relationships/hyperlink" Target="https://www.youtube.com/results?search_query=Money%2C+Banking+%26+Monetary+Policy+Drishti+IAS+BPSC" TargetMode="External"/><Relationship Id="rId1954" Type="http://schemas.openxmlformats.org/officeDocument/2006/relationships/hyperlink" Target="https://www.youtube.com/results?search_query=Money%2C+Banking+%26+Monetary+Policy+BPSC+Wallah" TargetMode="External"/><Relationship Id="rId1955" Type="http://schemas.openxmlformats.org/officeDocument/2006/relationships/hyperlink" Target="https://www.youtube.com/results?search_query=Social+Issues+%26+Contemporary+Topics+BPSC+Wallah" TargetMode="External"/><Relationship Id="rId1956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1957" Type="http://schemas.openxmlformats.org/officeDocument/2006/relationships/hyperlink" Target="https://www.google.com/search?q=Money%2C+Banking+%26+Monetary+Policy+notes+pdf+Drishti+IAS+Vision+IAS+BPSC+Wallah" TargetMode="External"/><Relationship Id="rId1958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1959" Type="http://schemas.openxmlformats.org/officeDocument/2006/relationships/hyperlink" Target="https://www.youtube.com/results?search_query=Money%2C+Banking+%26+Monetary+Policy+Drishti+IAS+BPSC" TargetMode="External"/><Relationship Id="rId1960" Type="http://schemas.openxmlformats.org/officeDocument/2006/relationships/hyperlink" Target="https://www.youtube.com/results?search_query=Money%2C+Banking+%26+Monetary+Policy+BPSC+Wallah" TargetMode="External"/><Relationship Id="rId1961" Type="http://schemas.openxmlformats.org/officeDocument/2006/relationships/hyperlink" Target="https://www.youtube.com/results?search_query=Social+Issues+%26+Contemporary+Topics+BPSC+Wallah" TargetMode="External"/><Relationship Id="rId1962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1963" Type="http://schemas.openxmlformats.org/officeDocument/2006/relationships/hyperlink" Target="https://www.google.com/search?q=Money%2C+Banking+%26+Monetary+Policy+notes+pdf+Drishti+IAS+Vision+IAS+BPSC+Wallah" TargetMode="External"/><Relationship Id="rId1964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1965" Type="http://schemas.openxmlformats.org/officeDocument/2006/relationships/hyperlink" Target="https://www.youtube.com/results?search_query=Money%2C+Banking+%26+Monetary+Policy+Drishti+IAS+BPSC" TargetMode="External"/><Relationship Id="rId1966" Type="http://schemas.openxmlformats.org/officeDocument/2006/relationships/hyperlink" Target="https://www.youtube.com/results?search_query=Money%2C+Banking+%26+Monetary+Policy+BPSC+Wallah" TargetMode="External"/><Relationship Id="rId1967" Type="http://schemas.openxmlformats.org/officeDocument/2006/relationships/hyperlink" Target="https://www.youtube.com/results?search_query=Social+Issues+%26+Contemporary+Topics+BPSC+Wallah" TargetMode="External"/><Relationship Id="rId1968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1969" Type="http://schemas.openxmlformats.org/officeDocument/2006/relationships/hyperlink" Target="https://www.google.com/search?q=BPSC+weekly+revision+notes+pdf+Drishti+IAS+Vision+IAS" TargetMode="External"/><Relationship Id="rId1970" Type="http://schemas.openxmlformats.org/officeDocument/2006/relationships/hyperlink" Target="https://www.google.com/search?q=weekly+current+affairs+revision+%28site%3Adrishtiias.com+OR+site%3Avisionias.in+OR+site%3Apib.gov.in%29" TargetMode="External"/><Relationship Id="rId1971" Type="http://schemas.openxmlformats.org/officeDocument/2006/relationships/hyperlink" Target="https://www.youtube.com/results?search_query=BPSC+prelims+mock+test+analysis+strategy+Drishti+IAS" TargetMode="External"/><Relationship Id="rId1972" Type="http://schemas.openxmlformats.org/officeDocument/2006/relationships/hyperlink" Target="https://www.youtube.com/results?search_query=BPSC+Wallah+BPSC+prelims+test+series+discussion" TargetMode="External"/><Relationship Id="rId1973" Type="http://schemas.openxmlformats.org/officeDocument/2006/relationships/hyperlink" Target="https://www.youtube.com/results?search_query=BPSC+Wallah+BPSC+revision+strategy" TargetMode="External"/><Relationship Id="rId1974" Type="http://schemas.openxmlformats.org/officeDocument/2006/relationships/hyperlink" Target="https://www.google.com/search?q=Public+Finance%3A+Budget%2C+Taxation+%26+GST+notes+pdf+Drishti+IAS+Vision+IAS+BPSC+Wallah" TargetMode="External"/><Relationship Id="rId1975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1976" Type="http://schemas.openxmlformats.org/officeDocument/2006/relationships/hyperlink" Target="https://www.youtube.com/results?search_query=Public+Finance%3A+Budget%2C+Taxation+%26+GST+Drishti+IAS+BPSC" TargetMode="External"/><Relationship Id="rId1977" Type="http://schemas.openxmlformats.org/officeDocument/2006/relationships/hyperlink" Target="https://www.youtube.com/results?search_query=Public+Finance%3A+Budget%2C+Taxation+%26+GST+BPSC+Wallah" TargetMode="External"/><Relationship Id="rId1978" Type="http://schemas.openxmlformats.org/officeDocument/2006/relationships/hyperlink" Target="https://www.youtube.com/results?search_query=Social+Issues+%26+Contemporary+Topics+BPSC+Wallah" TargetMode="External"/><Relationship Id="rId1979" Type="http://schemas.openxmlformats.org/officeDocument/2006/relationships/hyperlink" Target="https://www.google.com/search?q=&#2360;&#2366;&#2352;&#2381;&#2357;&#2332;&#2344;&#2367;&#2325;+&#2357;&#2367;&#2340;&#2381;&#2340;%3A+&#2348;&#2332;&#2335;%2C+&#2325;&#2352;&#2366;&#2343;&#2366;&#2344;+&#2319;&#2357;&#2306;+GST+%28site%3Adrishtiias.com+OR+site%3Avisionias.in+OR+site%3Ancert.nic.in+OR+site%3Ajagranjosh.com+OR+site%3Agktoday.in%29" TargetMode="External"/><Relationship Id="rId1980" Type="http://schemas.openxmlformats.org/officeDocument/2006/relationships/hyperlink" Target="https://www.google.com/search?q=Public+Finance%3A+Budget%2C+Taxation+%26+GST+notes+pdf+Drishti+IAS+Vision+IAS+BPSC+Wallah" TargetMode="External"/><Relationship Id="rId1981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1982" Type="http://schemas.openxmlformats.org/officeDocument/2006/relationships/hyperlink" Target="https://www.youtube.com/results?search_query=Public+Finance%3A+Budget%2C+Taxation+%26+GST+Drishti+IAS+BPSC" TargetMode="External"/><Relationship Id="rId1983" Type="http://schemas.openxmlformats.org/officeDocument/2006/relationships/hyperlink" Target="https://www.youtube.com/results?search_query=Public+Finance%3A+Budget%2C+Taxation+%26+GST+BPSC+Wallah" TargetMode="External"/><Relationship Id="rId1984" Type="http://schemas.openxmlformats.org/officeDocument/2006/relationships/hyperlink" Target="https://www.youtube.com/results?search_query=International+Relations+%26+Internal+Security+BPSC+Wallah" TargetMode="External"/><Relationship Id="rId1985" Type="http://schemas.openxmlformats.org/officeDocument/2006/relationships/hyperlink" Target="https://www.google.com/search?q=&#2360;&#2366;&#2352;&#2381;&#2357;&#2332;&#2344;&#2367;&#2325;+&#2357;&#2367;&#2340;&#2381;&#2340;%3A+&#2348;&#2332;&#2335;%2C+&#2325;&#2352;&#2366;&#2343;&#2366;&#2344;+&#2319;&#2357;&#2306;+GST+%28site%3Adrishtiias.com+OR+site%3Avisionias.in+OR+site%3Ancert.nic.in+OR+site%3Ajagranjosh.com+OR+site%3Agktoday.in%29" TargetMode="External"/><Relationship Id="rId1986" Type="http://schemas.openxmlformats.org/officeDocument/2006/relationships/hyperlink" Target="https://www.google.com/search?q=Public+Finance%3A+Budget%2C+Taxation+%26+GST+notes+pdf+Drishti+IAS+Vision+IAS+BPSC+Wallah" TargetMode="External"/><Relationship Id="rId1987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1988" Type="http://schemas.openxmlformats.org/officeDocument/2006/relationships/hyperlink" Target="https://www.youtube.com/results?search_query=Public+Finance%3A+Budget%2C+Taxation+%26+GST+Drishti+IAS+BPSC" TargetMode="External"/><Relationship Id="rId1989" Type="http://schemas.openxmlformats.org/officeDocument/2006/relationships/hyperlink" Target="https://www.youtube.com/results?search_query=Public+Finance%3A+Budget%2C+Taxation+%26+GST+BPSC+Wallah" TargetMode="External"/><Relationship Id="rId1990" Type="http://schemas.openxmlformats.org/officeDocument/2006/relationships/hyperlink" Target="https://www.youtube.com/results?search_query=International+Relations+%26+Internal+Security+BPSC+Wallah" TargetMode="External"/><Relationship Id="rId1991" Type="http://schemas.openxmlformats.org/officeDocument/2006/relationships/hyperlink" Target="https://www.google.com/search?q=&#2360;&#2366;&#2352;&#2381;&#2357;&#2332;&#2344;&#2367;&#2325;+&#2357;&#2367;&#2340;&#2381;&#2340;%3A+&#2348;&#2332;&#2335;%2C+&#2325;&#2352;&#2366;&#2343;&#2366;&#2344;+&#2319;&#2357;&#2306;+GST+%28site%3Adrishtiias.com+OR+site%3Avisionias.in+OR+site%3Ancert.nic.in+OR+site%3Ajagranjosh.com+OR+site%3Agktoday.in%29" TargetMode="External"/><Relationship Id="rId1992" Type="http://schemas.openxmlformats.org/officeDocument/2006/relationships/hyperlink" Target="https://www.google.com/search?q=Agricultural+Economy+notes+pdf+Drishti+IAS+Vision+IAS+BPSC+Wallah" TargetMode="External"/><Relationship Id="rId1993" Type="http://schemas.openxmlformats.org/officeDocument/2006/relationships/hyperlink" Target="https://www.google.com/search?q=Agricultural+Economy+%28site%3Adrishtiias.com+OR+site%3Avisionias.in+OR+site%3Apib.gov.in+OR+site%3Aindiabudget.gov.in%29" TargetMode="External"/><Relationship Id="rId1994" Type="http://schemas.openxmlformats.org/officeDocument/2006/relationships/hyperlink" Target="https://www.youtube.com/results?search_query=Agricultural+Economy+Drishti+IAS+BPSC" TargetMode="External"/><Relationship Id="rId1995" Type="http://schemas.openxmlformats.org/officeDocument/2006/relationships/hyperlink" Target="https://www.youtube.com/results?search_query=Agricultural+Economy+BPSC+Wallah" TargetMode="External"/><Relationship Id="rId1996" Type="http://schemas.openxmlformats.org/officeDocument/2006/relationships/hyperlink" Target="https://www.youtube.com/results?search_query=International+Relations+%26+Internal+Security+BPSC+Wallah" TargetMode="External"/><Relationship Id="rId1997" Type="http://schemas.openxmlformats.org/officeDocument/2006/relationships/hyperlink" Target="https://www.google.com/search?q=&#2325;&#2371;&#2359;&#2367;+&#2309;&#2352;&#2381;&#2341;&#2357;&#2381;&#2351;&#2357;&#2360;&#2381;&#2341;&#2366;+%28site%3Adrishtiias.com+OR+site%3Avisionias.in+OR+site%3Ancert.nic.in+OR+site%3Ajagranjosh.com+OR+site%3Agktoday.in%29" TargetMode="External"/><Relationship Id="rId1998" Type="http://schemas.openxmlformats.org/officeDocument/2006/relationships/hyperlink" Target="https://www.google.com/search?q=Agricultural+Economy+notes+pdf+Drishti+IAS+Vision+IAS+BPSC+Wallah" TargetMode="External"/><Relationship Id="rId1999" Type="http://schemas.openxmlformats.org/officeDocument/2006/relationships/hyperlink" Target="https://www.google.com/search?q=Agricultural+Economy+%28site%3Adrishtiias.com+OR+site%3Avisionias.in+OR+site%3Apib.gov.in+OR+site%3Aindiabudget.gov.in%29" TargetMode="External"/><Relationship Id="rId2000" Type="http://schemas.openxmlformats.org/officeDocument/2006/relationships/hyperlink" Target="https://www.youtube.com/results?search_query=Agricultural+Economy+Drishti+IAS+BPSC" TargetMode="External"/><Relationship Id="rId2001" Type="http://schemas.openxmlformats.org/officeDocument/2006/relationships/hyperlink" Target="https://www.youtube.com/results?search_query=Agricultural+Economy+BPSC+Wallah" TargetMode="External"/><Relationship Id="rId2002" Type="http://schemas.openxmlformats.org/officeDocument/2006/relationships/hyperlink" Target="https://www.youtube.com/results?search_query=International+Relations+%26+Internal+Security+BPSC+Wallah" TargetMode="External"/><Relationship Id="rId2003" Type="http://schemas.openxmlformats.org/officeDocument/2006/relationships/hyperlink" Target="https://www.google.com/search?q=&#2325;&#2371;&#2359;&#2367;+&#2309;&#2352;&#2381;&#2341;&#2357;&#2381;&#2351;&#2357;&#2360;&#2381;&#2341;&#2366;+%28site%3Adrishtiias.com+OR+site%3Avisionias.in+OR+site%3Ancert.nic.in+OR+site%3Ajagranjosh.com+OR+site%3Agktoday.in%29" TargetMode="External"/><Relationship Id="rId2004" Type="http://schemas.openxmlformats.org/officeDocument/2006/relationships/hyperlink" Target="https://www.google.com/search?q=Agricultural+Economy+notes+pdf+Drishti+IAS+Vision+IAS+BPSC+Wallah" TargetMode="External"/><Relationship Id="rId2005" Type="http://schemas.openxmlformats.org/officeDocument/2006/relationships/hyperlink" Target="https://www.google.com/search?q=Agricultural+Economy+%28site%3Adrishtiias.com+OR+site%3Avisionias.in+OR+site%3Apib.gov.in+OR+site%3Aindiabudget.gov.in%29" TargetMode="External"/><Relationship Id="rId2006" Type="http://schemas.openxmlformats.org/officeDocument/2006/relationships/hyperlink" Target="https://www.youtube.com/results?search_query=Agricultural+Economy+Drishti+IAS+BPSC" TargetMode="External"/><Relationship Id="rId2007" Type="http://schemas.openxmlformats.org/officeDocument/2006/relationships/hyperlink" Target="https://www.youtube.com/results?search_query=Agricultural+Economy+BPSC+Wallah" TargetMode="External"/><Relationship Id="rId2008" Type="http://schemas.openxmlformats.org/officeDocument/2006/relationships/hyperlink" Target="https://www.youtube.com/results?search_query=International+Relations+%26+Internal+Security+BPSC+Wallah" TargetMode="External"/><Relationship Id="rId2009" Type="http://schemas.openxmlformats.org/officeDocument/2006/relationships/hyperlink" Target="https://www.google.com/search?q=&#2325;&#2371;&#2359;&#2367;+&#2309;&#2352;&#2381;&#2341;&#2357;&#2381;&#2351;&#2357;&#2360;&#2381;&#2341;&#2366;+%28site%3Adrishtiias.com+OR+site%3Avisionias.in+OR+site%3Ancert.nic.in+OR+site%3Ajagranjosh.com+OR+site%3Agktoday.in%29" TargetMode="External"/><Relationship Id="rId2010" Type="http://schemas.openxmlformats.org/officeDocument/2006/relationships/hyperlink" Target="https://www.google.com/search?q=BPSC+weekly+revision+notes+pdf+Drishti+IAS+Vision+IAS" TargetMode="External"/><Relationship Id="rId2011" Type="http://schemas.openxmlformats.org/officeDocument/2006/relationships/hyperlink" Target="https://www.google.com/search?q=weekly+current+affairs+revision+%28site%3Adrishtiias.com+OR+site%3Avisionias.in+OR+site%3Apib.gov.in%29" TargetMode="External"/><Relationship Id="rId2012" Type="http://schemas.openxmlformats.org/officeDocument/2006/relationships/hyperlink" Target="https://www.youtube.com/results?search_query=BPSC+prelims+mock+test+analysis+strategy+Drishti+IAS" TargetMode="External"/><Relationship Id="rId2013" Type="http://schemas.openxmlformats.org/officeDocument/2006/relationships/hyperlink" Target="https://www.youtube.com/results?search_query=BPSC+Wallah+BPSC+prelims+test+series+discussion" TargetMode="External"/><Relationship Id="rId2014" Type="http://schemas.openxmlformats.org/officeDocument/2006/relationships/hyperlink" Target="https://www.youtube.com/results?search_query=BPSC+Wallah+BPSC+revision+strategy" TargetMode="External"/><Relationship Id="rId2015" Type="http://schemas.openxmlformats.org/officeDocument/2006/relationships/hyperlink" Target="https://www.google.com/search?q=Industry%2C+Services+%26+Infrastructure+notes+pdf+Drishti+IAS+Vision+IAS+BPSC+Wallah" TargetMode="External"/><Relationship Id="rId2016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2017" Type="http://schemas.openxmlformats.org/officeDocument/2006/relationships/hyperlink" Target="https://www.youtube.com/results?search_query=Industry%2C+Services+%26+Infrastructure+Drishti+IAS+BPSC" TargetMode="External"/><Relationship Id="rId2018" Type="http://schemas.openxmlformats.org/officeDocument/2006/relationships/hyperlink" Target="https://www.youtube.com/results?search_query=Industry%2C+Services+%26+Infrastructure+BPSC+Wallah" TargetMode="External"/><Relationship Id="rId2019" Type="http://schemas.openxmlformats.org/officeDocument/2006/relationships/hyperlink" Target="https://www.youtube.com/results?search_query=International+Relations+%26+Internal+Security+BPSC+Wallah" TargetMode="External"/><Relationship Id="rId2020" Type="http://schemas.openxmlformats.org/officeDocument/2006/relationships/hyperlink" Target="https://www.google.com/search?q=&#2313;&#2342;&#2381;&#2351;&#2379;&#2327;%2C+&#2360;&#2375;&#2357;&#2366;&#2319;&#2305;+&#2319;&#2357;&#2306;+&#2309;&#2357;&#2360;&#2306;&#2352;&#2330;&#2344;&#2366;+%28site%3Adrishtiias.com+OR+site%3Avisionias.in+OR+site%3Ancert.nic.in+OR+site%3Ajagranjosh.com+OR+site%3Agktoday.in%29" TargetMode="External"/><Relationship Id="rId2021" Type="http://schemas.openxmlformats.org/officeDocument/2006/relationships/hyperlink" Target="https://www.google.com/search?q=Industry%2C+Services+%26+Infrastructure+notes+pdf+Drishti+IAS+Vision+IAS+BPSC+Wallah" TargetMode="External"/><Relationship Id="rId2022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2023" Type="http://schemas.openxmlformats.org/officeDocument/2006/relationships/hyperlink" Target="https://www.youtube.com/results?search_query=Industry%2C+Services+%26+Infrastructure+Drishti+IAS+BPSC" TargetMode="External"/><Relationship Id="rId2024" Type="http://schemas.openxmlformats.org/officeDocument/2006/relationships/hyperlink" Target="https://www.youtube.com/results?search_query=Industry%2C+Services+%26+Infrastructure+BPSC+Wallah" TargetMode="External"/><Relationship Id="rId2025" Type="http://schemas.openxmlformats.org/officeDocument/2006/relationships/hyperlink" Target="https://www.youtube.com/results?search_query=International+Relations+%26+Internal+Security+BPSC+Wallah" TargetMode="External"/><Relationship Id="rId2026" Type="http://schemas.openxmlformats.org/officeDocument/2006/relationships/hyperlink" Target="https://www.google.com/search?q=&#2313;&#2342;&#2381;&#2351;&#2379;&#2327;%2C+&#2360;&#2375;&#2357;&#2366;&#2319;&#2305;+&#2319;&#2357;&#2306;+&#2309;&#2357;&#2360;&#2306;&#2352;&#2330;&#2344;&#2366;+%28site%3Adrishtiias.com+OR+site%3Avisionias.in+OR+site%3Ancert.nic.in+OR+site%3Ajagranjosh.com+OR+site%3Agktoday.in%29" TargetMode="External"/><Relationship Id="rId2027" Type="http://schemas.openxmlformats.org/officeDocument/2006/relationships/hyperlink" Target="https://www.google.com/search?q=Industry%2C+Services+%26+Infrastructure+notes+pdf+Drishti+IAS+Vision+IAS+BPSC+Wallah" TargetMode="External"/><Relationship Id="rId2028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2029" Type="http://schemas.openxmlformats.org/officeDocument/2006/relationships/hyperlink" Target="https://www.youtube.com/results?search_query=Industry%2C+Services+%26+Infrastructure+Drishti+IAS+BPSC" TargetMode="External"/><Relationship Id="rId2030" Type="http://schemas.openxmlformats.org/officeDocument/2006/relationships/hyperlink" Target="https://www.youtube.com/results?search_query=Industry%2C+Services+%26+Infrastructure+BPSC+Wallah" TargetMode="External"/><Relationship Id="rId2031" Type="http://schemas.openxmlformats.org/officeDocument/2006/relationships/hyperlink" Target="https://www.youtube.com/results?search_query=International+Relations+%26+Internal+Security+BPSC+Wallah" TargetMode="External"/><Relationship Id="rId2032" Type="http://schemas.openxmlformats.org/officeDocument/2006/relationships/hyperlink" Target="https://www.google.com/search?q=&#2313;&#2342;&#2381;&#2351;&#2379;&#2327;%2C+&#2360;&#2375;&#2357;&#2366;&#2319;&#2305;+&#2319;&#2357;&#2306;+&#2309;&#2357;&#2360;&#2306;&#2352;&#2330;&#2344;&#2366;+%28site%3Adrishtiias.com+OR+site%3Avisionias.in+OR+site%3Ancert.nic.in+OR+site%3Ajagranjosh.com+OR+site%3Agktoday.in%29" TargetMode="External"/><Relationship Id="rId2033" Type="http://schemas.openxmlformats.org/officeDocument/2006/relationships/hyperlink" Target="https://www.google.com/search?q=External+Sector+%26+International+Institutions+notes+pdf+Drishti+IAS+Vision+IAS+BPSC+Wallah" TargetMode="External"/><Relationship Id="rId2034" Type="http://schemas.openxmlformats.org/officeDocument/2006/relationships/hyperlink" Target="https://www.google.com/search?q=External+Sector+%26+International+Institutions+%28site%3Adrishtiias.com+OR+site%3Avisionias.in+OR+site%3Apib.gov.in+OR+site%3Aindiabudget.gov.in%29" TargetMode="External"/><Relationship Id="rId2035" Type="http://schemas.openxmlformats.org/officeDocument/2006/relationships/hyperlink" Target="https://www.youtube.com/results?search_query=External+Sector+%26+International+Institutions+Drishti+IAS+BPSC" TargetMode="External"/><Relationship Id="rId2036" Type="http://schemas.openxmlformats.org/officeDocument/2006/relationships/hyperlink" Target="https://www.youtube.com/results?search_query=External+Sector+%26+International+Institutions+BPSC+Wallah" TargetMode="External"/><Relationship Id="rId2037" Type="http://schemas.openxmlformats.org/officeDocument/2006/relationships/hyperlink" Target="https://www.youtube.com/results?search_query=Essay+Writing+Practice+%28Hindi%2FEnglish%29+BPSC+Wallah" TargetMode="External"/><Relationship Id="rId2038" Type="http://schemas.openxmlformats.org/officeDocument/2006/relationships/hyperlink" Target="https://www.google.com/search?q=&#2348;&#2366;&#2361;&#2381;&#2351;+&#2325;&#2381;&#2359;&#2375;&#2340;&#2381;&#2352;+&#2319;&#2357;&#2306;+&#2309;&#2306;&#2340;&#2352;&#2381;&#2352;&#2366;&#2359;&#2381;&#2335;&#2381;&#2352;&#2368;&#2351;+&#2360;&#2306;&#2360;&#2381;&#2341;&#2366;&#2319;&#2305;+%28site%3Adrishtiias.com+OR+site%3Avisionias.in+OR+site%3Ancert.nic.in+OR+site%3Ajagranjosh.com+OR+site%3Agktoday.in%29" TargetMode="External"/><Relationship Id="rId2039" Type="http://schemas.openxmlformats.org/officeDocument/2006/relationships/hyperlink" Target="https://www.google.com/search?q=External+Sector+%26+International+Institutions+notes+pdf+Drishti+IAS+Vision+IAS+BPSC+Wallah" TargetMode="External"/><Relationship Id="rId2040" Type="http://schemas.openxmlformats.org/officeDocument/2006/relationships/hyperlink" Target="https://www.google.com/search?q=External+Sector+%26+International+Institutions+%28site%3Adrishtiias.com+OR+site%3Avisionias.in+OR+site%3Apib.gov.in+OR+site%3Aindiabudget.gov.in%29" TargetMode="External"/><Relationship Id="rId2041" Type="http://schemas.openxmlformats.org/officeDocument/2006/relationships/hyperlink" Target="https://www.youtube.com/results?search_query=External+Sector+%26+International+Institutions+Drishti+IAS+BPSC" TargetMode="External"/><Relationship Id="rId2042" Type="http://schemas.openxmlformats.org/officeDocument/2006/relationships/hyperlink" Target="https://www.youtube.com/results?search_query=External+Sector+%26+International+Institutions+BPSC+Wallah" TargetMode="External"/><Relationship Id="rId2043" Type="http://schemas.openxmlformats.org/officeDocument/2006/relationships/hyperlink" Target="https://www.youtube.com/results?search_query=Essay+Writing+Practice+%28Hindi%2FEnglish%29+BPSC+Wallah" TargetMode="External"/><Relationship Id="rId2044" Type="http://schemas.openxmlformats.org/officeDocument/2006/relationships/hyperlink" Target="https://www.google.com/search?q=&#2348;&#2366;&#2361;&#2381;&#2351;+&#2325;&#2381;&#2359;&#2375;&#2340;&#2381;&#2352;+&#2319;&#2357;&#2306;+&#2309;&#2306;&#2340;&#2352;&#2381;&#2352;&#2366;&#2359;&#2381;&#2335;&#2381;&#2352;&#2368;&#2351;+&#2360;&#2306;&#2360;&#2381;&#2341;&#2366;&#2319;&#2305;+%28site%3Adrishtiias.com+OR+site%3Avisionias.in+OR+site%3Ancert.nic.in+OR+site%3Ajagranjosh.com+OR+site%3Agktoday.in%29" TargetMode="External"/><Relationship Id="rId2045" Type="http://schemas.openxmlformats.org/officeDocument/2006/relationships/hyperlink" Target="https://www.google.com/search?q=External+Sector+%26+International+Institutions+notes+pdf+Drishti+IAS+Vision+IAS+BPSC+Wallah" TargetMode="External"/><Relationship Id="rId2046" Type="http://schemas.openxmlformats.org/officeDocument/2006/relationships/hyperlink" Target="https://www.google.com/search?q=External+Sector+%26+International+Institutions+%28site%3Adrishtiias.com+OR+site%3Avisionias.in+OR+site%3Apib.gov.in+OR+site%3Aindiabudget.gov.in%29" TargetMode="External"/><Relationship Id="rId2047" Type="http://schemas.openxmlformats.org/officeDocument/2006/relationships/hyperlink" Target="https://www.youtube.com/results?search_query=External+Sector+%26+International+Institutions+Drishti+IAS+BPSC" TargetMode="External"/><Relationship Id="rId2048" Type="http://schemas.openxmlformats.org/officeDocument/2006/relationships/hyperlink" Target="https://www.youtube.com/results?search_query=External+Sector+%26+International+Institutions+BPSC+Wallah" TargetMode="External"/><Relationship Id="rId2049" Type="http://schemas.openxmlformats.org/officeDocument/2006/relationships/hyperlink" Target="https://www.youtube.com/results?search_query=Essay+Writing+Practice+%28Hindi%2FEnglish%29+BPSC+Wallah" TargetMode="External"/><Relationship Id="rId2050" Type="http://schemas.openxmlformats.org/officeDocument/2006/relationships/hyperlink" Target="https://www.google.com/search?q=&#2348;&#2366;&#2361;&#2381;&#2351;+&#2325;&#2381;&#2359;&#2375;&#2340;&#2381;&#2352;+&#2319;&#2357;&#2306;+&#2309;&#2306;&#2340;&#2352;&#2381;&#2352;&#2366;&#2359;&#2381;&#2335;&#2381;&#2352;&#2368;&#2351;+&#2360;&#2306;&#2360;&#2381;&#2341;&#2366;&#2319;&#2305;+%28site%3Adrishtiias.com+OR+site%3Avisionias.in+OR+site%3Ancert.nic.in+OR+site%3Ajagranjosh.com+OR+site%3Agktoday.in%29" TargetMode="External"/><Relationship Id="rId2051" Type="http://schemas.openxmlformats.org/officeDocument/2006/relationships/hyperlink" Target="https://www.google.com/search?q=BPSC+weekly+revision+notes+pdf+Drishti+IAS+Vision+IAS" TargetMode="External"/><Relationship Id="rId2052" Type="http://schemas.openxmlformats.org/officeDocument/2006/relationships/hyperlink" Target="https://www.google.com/search?q=weekly+current+affairs+revision+%28site%3Adrishtiias.com+OR+site%3Avisionias.in+OR+site%3Apib.gov.in%29" TargetMode="External"/><Relationship Id="rId2053" Type="http://schemas.openxmlformats.org/officeDocument/2006/relationships/hyperlink" Target="https://www.youtube.com/results?search_query=BPSC+prelims+mock+test+analysis+strategy+Drishti+IAS" TargetMode="External"/><Relationship Id="rId2054" Type="http://schemas.openxmlformats.org/officeDocument/2006/relationships/hyperlink" Target="https://www.youtube.com/results?search_query=BPSC+Wallah+BPSC+prelims+test+series+discussion" TargetMode="External"/><Relationship Id="rId2055" Type="http://schemas.openxmlformats.org/officeDocument/2006/relationships/hyperlink" Target="https://www.youtube.com/results?search_query=BPSC+Wallah+BPSC+revision+strategy" TargetMode="External"/><Relationship Id="rId2056" Type="http://schemas.openxmlformats.org/officeDocument/2006/relationships/hyperlink" Target="https://www.google.com/search?q=Capital+Market%2C+Insurance%2C+Economic+Survey+%26+Budget+notes+pdf+Drishti+IAS+Vision+IAS+BPSC+Wallah" TargetMode="External"/><Relationship Id="rId2057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2058" Type="http://schemas.openxmlformats.org/officeDocument/2006/relationships/hyperlink" Target="https://www.youtube.com/results?search_query=Capital+Market%2C+Insurance%2C+Economic+Survey+%26+Budget+Drishti+IAS+BPSC" TargetMode="External"/><Relationship Id="rId2059" Type="http://schemas.openxmlformats.org/officeDocument/2006/relationships/hyperlink" Target="https://www.youtube.com/results?search_query=Capital+Market%2C+Insurance%2C+Economic+Survey+%26+Budget+BPSC+Wallah" TargetMode="External"/><Relationship Id="rId2060" Type="http://schemas.openxmlformats.org/officeDocument/2006/relationships/hyperlink" Target="https://www.youtube.com/results?search_query=Essay+Writing+Practice+%28Hindi%2FEnglish%29+BPSC+Wallah" TargetMode="External"/><Relationship Id="rId2061" Type="http://schemas.openxmlformats.org/officeDocument/2006/relationships/hyperlink" Target="https://www.google.com/search?q=&#2346;&#2370;&#2305;&#2332;&#2368;+&#2348;&#2366;&#2332;&#2364;&#2366;&#2352;%2C+&#2348;&#2368;&#2350;&#2366;%2C+&#2310;&#2352;&#2381;&#2341;&#2367;&#2325;+&#2360;&#2352;&#2381;&#2357;&#2375;&#2325;&#2381;&#2359;&#2339;+&#2319;&#2357;&#2306;+&#2348;&#2332;&#2335;+%28site%3Adrishtiias.com+OR+site%3Avisionias.in+OR+site%3Ancert.nic.in+OR+site%3Ajagranjosh.com+OR+site%3Agktoday.in%29" TargetMode="External"/><Relationship Id="rId2062" Type="http://schemas.openxmlformats.org/officeDocument/2006/relationships/hyperlink" Target="https://www.google.com/search?q=Capital+Market%2C+Insurance%2C+Economic+Survey+%26+Budget+notes+pdf+Drishti+IAS+Vision+IAS+BPSC+Wallah" TargetMode="External"/><Relationship Id="rId2063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2064" Type="http://schemas.openxmlformats.org/officeDocument/2006/relationships/hyperlink" Target="https://www.youtube.com/results?search_query=Capital+Market%2C+Insurance%2C+Economic+Survey+%26+Budget+Drishti+IAS+BPSC" TargetMode="External"/><Relationship Id="rId2065" Type="http://schemas.openxmlformats.org/officeDocument/2006/relationships/hyperlink" Target="https://www.youtube.com/results?search_query=Capital+Market%2C+Insurance%2C+Economic+Survey+%26+Budget+BPSC+Wallah" TargetMode="External"/><Relationship Id="rId2066" Type="http://schemas.openxmlformats.org/officeDocument/2006/relationships/hyperlink" Target="https://www.youtube.com/results?search_query=Essay+Writing+Practice+%28Hindi%2FEnglish%29+BPSC+Wallah" TargetMode="External"/><Relationship Id="rId2067" Type="http://schemas.openxmlformats.org/officeDocument/2006/relationships/hyperlink" Target="https://www.google.com/search?q=&#2346;&#2370;&#2305;&#2332;&#2368;+&#2348;&#2366;&#2332;&#2364;&#2366;&#2352;%2C+&#2348;&#2368;&#2350;&#2366;%2C+&#2310;&#2352;&#2381;&#2341;&#2367;&#2325;+&#2360;&#2352;&#2381;&#2357;&#2375;&#2325;&#2381;&#2359;&#2339;+&#2319;&#2357;&#2306;+&#2348;&#2332;&#2335;+%28site%3Adrishtiias.com+OR+site%3Avisionias.in+OR+site%3Ancert.nic.in+OR+site%3Ajagranjosh.com+OR+site%3Agktoday.in%29" TargetMode="External"/><Relationship Id="rId2068" Type="http://schemas.openxmlformats.org/officeDocument/2006/relationships/hyperlink" Target="https://www.google.com/search?q=Capital+Market%2C+Insurance%2C+Economic+Survey+%26+Budget+notes+pdf+Drishti+IAS+Vision+IAS+BPSC+Wallah" TargetMode="External"/><Relationship Id="rId2069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2070" Type="http://schemas.openxmlformats.org/officeDocument/2006/relationships/hyperlink" Target="https://www.youtube.com/results?search_query=Capital+Market%2C+Insurance%2C+Economic+Survey+%26+Budget+Drishti+IAS+BPSC" TargetMode="External"/><Relationship Id="rId2071" Type="http://schemas.openxmlformats.org/officeDocument/2006/relationships/hyperlink" Target="https://www.youtube.com/results?search_query=Capital+Market%2C+Insurance%2C+Economic+Survey+%26+Budget+BPSC+Wallah" TargetMode="External"/><Relationship Id="rId2072" Type="http://schemas.openxmlformats.org/officeDocument/2006/relationships/hyperlink" Target="https://www.youtube.com/results?search_query=Essay+Writing+Practice+%28Hindi%2FEnglish%29+BPSC+Wallah" TargetMode="External"/><Relationship Id="rId2073" Type="http://schemas.openxmlformats.org/officeDocument/2006/relationships/hyperlink" Target="https://www.google.com/search?q=&#2346;&#2370;&#2305;&#2332;&#2368;+&#2348;&#2366;&#2332;&#2364;&#2366;&#2352;%2C+&#2348;&#2368;&#2350;&#2366;%2C+&#2310;&#2352;&#2381;&#2341;&#2367;&#2325;+&#2360;&#2352;&#2381;&#2357;&#2375;&#2325;&#2381;&#2359;&#2339;+&#2319;&#2357;&#2306;+&#2348;&#2332;&#2335;+%28site%3Adrishtiias.com+OR+site%3Avisionias.in+OR+site%3Ancert.nic.in+OR+site%3Ajagranjosh.com+OR+site%3Agktoday.in%29" TargetMode="External"/><Relationship Id="rId2074" Type="http://schemas.openxmlformats.org/officeDocument/2006/relationships/hyperlink" Target="https://www.google.com/search?q=Ecology+%26+Ecosystems+notes+pdf+Drishti+IAS+Vision+IAS+BPSC+Wallah" TargetMode="External"/><Relationship Id="rId2075" Type="http://schemas.openxmlformats.org/officeDocument/2006/relationships/hyperlink" Target="https://www.google.com/search?q=Ecology+%26+Ecosystems+%28site%3Adrishtiias.com+OR+site%3Avisionias.in+OR+site%3Apib.gov.in%29" TargetMode="External"/><Relationship Id="rId2076" Type="http://schemas.openxmlformats.org/officeDocument/2006/relationships/hyperlink" Target="https://www.youtube.com/results?search_query=Ecology+%26+Ecosystems+Drishti+IAS+BPSC" TargetMode="External"/><Relationship Id="rId2077" Type="http://schemas.openxmlformats.org/officeDocument/2006/relationships/hyperlink" Target="https://www.youtube.com/results?search_query=Ecology+%26+Ecosystems+BPSC+Wallah" TargetMode="External"/><Relationship Id="rId2078" Type="http://schemas.openxmlformats.org/officeDocument/2006/relationships/hyperlink" Target="https://www.youtube.com/results?search_query=Essay+Writing+Practice+%28Hindi%2FEnglish%29+BPSC+Wallah" TargetMode="External"/><Relationship Id="rId2079" Type="http://schemas.openxmlformats.org/officeDocument/2006/relationships/hyperlink" Target="https://www.google.com/search?q=&#2346;&#2366;&#2352;&#2367;&#2360;&#2381;&#2341;&#2367;&#2340;&#2367;&#2325;&#2368;+&#2319;&#2357;&#2306;+&#2346;&#2366;&#2352;&#2367;&#2340;&#2306;&#2340;&#2381;&#2352;+%28site%3Adrishtiias.com+OR+site%3Avisionias.in+OR+site%3Ancert.nic.in+OR+site%3Ajagranjosh.com+OR+site%3Agktoday.in%29" TargetMode="External"/><Relationship Id="rId2080" Type="http://schemas.openxmlformats.org/officeDocument/2006/relationships/hyperlink" Target="https://www.google.com/search?q=Ecology+%26+Ecosystems+notes+pdf+Drishti+IAS+Vision+IAS+BPSC+Wallah" TargetMode="External"/><Relationship Id="rId2081" Type="http://schemas.openxmlformats.org/officeDocument/2006/relationships/hyperlink" Target="https://www.google.com/search?q=Ecology+%26+Ecosystems+%28site%3Adrishtiias.com+OR+site%3Avisionias.in+OR+site%3Apib.gov.in%29" TargetMode="External"/><Relationship Id="rId2082" Type="http://schemas.openxmlformats.org/officeDocument/2006/relationships/hyperlink" Target="https://www.youtube.com/results?search_query=Ecology+%26+Ecosystems+Drishti+IAS+BPSC" TargetMode="External"/><Relationship Id="rId2083" Type="http://schemas.openxmlformats.org/officeDocument/2006/relationships/hyperlink" Target="https://www.youtube.com/results?search_query=Ecology+%26+Ecosystems+BPSC+Wallah" TargetMode="External"/><Relationship Id="rId2084" Type="http://schemas.openxmlformats.org/officeDocument/2006/relationships/hyperlink" Target="https://www.youtube.com/results?search_query=Hindi+Mains%3A+Sankshepan%2C+Patra%2C+Anuvad+%26+Vyakaran+BPSC+Wallah" TargetMode="External"/><Relationship Id="rId2085" Type="http://schemas.openxmlformats.org/officeDocument/2006/relationships/hyperlink" Target="https://www.google.com/search?q=&#2346;&#2366;&#2352;&#2367;&#2360;&#2381;&#2341;&#2367;&#2340;&#2367;&#2325;&#2368;+&#2319;&#2357;&#2306;+&#2346;&#2366;&#2352;&#2367;&#2340;&#2306;&#2340;&#2381;&#2352;+%28site%3Adrishtiias.com+OR+site%3Avisionias.in+OR+site%3Ancert.nic.in+OR+site%3Ajagranjosh.com+OR+site%3Agktoday.in%29" TargetMode="External"/><Relationship Id="rId2086" Type="http://schemas.openxmlformats.org/officeDocument/2006/relationships/hyperlink" Target="https://www.google.com/search?q=Ecology+%26+Ecosystems+notes+pdf+Drishti+IAS+Vision+IAS+BPSC+Wallah" TargetMode="External"/><Relationship Id="rId2087" Type="http://schemas.openxmlformats.org/officeDocument/2006/relationships/hyperlink" Target="https://www.google.com/search?q=Ecology+%26+Ecosystems+%28site%3Adrishtiias.com+OR+site%3Avisionias.in+OR+site%3Apib.gov.in%29" TargetMode="External"/><Relationship Id="rId2088" Type="http://schemas.openxmlformats.org/officeDocument/2006/relationships/hyperlink" Target="https://www.youtube.com/results?search_query=Ecology+%26+Ecosystems+Drishti+IAS+BPSC" TargetMode="External"/><Relationship Id="rId2089" Type="http://schemas.openxmlformats.org/officeDocument/2006/relationships/hyperlink" Target="https://www.youtube.com/results?search_query=Ecology+%26+Ecosystems+BPSC+Wallah" TargetMode="External"/><Relationship Id="rId2090" Type="http://schemas.openxmlformats.org/officeDocument/2006/relationships/hyperlink" Target="https://www.youtube.com/results?search_query=Hindi+Mains%3A+Sankshepan%2C+Patra%2C+Anuvad+%26+Vyakaran+BPSC+Wallah" TargetMode="External"/><Relationship Id="rId2091" Type="http://schemas.openxmlformats.org/officeDocument/2006/relationships/hyperlink" Target="https://www.google.com/search?q=&#2346;&#2366;&#2352;&#2367;&#2360;&#2381;&#2341;&#2367;&#2340;&#2367;&#2325;&#2368;+&#2319;&#2357;&#2306;+&#2346;&#2366;&#2352;&#2367;&#2340;&#2306;&#2340;&#2381;&#2352;+%28site%3Adrishtiias.com+OR+site%3Avisionias.in+OR+site%3Ancert.nic.in+OR+site%3Ajagranjosh.com+OR+site%3Agktoday.in%29" TargetMode="External"/><Relationship Id="rId2092" Type="http://schemas.openxmlformats.org/officeDocument/2006/relationships/hyperlink" Target="https://www.google.com/search?q=BPSC+weekly+revision+notes+pdf+Drishti+IAS+Vision+IAS" TargetMode="External"/><Relationship Id="rId2093" Type="http://schemas.openxmlformats.org/officeDocument/2006/relationships/hyperlink" Target="https://www.google.com/search?q=weekly+current+affairs+revision+%28site%3Adrishtiias.com+OR+site%3Avisionias.in+OR+site%3Apib.gov.in%29" TargetMode="External"/><Relationship Id="rId2094" Type="http://schemas.openxmlformats.org/officeDocument/2006/relationships/hyperlink" Target="https://www.youtube.com/results?search_query=BPSC+prelims+mock+test+analysis+strategy+Drishti+IAS" TargetMode="External"/><Relationship Id="rId2095" Type="http://schemas.openxmlformats.org/officeDocument/2006/relationships/hyperlink" Target="https://www.youtube.com/results?search_query=BPSC+Wallah+BPSC+prelims+test+series+discussion" TargetMode="External"/><Relationship Id="rId2096" Type="http://schemas.openxmlformats.org/officeDocument/2006/relationships/hyperlink" Target="https://www.youtube.com/results?search_query=BPSC+Wallah+BPSC+revision+strategy" TargetMode="External"/><Relationship Id="rId2097" Type="http://schemas.openxmlformats.org/officeDocument/2006/relationships/hyperlink" Target="https://www.google.com/search?q=Biodiversity+%26+Conservation+notes+pdf+Drishti+IAS+Vision+IAS+BPSC+Wallah" TargetMode="External"/><Relationship Id="rId2098" Type="http://schemas.openxmlformats.org/officeDocument/2006/relationships/hyperlink" Target="https://www.google.com/search?q=Biodiversity+%26+Conservation+%28site%3Adrishtiias.com+OR+site%3Avisionias.in+OR+site%3Apib.gov.in%29" TargetMode="External"/><Relationship Id="rId2099" Type="http://schemas.openxmlformats.org/officeDocument/2006/relationships/hyperlink" Target="https://www.youtube.com/results?search_query=Biodiversity+%26+Conservation+Drishti+IAS+BPSC" TargetMode="External"/><Relationship Id="rId2100" Type="http://schemas.openxmlformats.org/officeDocument/2006/relationships/hyperlink" Target="https://www.youtube.com/results?search_query=Biodiversity+%26+Conservation+BPSC+Wallah" TargetMode="External"/><Relationship Id="rId2101" Type="http://schemas.openxmlformats.org/officeDocument/2006/relationships/hyperlink" Target="https://www.youtube.com/results?search_query=Hindi+Mains%3A+Sankshepan%2C+Patra%2C+Anuvad+%26+Vyakaran+BPSC+Wallah" TargetMode="External"/><Relationship Id="rId2102" Type="http://schemas.openxmlformats.org/officeDocument/2006/relationships/hyperlink" Target="https://www.google.com/search?q=&#2332;&#2376;&#2357;+&#2357;&#2367;&#2357;&#2367;&#2343;&#2340;&#2366;+&#2319;&#2357;&#2306;+&#2360;&#2306;&#2352;&#2325;&#2381;&#2359;&#2339;+%28site%3Adrishtiias.com+OR+site%3Avisionias.in+OR+site%3Ancert.nic.in+OR+site%3Ajagranjosh.com+OR+site%3Agktoday.in%29" TargetMode="External"/><Relationship Id="rId2103" Type="http://schemas.openxmlformats.org/officeDocument/2006/relationships/hyperlink" Target="https://www.google.com/search?q=Biodiversity+%26+Conservation+notes+pdf+Drishti+IAS+Vision+IAS+BPSC+Wallah" TargetMode="External"/><Relationship Id="rId2104" Type="http://schemas.openxmlformats.org/officeDocument/2006/relationships/hyperlink" Target="https://www.google.com/search?q=Biodiversity+%26+Conservation+%28site%3Adrishtiias.com+OR+site%3Avisionias.in+OR+site%3Apib.gov.in%29" TargetMode="External"/><Relationship Id="rId2105" Type="http://schemas.openxmlformats.org/officeDocument/2006/relationships/hyperlink" Target="https://www.youtube.com/results?search_query=Biodiversity+%26+Conservation+Drishti+IAS+BPSC" TargetMode="External"/><Relationship Id="rId2106" Type="http://schemas.openxmlformats.org/officeDocument/2006/relationships/hyperlink" Target="https://www.youtube.com/results?search_query=Biodiversity+%26+Conservation+BPSC+Wallah" TargetMode="External"/><Relationship Id="rId2107" Type="http://schemas.openxmlformats.org/officeDocument/2006/relationships/hyperlink" Target="https://www.youtube.com/results?search_query=Hindi+Mains%3A+Sankshepan%2C+Patra%2C+Anuvad+%26+Vyakaran+BPSC+Wallah" TargetMode="External"/><Relationship Id="rId2108" Type="http://schemas.openxmlformats.org/officeDocument/2006/relationships/hyperlink" Target="https://www.google.com/search?q=&#2332;&#2376;&#2357;+&#2357;&#2367;&#2357;&#2367;&#2343;&#2340;&#2366;+&#2319;&#2357;&#2306;+&#2360;&#2306;&#2352;&#2325;&#2381;&#2359;&#2339;+%28site%3Adrishtiias.com+OR+site%3Avisionias.in+OR+site%3Ancert.nic.in+OR+site%3Ajagranjosh.com+OR+site%3Agktoday.in%29" TargetMode="External"/><Relationship Id="rId2109" Type="http://schemas.openxmlformats.org/officeDocument/2006/relationships/hyperlink" Target="https://www.google.com/search?q=Biodiversity+%26+Conservation+notes+pdf+Drishti+IAS+Vision+IAS+BPSC+Wallah" TargetMode="External"/><Relationship Id="rId2110" Type="http://schemas.openxmlformats.org/officeDocument/2006/relationships/hyperlink" Target="https://www.google.com/search?q=Biodiversity+%26+Conservation+%28site%3Adrishtiias.com+OR+site%3Avisionias.in+OR+site%3Apib.gov.in%29" TargetMode="External"/><Relationship Id="rId2111" Type="http://schemas.openxmlformats.org/officeDocument/2006/relationships/hyperlink" Target="https://www.youtube.com/results?search_query=Biodiversity+%26+Conservation+Drishti+IAS+BPSC" TargetMode="External"/><Relationship Id="rId2112" Type="http://schemas.openxmlformats.org/officeDocument/2006/relationships/hyperlink" Target="https://www.youtube.com/results?search_query=Biodiversity+%26+Conservation+BPSC+Wallah" TargetMode="External"/><Relationship Id="rId2113" Type="http://schemas.openxmlformats.org/officeDocument/2006/relationships/hyperlink" Target="https://www.youtube.com/results?search_query=Case+Studies%2C+Ethics+%26+Probity+Basics+BPSC+Wallah" TargetMode="External"/><Relationship Id="rId2114" Type="http://schemas.openxmlformats.org/officeDocument/2006/relationships/hyperlink" Target="https://www.google.com/search?q=&#2332;&#2376;&#2357;+&#2357;&#2367;&#2357;&#2367;&#2343;&#2340;&#2366;+&#2319;&#2357;&#2306;+&#2360;&#2306;&#2352;&#2325;&#2381;&#2359;&#2339;+%28site%3Adrishtiias.com+OR+site%3Avisionias.in+OR+site%3Ancert.nic.in+OR+site%3Ajagranjosh.com+OR+site%3Agktoday.in%29" TargetMode="External"/><Relationship Id="rId2115" Type="http://schemas.openxmlformats.org/officeDocument/2006/relationships/hyperlink" Target="https://www.google.com/search?q=Climate+Change%2C+Pollution+%26+Environmental+Laws+notes+pdf+Drishti+IAS+Vision+IAS+BPSC+Wallah" TargetMode="External"/><Relationship Id="rId2116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2117" Type="http://schemas.openxmlformats.org/officeDocument/2006/relationships/hyperlink" Target="https://www.youtube.com/results?search_query=Climate+Change%2C+Pollution+%26+Environmental+Laws+Drishti+IAS+BPSC" TargetMode="External"/><Relationship Id="rId2118" Type="http://schemas.openxmlformats.org/officeDocument/2006/relationships/hyperlink" Target="https://www.youtube.com/results?search_query=Climate+Change%2C+Pollution+%26+Environmental+Laws+BPSC+Wallah" TargetMode="External"/><Relationship Id="rId2119" Type="http://schemas.openxmlformats.org/officeDocument/2006/relationships/hyperlink" Target="https://www.youtube.com/results?search_query=Case+Studies%2C+Ethics+%26+Probity+Basics+BPSC+Wallah" TargetMode="External"/><Relationship Id="rId2120" Type="http://schemas.openxmlformats.org/officeDocument/2006/relationships/hyperlink" Target="https://www.google.com/search?q=&#2332;&#2354;&#2357;&#2366;&#2351;&#2369;+&#2346;&#2352;&#2367;&#2357;&#2352;&#2381;&#2340;&#2344;%2C+&#2346;&#2381;&#2352;&#2342;&#2370;&#2359;&#2339;+&#2319;&#2357;&#2306;+&#2346;&#2352;&#2381;&#2351;&#2366;&#2357;&#2352;&#2339;+&#2325;&#2366;&#2344;&#2370;&#2344;+%28site%3Adrishtiias.com+OR+site%3Avisionias.in+OR+site%3Ancert.nic.in+OR+site%3Ajagranjosh.com+OR+site%3Agktoday.in%29" TargetMode="External"/><Relationship Id="rId2121" Type="http://schemas.openxmlformats.org/officeDocument/2006/relationships/hyperlink" Target="https://www.google.com/search?q=Climate+Change%2C+Pollution+%26+Environmental+Laws+notes+pdf+Drishti+IAS+Vision+IAS+BPSC+Wallah" TargetMode="External"/><Relationship Id="rId2122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2123" Type="http://schemas.openxmlformats.org/officeDocument/2006/relationships/hyperlink" Target="https://www.youtube.com/results?search_query=Climate+Change%2C+Pollution+%26+Environmental+Laws+Drishti+IAS+BPSC" TargetMode="External"/><Relationship Id="rId2124" Type="http://schemas.openxmlformats.org/officeDocument/2006/relationships/hyperlink" Target="https://www.youtube.com/results?search_query=Climate+Change%2C+Pollution+%26+Environmental+Laws+BPSC+Wallah" TargetMode="External"/><Relationship Id="rId2125" Type="http://schemas.openxmlformats.org/officeDocument/2006/relationships/hyperlink" Target="https://www.youtube.com/results?search_query=Case+Studies%2C+Ethics+%26+Probity+Basics+BPSC+Wallah" TargetMode="External"/><Relationship Id="rId2126" Type="http://schemas.openxmlformats.org/officeDocument/2006/relationships/hyperlink" Target="https://www.google.com/search?q=&#2332;&#2354;&#2357;&#2366;&#2351;&#2369;+&#2346;&#2352;&#2367;&#2357;&#2352;&#2381;&#2340;&#2344;%2C+&#2346;&#2381;&#2352;&#2342;&#2370;&#2359;&#2339;+&#2319;&#2357;&#2306;+&#2346;&#2352;&#2381;&#2351;&#2366;&#2357;&#2352;&#2339;+&#2325;&#2366;&#2344;&#2370;&#2344;+%28site%3Adrishtiias.com+OR+site%3Avisionias.in+OR+site%3Ancert.nic.in+OR+site%3Ajagranjosh.com+OR+site%3Agktoday.in%29" TargetMode="External"/><Relationship Id="rId2127" Type="http://schemas.openxmlformats.org/officeDocument/2006/relationships/hyperlink" Target="https://www.google.com/search?q=Climate+Change%2C+Pollution+%26+Environmental+Laws+notes+pdf+Drishti+IAS+Vision+IAS+BPSC+Wallah" TargetMode="External"/><Relationship Id="rId2128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2129" Type="http://schemas.openxmlformats.org/officeDocument/2006/relationships/hyperlink" Target="https://www.youtube.com/results?search_query=Climate+Change%2C+Pollution+%26+Environmental+Laws+Drishti+IAS+BPSC" TargetMode="External"/><Relationship Id="rId2130" Type="http://schemas.openxmlformats.org/officeDocument/2006/relationships/hyperlink" Target="https://www.youtube.com/results?search_query=Climate+Change%2C+Pollution+%26+Environmental+Laws+BPSC+Wallah" TargetMode="External"/><Relationship Id="rId2131" Type="http://schemas.openxmlformats.org/officeDocument/2006/relationships/hyperlink" Target="https://www.youtube.com/results?search_query=Case+Studies%2C+Ethics+%26+Probity+Basics+BPSC+Wallah" TargetMode="External"/><Relationship Id="rId2132" Type="http://schemas.openxmlformats.org/officeDocument/2006/relationships/hyperlink" Target="https://www.google.com/search?q=&#2332;&#2354;&#2357;&#2366;&#2351;&#2369;+&#2346;&#2352;&#2367;&#2357;&#2352;&#2381;&#2340;&#2344;%2C+&#2346;&#2381;&#2352;&#2342;&#2370;&#2359;&#2339;+&#2319;&#2357;&#2306;+&#2346;&#2352;&#2381;&#2351;&#2366;&#2357;&#2352;&#2339;+&#2325;&#2366;&#2344;&#2370;&#2344;+%28site%3Adrishtiias.com+OR+site%3Avisionias.in+OR+site%3Ancert.nic.in+OR+site%3Ajagranjosh.com+OR+site%3Agktoday.in%29" TargetMode="External"/><Relationship Id="rId2133" Type="http://schemas.openxmlformats.org/officeDocument/2006/relationships/hyperlink" Target="https://www.google.com/search?q=BPSC+weekly+revision+notes+pdf+Drishti+IAS+Vision+IAS" TargetMode="External"/><Relationship Id="rId2134" Type="http://schemas.openxmlformats.org/officeDocument/2006/relationships/hyperlink" Target="https://www.google.com/search?q=weekly+current+affairs+revision+%28site%3Adrishtiias.com+OR+site%3Avisionias.in+OR+site%3Apib.gov.in%29" TargetMode="External"/><Relationship Id="rId2135" Type="http://schemas.openxmlformats.org/officeDocument/2006/relationships/hyperlink" Target="https://www.youtube.com/results?search_query=BPSC+prelims+mock+test+analysis+strategy+Drishti+IAS" TargetMode="External"/><Relationship Id="rId2136" Type="http://schemas.openxmlformats.org/officeDocument/2006/relationships/hyperlink" Target="https://www.youtube.com/results?search_query=BPSC+Wallah+BPSC+prelims+test+series+discussion" TargetMode="External"/><Relationship Id="rId2137" Type="http://schemas.openxmlformats.org/officeDocument/2006/relationships/hyperlink" Target="https://www.youtube.com/results?search_query=BPSC+Wallah+BPSC+revision+strategy" TargetMode="External"/><Relationship Id="rId2138" Type="http://schemas.openxmlformats.org/officeDocument/2006/relationships/hyperlink" Target="https://www.google.com/search?q=Prehistory+%26+Indus+Valley+Civilisation+notes+pdf+Drishti+IAS+Vision+IAS+BPSC+Wallah" TargetMode="External"/><Relationship Id="rId2139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2140" Type="http://schemas.openxmlformats.org/officeDocument/2006/relationships/hyperlink" Target="https://www.youtube.com/results?search_query=Prehistory+%26+Indus+Valley+Civilisation+Drishti+IAS+BPSC" TargetMode="External"/><Relationship Id="rId2141" Type="http://schemas.openxmlformats.org/officeDocument/2006/relationships/hyperlink" Target="https://www.youtube.com/results?search_query=Prehistory+%26+Indus+Valley+Civilisation+BPSC+Wallah" TargetMode="External"/><Relationship Id="rId2142" Type="http://schemas.openxmlformats.org/officeDocument/2006/relationships/hyperlink" Target="https://www.youtube.com/results?search_query=Bihar+&#8211;+Ancient+History+BPSC+Wallah" TargetMode="External"/><Relationship Id="rId2143" Type="http://schemas.openxmlformats.org/officeDocument/2006/relationships/hyperlink" Target="https://www.google.com/search?q=Prehistory+%26+Indus+Valley+Civilisation+notes+pdf+Drishti+IAS+Vision+IAS+BPSC+Wallah" TargetMode="External"/><Relationship Id="rId2144" Type="http://schemas.openxmlformats.org/officeDocument/2006/relationships/hyperlink" Target="https://www.google.com/search?q=Prehistory+%26+Indus+Valley+Civilisation+%28site%3Adrishtiias.com+OR+site%3Avisionias.in+OR+site%3Ancert.nic.in%29" TargetMode="External"/><Relationship Id="rId2145" Type="http://schemas.openxmlformats.org/officeDocument/2006/relationships/hyperlink" Target="https://www.youtube.com/results?search_query=Prehistory+%26+Indus+Valley+Civilisation+Drishti+IAS+BPSC" TargetMode="External"/><Relationship Id="rId2146" Type="http://schemas.openxmlformats.org/officeDocument/2006/relationships/hyperlink" Target="https://www.youtube.com/results?search_query=Prehistory+%26+Indus+Valley+Civilisation+BPSC+Wallah" TargetMode="External"/><Relationship Id="rId2147" Type="http://schemas.openxmlformats.org/officeDocument/2006/relationships/hyperlink" Target="https://www.youtube.com/results?search_query=Bihar+&#8211;+Ancient+History+BPSC+Wallah" TargetMode="External"/><Relationship Id="rId2148" Type="http://schemas.openxmlformats.org/officeDocument/2006/relationships/hyperlink" Target="https://www.google.com/search?q=Vedic+Age+%26+Mahajanapadas+notes+pdf+Drishti+IAS+Vision+IAS+BPSC+Wallah" TargetMode="External"/><Relationship Id="rId2149" Type="http://schemas.openxmlformats.org/officeDocument/2006/relationships/hyperlink" Target="https://www.google.com/search?q=Vedic+Age+%26+Mahajanapadas+%28site%3Adrishtiias.com+OR+site%3Avisionias.in+OR+site%3Ancert.nic.in%29" TargetMode="External"/><Relationship Id="rId2150" Type="http://schemas.openxmlformats.org/officeDocument/2006/relationships/hyperlink" Target="https://www.youtube.com/results?search_query=Vedic+Age+%26+Mahajanapadas+Drishti+IAS+BPSC" TargetMode="External"/><Relationship Id="rId2151" Type="http://schemas.openxmlformats.org/officeDocument/2006/relationships/hyperlink" Target="https://www.youtube.com/results?search_query=Vedic+Age+%26+Mahajanapadas+BPSC+Wallah" TargetMode="External"/><Relationship Id="rId2152" Type="http://schemas.openxmlformats.org/officeDocument/2006/relationships/hyperlink" Target="https://www.youtube.com/results?search_query=Bihar+&#8211;+Ancient+History+BPSC+Wallah" TargetMode="External"/><Relationship Id="rId2153" Type="http://schemas.openxmlformats.org/officeDocument/2006/relationships/hyperlink" Target="https://www.google.com/search?q=Jainism%2C+Buddhism+%26+Heterodox+Sects+notes+pdf+Drishti+IAS+Vision+IAS+BPSC+Wallah" TargetMode="External"/><Relationship Id="rId2154" Type="http://schemas.openxmlformats.org/officeDocument/2006/relationships/hyperlink" Target="https://www.google.com/search?q=Jainism%2C+Buddhism+%26+Heterodox+Sects+%28site%3Adrishtiias.com+OR+site%3Avisionias.in+OR+site%3Ancert.nic.in%29" TargetMode="External"/><Relationship Id="rId2155" Type="http://schemas.openxmlformats.org/officeDocument/2006/relationships/hyperlink" Target="https://www.youtube.com/results?search_query=Jainism%2C+Buddhism+%26+Heterodox+Sects+Drishti+IAS+BPSC" TargetMode="External"/><Relationship Id="rId2156" Type="http://schemas.openxmlformats.org/officeDocument/2006/relationships/hyperlink" Target="https://www.youtube.com/results?search_query=Jainism%2C+Buddhism+%26+Heterodox+Sects+BPSC+Wallah" TargetMode="External"/><Relationship Id="rId2157" Type="http://schemas.openxmlformats.org/officeDocument/2006/relationships/hyperlink" Target="https://www.youtube.com/results?search_query=Bihar+&#8211;+Medieval+%26+Colonial+History+BPSC+Wallah" TargetMode="External"/><Relationship Id="rId2158" Type="http://schemas.openxmlformats.org/officeDocument/2006/relationships/hyperlink" Target="https://www.google.com/search?q=Mauryan+Empire+notes+pdf+Drishti+IAS+Vision+IAS+BPSC+Wallah" TargetMode="External"/><Relationship Id="rId2159" Type="http://schemas.openxmlformats.org/officeDocument/2006/relationships/hyperlink" Target="https://www.google.com/search?q=Mauryan+Empire+%28site%3Adrishtiias.com+OR+site%3Avisionias.in+OR+site%3Ancert.nic.in%29" TargetMode="External"/><Relationship Id="rId2160" Type="http://schemas.openxmlformats.org/officeDocument/2006/relationships/hyperlink" Target="https://www.youtube.com/results?search_query=Mauryan+Empire+Drishti+IAS+BPSC" TargetMode="External"/><Relationship Id="rId2161" Type="http://schemas.openxmlformats.org/officeDocument/2006/relationships/hyperlink" Target="https://www.youtube.com/results?search_query=Mauryan+Empire+BPSC+Wallah" TargetMode="External"/><Relationship Id="rId2162" Type="http://schemas.openxmlformats.org/officeDocument/2006/relationships/hyperlink" Target="https://www.youtube.com/results?search_query=Bihar+&#8211;+Medieval+%26+Colonial+History+BPSC+Wallah" TargetMode="External"/><Relationship Id="rId2163" Type="http://schemas.openxmlformats.org/officeDocument/2006/relationships/hyperlink" Target="https://www.google.com/search?q=Mauryan+Empire+notes+pdf+Drishti+IAS+Vision+IAS+BPSC+Wallah" TargetMode="External"/><Relationship Id="rId2164" Type="http://schemas.openxmlformats.org/officeDocument/2006/relationships/hyperlink" Target="https://www.google.com/search?q=Mauryan+Empire+%28site%3Adrishtiias.com+OR+site%3Avisionias.in+OR+site%3Ancert.nic.in%29" TargetMode="External"/><Relationship Id="rId2165" Type="http://schemas.openxmlformats.org/officeDocument/2006/relationships/hyperlink" Target="https://www.youtube.com/results?search_query=Mauryan+Empire+Drishti+IAS+BPSC" TargetMode="External"/><Relationship Id="rId2166" Type="http://schemas.openxmlformats.org/officeDocument/2006/relationships/hyperlink" Target="https://www.youtube.com/results?search_query=Mauryan+Empire+BPSC+Wallah" TargetMode="External"/><Relationship Id="rId2167" Type="http://schemas.openxmlformats.org/officeDocument/2006/relationships/hyperlink" Target="https://www.youtube.com/results?search_query=Bihar+&#8211;+Freedom+Struggle+%26+Modern+Politics+BPSC+Wallah" TargetMode="External"/><Relationship Id="rId2168" Type="http://schemas.openxmlformats.org/officeDocument/2006/relationships/hyperlink" Target="https://www.google.com/search?q=BPSC+weekly+revision+notes+pdf+Drishti+IAS+Vision+IAS" TargetMode="External"/><Relationship Id="rId2169" Type="http://schemas.openxmlformats.org/officeDocument/2006/relationships/hyperlink" Target="https://www.google.com/search?q=weekly+current+affairs+revision+%28site%3Adrishtiias.com+OR+site%3Avisionias.in+OR+site%3Apib.gov.in%29" TargetMode="External"/><Relationship Id="rId2170" Type="http://schemas.openxmlformats.org/officeDocument/2006/relationships/hyperlink" Target="https://www.youtube.com/results?search_query=BPSC+prelims+mock+test+analysis+strategy+Drishti+IAS" TargetMode="External"/><Relationship Id="rId2171" Type="http://schemas.openxmlformats.org/officeDocument/2006/relationships/hyperlink" Target="https://www.youtube.com/results?search_query=BPSC+Wallah+BPSC+prelims+test+series+discussion" TargetMode="External"/><Relationship Id="rId2172" Type="http://schemas.openxmlformats.org/officeDocument/2006/relationships/hyperlink" Target="https://www.youtube.com/results?search_query=BPSC+Wallah+BPSC+revision+strategy" TargetMode="External"/><Relationship Id="rId2173" Type="http://schemas.openxmlformats.org/officeDocument/2006/relationships/hyperlink" Target="https://www.google.com/search?q=Post-Mauryan+Period+%28Shunga%2C+Kushan%2C+Satavahana%2C+Sangam%29+notes+pdf+Drishti+IAS+Vision+IAS+BPSC+Wallah" TargetMode="External"/><Relationship Id="rId2174" Type="http://schemas.openxmlformats.org/officeDocument/2006/relationships/hyperlink" Target="https://www.google.com/search?q=Post-Mauryan+Period+%28Shunga%2C+Kushan%2C+Satavahana%2C+Sangam%29+%28site%3Adrishtiias.com+OR+site%3Avisionias.in+OR+site%3Ancert.nic.in%29" TargetMode="External"/><Relationship Id="rId2175" Type="http://schemas.openxmlformats.org/officeDocument/2006/relationships/hyperlink" Target="https://www.youtube.com/results?search_query=Post-Mauryan+Period+%28Shunga%2C+Kushan%2C+Satavahana%2C+Sangam%29+Drishti+IAS+BPSC" TargetMode="External"/><Relationship Id="rId2176" Type="http://schemas.openxmlformats.org/officeDocument/2006/relationships/hyperlink" Target="https://www.youtube.com/results?search_query=Post-Mauryan+Period+%28Shunga%2C+Kushan%2C+Satavahana%2C+Sangam%29+BPSC+Wallah" TargetMode="External"/><Relationship Id="rId2177" Type="http://schemas.openxmlformats.org/officeDocument/2006/relationships/hyperlink" Target="https://www.youtube.com/results?search_query=Bihar+&#8211;+Freedom+Struggle+%26+Modern+Politics+BPSC+Wallah" TargetMode="External"/><Relationship Id="rId2178" Type="http://schemas.openxmlformats.org/officeDocument/2006/relationships/hyperlink" Target="https://www.google.com/search?q=Gupta+Empire%2C+Harsha+%26+Pala+Dynasty+notes+pdf+Drishti+IAS+Vision+IAS+BPSC+Wallah" TargetMode="External"/><Relationship Id="rId2179" Type="http://schemas.openxmlformats.org/officeDocument/2006/relationships/hyperlink" Target="https://www.google.com/search?q=Gupta+Empire%2C+Harsha+%26+Pala+Dynasty+%28site%3Adrishtiias.com+OR+site%3Avisionias.in+OR+site%3Ancert.nic.in%29" TargetMode="External"/><Relationship Id="rId2180" Type="http://schemas.openxmlformats.org/officeDocument/2006/relationships/hyperlink" Target="https://www.youtube.com/results?search_query=Gupta+Empire%2C+Harsha+%26+Pala+Dynasty+Drishti+IAS+BPSC" TargetMode="External"/><Relationship Id="rId2181" Type="http://schemas.openxmlformats.org/officeDocument/2006/relationships/hyperlink" Target="https://www.youtube.com/results?search_query=Gupta+Empire%2C+Harsha+%26+Pala+Dynasty+BPSC+Wallah" TargetMode="External"/><Relationship Id="rId2182" Type="http://schemas.openxmlformats.org/officeDocument/2006/relationships/hyperlink" Target="https://www.youtube.com/results?search_query=Bihar+&#8211;+Freedom+Struggle+%26+Modern+Politics+BPSC+Wallah" TargetMode="External"/><Relationship Id="rId2183" Type="http://schemas.openxmlformats.org/officeDocument/2006/relationships/hyperlink" Target="https://www.google.com/search?q=Early+Medieval+India+%28Rajputs%2C+Cholas%2C+Chalukyas%2C+Pallavas%29+notes+pdf+Drishti+IAS+Vision+IAS+BPSC+Wallah" TargetMode="External"/><Relationship Id="rId2184" Type="http://schemas.openxmlformats.org/officeDocument/2006/relationships/hyperlink" Target="https://www.google.com/search?q=Early+Medieval+India+%28Rajputs%2C+Cholas%2C+Chalukyas%2C+Pallavas%29+%28site%3Adrishtiias.com+OR+site%3Avisionias.in+OR+site%3Ancert.nic.in%29" TargetMode="External"/><Relationship Id="rId2185" Type="http://schemas.openxmlformats.org/officeDocument/2006/relationships/hyperlink" Target="https://www.youtube.com/results?search_query=Early+Medieval+India+%28Rajputs%2C+Cholas%2C+Chalukyas%2C+Pallavas%29+Drishti+IAS+BPSC" TargetMode="External"/><Relationship Id="rId2186" Type="http://schemas.openxmlformats.org/officeDocument/2006/relationships/hyperlink" Target="https://www.youtube.com/results?search_query=Early+Medieval+India+%28Rajputs%2C+Cholas%2C+Chalukyas%2C+Pallavas%29+BPSC+Wallah" TargetMode="External"/><Relationship Id="rId2187" Type="http://schemas.openxmlformats.org/officeDocument/2006/relationships/hyperlink" Target="https://www.youtube.com/results?search_query=Bihar+&#8211;+Geography%3A+Physiography%2C+Rivers+%26+Climate+BPSC+Wallah" TargetMode="External"/><Relationship Id="rId2188" Type="http://schemas.openxmlformats.org/officeDocument/2006/relationships/hyperlink" Target="https://www.google.com/search?q=Delhi+Sultanate+notes+pdf+Drishti+IAS+Vision+IAS+BPSC+Wallah" TargetMode="External"/><Relationship Id="rId2189" Type="http://schemas.openxmlformats.org/officeDocument/2006/relationships/hyperlink" Target="https://www.google.com/search?q=Delhi+Sultanate+%28site%3Adrishtiias.com+OR+site%3Avisionias.in+OR+site%3Ancert.nic.in%29" TargetMode="External"/><Relationship Id="rId2190" Type="http://schemas.openxmlformats.org/officeDocument/2006/relationships/hyperlink" Target="https://www.youtube.com/results?search_query=Delhi+Sultanate+Drishti+IAS+BPSC" TargetMode="External"/><Relationship Id="rId2191" Type="http://schemas.openxmlformats.org/officeDocument/2006/relationships/hyperlink" Target="https://www.youtube.com/results?search_query=Delhi+Sultanate+BPSC+Wallah" TargetMode="External"/><Relationship Id="rId2192" Type="http://schemas.openxmlformats.org/officeDocument/2006/relationships/hyperlink" Target="https://www.youtube.com/results?search_query=Bihar+&#8211;+Geography%3A+Physiography%2C+Rivers+%26+Climate+BPSC+Wallah" TargetMode="External"/><Relationship Id="rId2193" Type="http://schemas.openxmlformats.org/officeDocument/2006/relationships/hyperlink" Target="https://www.google.com/search?q=Delhi+Sultanate+notes+pdf+Drishti+IAS+Vision+IAS+BPSC+Wallah" TargetMode="External"/><Relationship Id="rId2194" Type="http://schemas.openxmlformats.org/officeDocument/2006/relationships/hyperlink" Target="https://www.google.com/search?q=Delhi+Sultanate+%28site%3Adrishtiias.com+OR+site%3Avisionias.in+OR+site%3Ancert.nic.in%29" TargetMode="External"/><Relationship Id="rId2195" Type="http://schemas.openxmlformats.org/officeDocument/2006/relationships/hyperlink" Target="https://www.youtube.com/results?search_query=Delhi+Sultanate+Drishti+IAS+BPSC" TargetMode="External"/><Relationship Id="rId2196" Type="http://schemas.openxmlformats.org/officeDocument/2006/relationships/hyperlink" Target="https://www.youtube.com/results?search_query=Delhi+Sultanate+BPSC+Wallah" TargetMode="External"/><Relationship Id="rId2197" Type="http://schemas.openxmlformats.org/officeDocument/2006/relationships/hyperlink" Target="https://www.youtube.com/results?search_query=Bihar+&#8211;+Geography%3A+Physiography%2C+Rivers+%26+Climate+BPSC+Wallah" TargetMode="External"/><Relationship Id="rId2198" Type="http://schemas.openxmlformats.org/officeDocument/2006/relationships/hyperlink" Target="https://www.google.com/search?q=Bhakti+%26+Sufi+Movements+notes+pdf+Drishti+IAS+Vision+IAS+BPSC+Wallah" TargetMode="External"/><Relationship Id="rId2199" Type="http://schemas.openxmlformats.org/officeDocument/2006/relationships/hyperlink" Target="https://www.google.com/search?q=Bhakti+%26+Sufi+Movements+%28site%3Adrishtiias.com+OR+site%3Avisionias.in+OR+site%3Ancert.nic.in%29" TargetMode="External"/><Relationship Id="rId2200" Type="http://schemas.openxmlformats.org/officeDocument/2006/relationships/hyperlink" Target="https://www.youtube.com/results?search_query=Bhakti+%26+Sufi+Movements+Drishti+IAS+BPSC" TargetMode="External"/><Relationship Id="rId2201" Type="http://schemas.openxmlformats.org/officeDocument/2006/relationships/hyperlink" Target="https://www.youtube.com/results?search_query=Bhakti+%26+Sufi+Movements+BPSC+Wallah" TargetMode="External"/><Relationship Id="rId2202" Type="http://schemas.openxmlformats.org/officeDocument/2006/relationships/hyperlink" Target="https://www.youtube.com/results?search_query=Bihar+&#8211;+Geography%3A+Physiography%2C+Rivers+%26+Climate+BPSC+Wallah" TargetMode="External"/><Relationship Id="rId2203" Type="http://schemas.openxmlformats.org/officeDocument/2006/relationships/hyperlink" Target="https://www.google.com/search?q=BPSC+weekly+revision+notes+pdf+Drishti+IAS+Vision+IAS" TargetMode="External"/><Relationship Id="rId2204" Type="http://schemas.openxmlformats.org/officeDocument/2006/relationships/hyperlink" Target="https://www.google.com/search?q=weekly+current+affairs+revision+%28site%3Adrishtiias.com+OR+site%3Avisionias.in+OR+site%3Apib.gov.in%29" TargetMode="External"/><Relationship Id="rId2205" Type="http://schemas.openxmlformats.org/officeDocument/2006/relationships/hyperlink" Target="https://www.youtube.com/results?search_query=BPSC+prelims+mock+test+analysis+strategy+Drishti+IAS" TargetMode="External"/><Relationship Id="rId2206" Type="http://schemas.openxmlformats.org/officeDocument/2006/relationships/hyperlink" Target="https://www.youtube.com/results?search_query=BPSC+Wallah+BPSC+prelims+test+series+discussion" TargetMode="External"/><Relationship Id="rId2207" Type="http://schemas.openxmlformats.org/officeDocument/2006/relationships/hyperlink" Target="https://www.youtube.com/results?search_query=BPSC+Wallah+BPSC+revision+strategy" TargetMode="External"/><Relationship Id="rId2208" Type="http://schemas.openxmlformats.org/officeDocument/2006/relationships/hyperlink" Target="https://www.google.com/search?q=Mughal+Empire+notes+pdf+Drishti+IAS+Vision+IAS+BPSC+Wallah" TargetMode="External"/><Relationship Id="rId2209" Type="http://schemas.openxmlformats.org/officeDocument/2006/relationships/hyperlink" Target="https://www.google.com/search?q=Mughal+Empire+%28site%3Adrishtiias.com+OR+site%3Avisionias.in+OR+site%3Ancert.nic.in%29" TargetMode="External"/><Relationship Id="rId2210" Type="http://schemas.openxmlformats.org/officeDocument/2006/relationships/hyperlink" Target="https://www.youtube.com/results?search_query=Mughal+Empire+Drishti+IAS+BPSC" TargetMode="External"/><Relationship Id="rId2211" Type="http://schemas.openxmlformats.org/officeDocument/2006/relationships/hyperlink" Target="https://www.youtube.com/results?search_query=Mughal+Empire+BPSC+Wallah" TargetMode="External"/><Relationship Id="rId2212" Type="http://schemas.openxmlformats.org/officeDocument/2006/relationships/hyperlink" Target="https://www.youtube.com/results?search_query=Bihar+&#8211;+Agriculture%2C+Irrigation+%26+Industries+BPSC+Wallah" TargetMode="External"/><Relationship Id="rId2213" Type="http://schemas.openxmlformats.org/officeDocument/2006/relationships/hyperlink" Target="https://www.google.com/search?q=Mughal+Empire+notes+pdf+Drishti+IAS+Vision+IAS+BPSC+Wallah" TargetMode="External"/><Relationship Id="rId2214" Type="http://schemas.openxmlformats.org/officeDocument/2006/relationships/hyperlink" Target="https://www.google.com/search?q=Mughal+Empire+%28site%3Adrishtiias.com+OR+site%3Avisionias.in+OR+site%3Ancert.nic.in%29" TargetMode="External"/><Relationship Id="rId2215" Type="http://schemas.openxmlformats.org/officeDocument/2006/relationships/hyperlink" Target="https://www.youtube.com/results?search_query=Mughal+Empire+Drishti+IAS+BPSC" TargetMode="External"/><Relationship Id="rId2216" Type="http://schemas.openxmlformats.org/officeDocument/2006/relationships/hyperlink" Target="https://www.youtube.com/results?search_query=Mughal+Empire+BPSC+Wallah" TargetMode="External"/><Relationship Id="rId2217" Type="http://schemas.openxmlformats.org/officeDocument/2006/relationships/hyperlink" Target="https://www.youtube.com/results?search_query=Bihar+&#8211;+Agriculture%2C+Irrigation+%26+Industries+BPSC+Wallah" TargetMode="External"/><Relationship Id="rId2218" Type="http://schemas.openxmlformats.org/officeDocument/2006/relationships/hyperlink" Target="https://www.google.com/search?q=Marathas+%26+Regional+Powers+%2818th+century%29+notes+pdf+Drishti+IAS+Vision+IAS+BPSC+Wallah" TargetMode="External"/><Relationship Id="rId2219" Type="http://schemas.openxmlformats.org/officeDocument/2006/relationships/hyperlink" Target="https://www.google.com/search?q=Marathas+%26+Regional+Powers+%2818th+century%29+%28site%3Adrishtiias.com+OR+site%3Avisionias.in+OR+site%3Ancert.nic.in%29" TargetMode="External"/><Relationship Id="rId2220" Type="http://schemas.openxmlformats.org/officeDocument/2006/relationships/hyperlink" Target="https://www.youtube.com/results?search_query=Marathas+%26+Regional+Powers+%2818th+century%29+Drishti+IAS+BPSC" TargetMode="External"/><Relationship Id="rId2221" Type="http://schemas.openxmlformats.org/officeDocument/2006/relationships/hyperlink" Target="https://www.youtube.com/results?search_query=Marathas+%26+Regional+Powers+%2818th+century%29+BPSC+Wallah" TargetMode="External"/><Relationship Id="rId2222" Type="http://schemas.openxmlformats.org/officeDocument/2006/relationships/hyperlink" Target="https://www.youtube.com/results?search_query=Bihar+&#8211;+Agriculture%2C+Irrigation+%26+Industries+BPSC+Wallah" TargetMode="External"/><Relationship Id="rId2223" Type="http://schemas.openxmlformats.org/officeDocument/2006/relationships/hyperlink" Target="https://www.google.com/search?q=European+Advent+%26+British+Expansion+notes+pdf+Drishti+IAS+Vision+IAS+BPSC+Wallah" TargetMode="External"/><Relationship Id="rId2224" Type="http://schemas.openxmlformats.org/officeDocument/2006/relationships/hyperlink" Target="https://www.google.com/search?q=European+Advent+%26+British+Expansion+%28site%3Adrishtiias.com+OR+site%3Avisionias.in+OR+site%3Ancert.nic.in%29" TargetMode="External"/><Relationship Id="rId2225" Type="http://schemas.openxmlformats.org/officeDocument/2006/relationships/hyperlink" Target="https://www.youtube.com/results?search_query=European+Advent+%26+British+Expansion+Drishti+IAS+BPSC" TargetMode="External"/><Relationship Id="rId2226" Type="http://schemas.openxmlformats.org/officeDocument/2006/relationships/hyperlink" Target="https://www.youtube.com/results?search_query=European+Advent+%26+British+Expansion+BPSC+Wallah" TargetMode="External"/><Relationship Id="rId2227" Type="http://schemas.openxmlformats.org/officeDocument/2006/relationships/hyperlink" Target="https://www.youtube.com/results?search_query=Bihar+&#8211;+Economy%2C+Budget+%26+Government+Schemes+BPSC+Wallah" TargetMode="External"/><Relationship Id="rId2228" Type="http://schemas.openxmlformats.org/officeDocument/2006/relationships/hyperlink" Target="https://www.google.com/search?q=Revolt+of+1857+notes+pdf+Drishti+IAS+Vision+IAS+BPSC+Wallah" TargetMode="External"/><Relationship Id="rId2229" Type="http://schemas.openxmlformats.org/officeDocument/2006/relationships/hyperlink" Target="https://www.google.com/search?q=Revolt+of+1857+%28site%3Adrishtiias.com+OR+site%3Avisionias.in+OR+site%3Ancert.nic.in%29" TargetMode="External"/><Relationship Id="rId2230" Type="http://schemas.openxmlformats.org/officeDocument/2006/relationships/hyperlink" Target="https://www.youtube.com/results?search_query=Revolt+of+1857+Drishti+IAS+BPSC" TargetMode="External"/><Relationship Id="rId2231" Type="http://schemas.openxmlformats.org/officeDocument/2006/relationships/hyperlink" Target="https://www.youtube.com/results?search_query=Revolt+of+1857+BPSC+Wallah" TargetMode="External"/><Relationship Id="rId2232" Type="http://schemas.openxmlformats.org/officeDocument/2006/relationships/hyperlink" Target="https://www.youtube.com/results?search_query=Bihar+&#8211;+Economy%2C+Budget+%26+Government+Schemes+BPSC+Wallah" TargetMode="External"/><Relationship Id="rId2233" Type="http://schemas.openxmlformats.org/officeDocument/2006/relationships/hyperlink" Target="https://www.google.com/search?q=Socio-Religious+Reform+Movements+notes+pdf+Drishti+IAS+Vision+IAS+BPSC+Wallah" TargetMode="External"/><Relationship Id="rId2234" Type="http://schemas.openxmlformats.org/officeDocument/2006/relationships/hyperlink" Target="https://www.google.com/search?q=Socio-Religious+Reform+Movements+%28site%3Adrishtiias.com+OR+site%3Avisionias.in+OR+site%3Ancert.nic.in%29" TargetMode="External"/><Relationship Id="rId2235" Type="http://schemas.openxmlformats.org/officeDocument/2006/relationships/hyperlink" Target="https://www.youtube.com/results?search_query=Socio-Religious+Reform+Movements+Drishti+IAS+BPSC" TargetMode="External"/><Relationship Id="rId2236" Type="http://schemas.openxmlformats.org/officeDocument/2006/relationships/hyperlink" Target="https://www.youtube.com/results?search_query=Socio-Religious+Reform+Movements+BPSC+Wallah" TargetMode="External"/><Relationship Id="rId2237" Type="http://schemas.openxmlformats.org/officeDocument/2006/relationships/hyperlink" Target="https://www.youtube.com/results?search_query=Bihar+&#8211;+Economy%2C+Budget+%26+Government+Schemes+BPSC+Wallah" TargetMode="External"/><Relationship Id="rId2238" Type="http://schemas.openxmlformats.org/officeDocument/2006/relationships/hyperlink" Target="https://www.google.com/search?q=BPSC+weekly+revision+notes+pdf+Drishti+IAS+Vision+IAS" TargetMode="External"/><Relationship Id="rId2239" Type="http://schemas.openxmlformats.org/officeDocument/2006/relationships/hyperlink" Target="https://www.google.com/search?q=weekly+current+affairs+revision+%28site%3Adrishtiias.com+OR+site%3Avisionias.in+OR+site%3Apib.gov.in%29" TargetMode="External"/><Relationship Id="rId2240" Type="http://schemas.openxmlformats.org/officeDocument/2006/relationships/hyperlink" Target="https://www.youtube.com/results?search_query=BPSC+prelims+mock+test+analysis+strategy+Drishti+IAS" TargetMode="External"/><Relationship Id="rId2241" Type="http://schemas.openxmlformats.org/officeDocument/2006/relationships/hyperlink" Target="https://www.youtube.com/results?search_query=BPSC+Wallah+BPSC+prelims+test+series+discussion" TargetMode="External"/><Relationship Id="rId2242" Type="http://schemas.openxmlformats.org/officeDocument/2006/relationships/hyperlink" Target="https://www.youtube.com/results?search_query=BPSC+Wallah+BPSC+revision+strategy" TargetMode="External"/><Relationship Id="rId2243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2244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2245" Type="http://schemas.openxmlformats.org/officeDocument/2006/relationships/hyperlink" Target="https://www.youtube.com/results?search_query=Early+Nationalism%3A+INC%2C+Moderates%2C+Extremists%2C+Swadeshi+Drishti+IAS+BPSC" TargetMode="External"/><Relationship Id="rId2246" Type="http://schemas.openxmlformats.org/officeDocument/2006/relationships/hyperlink" Target="https://www.youtube.com/results?search_query=Early+Nationalism%3A+INC%2C+Moderates%2C+Extremists%2C+Swadeshi+BPSC+Wallah" TargetMode="External"/><Relationship Id="rId2247" Type="http://schemas.openxmlformats.org/officeDocument/2006/relationships/hyperlink" Target="https://www.youtube.com/results?search_query=Bihar+&#8211;+Economy%2C+Budget+%26+Government+Schemes+BPSC+Wallah" TargetMode="External"/><Relationship Id="rId2248" Type="http://schemas.openxmlformats.org/officeDocument/2006/relationships/hyperlink" Target="https://www.google.com/search?q=Early+Nationalism%3A+INC%2C+Moderates%2C+Extremists%2C+Swadeshi+notes+pdf+Drishti+IAS+Vision+IAS+BPSC+Wallah" TargetMode="External"/><Relationship Id="rId2249" Type="http://schemas.openxmlformats.org/officeDocument/2006/relationships/hyperlink" Target="https://www.google.com/search?q=Early+Nationalism%3A+INC%2C+Moderates%2C+Extremists%2C+Swadeshi+%28site%3Adrishtiias.com+OR+site%3Avisionias.in+OR+site%3Ancert.nic.in%29" TargetMode="External"/><Relationship Id="rId2250" Type="http://schemas.openxmlformats.org/officeDocument/2006/relationships/hyperlink" Target="https://www.youtube.com/results?search_query=Early+Nationalism%3A+INC%2C+Moderates%2C+Extremists%2C+Swadeshi+Drishti+IAS+BPSC" TargetMode="External"/><Relationship Id="rId2251" Type="http://schemas.openxmlformats.org/officeDocument/2006/relationships/hyperlink" Target="https://www.youtube.com/results?search_query=Early+Nationalism%3A+INC%2C+Moderates%2C+Extremists%2C+Swadeshi+BPSC+Wallah" TargetMode="External"/><Relationship Id="rId2252" Type="http://schemas.openxmlformats.org/officeDocument/2006/relationships/hyperlink" Target="https://www.youtube.com/results?search_query=Bihar+&#8211;+Polity+%26+Administration+BPSC+Wallah" TargetMode="External"/><Relationship Id="rId2253" Type="http://schemas.openxmlformats.org/officeDocument/2006/relationships/hyperlink" Target="https://www.google.com/search?q=Gandhian+Era%3A+Champaran+to+Quit+India+notes+pdf+Drishti+IAS+Vision+IAS+BPSC+Wallah" TargetMode="External"/><Relationship Id="rId2254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2255" Type="http://schemas.openxmlformats.org/officeDocument/2006/relationships/hyperlink" Target="https://www.youtube.com/results?search_query=Gandhian+Era%3A+Champaran+to+Quit+India+Drishti+IAS+BPSC" TargetMode="External"/><Relationship Id="rId2256" Type="http://schemas.openxmlformats.org/officeDocument/2006/relationships/hyperlink" Target="https://www.youtube.com/results?search_query=Gandhian+Era%3A+Champaran+to+Quit+India+BPSC+Wallah" TargetMode="External"/><Relationship Id="rId2257" Type="http://schemas.openxmlformats.org/officeDocument/2006/relationships/hyperlink" Target="https://www.youtube.com/results?search_query=Bihar+&#8211;+Polity+%26+Administration+BPSC+Wallah" TargetMode="External"/><Relationship Id="rId2258" Type="http://schemas.openxmlformats.org/officeDocument/2006/relationships/hyperlink" Target="https://www.google.com/search?q=Gandhian+Era%3A+Champaran+to+Quit+India+notes+pdf+Drishti+IAS+Vision+IAS+BPSC+Wallah" TargetMode="External"/><Relationship Id="rId2259" Type="http://schemas.openxmlformats.org/officeDocument/2006/relationships/hyperlink" Target="https://www.google.com/search?q=Gandhian+Era%3A+Champaran+to+Quit+India+%28site%3Adrishtiias.com+OR+site%3Avisionias.in+OR+site%3Ancert.nic.in%29" TargetMode="External"/><Relationship Id="rId2260" Type="http://schemas.openxmlformats.org/officeDocument/2006/relationships/hyperlink" Target="https://www.youtube.com/results?search_query=Gandhian+Era%3A+Champaran+to+Quit+India+Drishti+IAS+BPSC" TargetMode="External"/><Relationship Id="rId2261" Type="http://schemas.openxmlformats.org/officeDocument/2006/relationships/hyperlink" Target="https://www.youtube.com/results?search_query=Gandhian+Era%3A+Champaran+to+Quit+India+BPSC+Wallah" TargetMode="External"/><Relationship Id="rId2262" Type="http://schemas.openxmlformats.org/officeDocument/2006/relationships/hyperlink" Target="https://www.youtube.com/results?search_query=Bihar+&#8211;+Polity+%26+Administration+BPSC+Wallah" TargetMode="External"/><Relationship Id="rId2263" Type="http://schemas.openxmlformats.org/officeDocument/2006/relationships/hyperlink" Target="https://www.google.com/search?q=Revolutionaries%2C+Constitutional+Developments+%26+Partition+notes+pdf+Drishti+IAS+Vision+IAS+BPSC+Wallah" TargetMode="External"/><Relationship Id="rId2264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2265" Type="http://schemas.openxmlformats.org/officeDocument/2006/relationships/hyperlink" Target="https://www.youtube.com/results?search_query=Revolutionaries%2C+Constitutional+Developments+%26+Partition+Drishti+IAS+BPSC" TargetMode="External"/><Relationship Id="rId2266" Type="http://schemas.openxmlformats.org/officeDocument/2006/relationships/hyperlink" Target="https://www.youtube.com/results?search_query=Revolutionaries%2C+Constitutional+Developments+%26+Partition+BPSC+Wallah" TargetMode="External"/><Relationship Id="rId2267" Type="http://schemas.openxmlformats.org/officeDocument/2006/relationships/hyperlink" Target="https://www.youtube.com/results?search_query=Bihar+&#8211;+Art%2C+Culture%2C+Literature+%26+Tourism+BPSC+Wallah" TargetMode="External"/><Relationship Id="rId2268" Type="http://schemas.openxmlformats.org/officeDocument/2006/relationships/hyperlink" Target="https://www.google.com/search?q=Revolutionaries%2C+Constitutional+Developments+%26+Partition+notes+pdf+Drishti+IAS+Vision+IAS+BPSC+Wallah" TargetMode="External"/><Relationship Id="rId2269" Type="http://schemas.openxmlformats.org/officeDocument/2006/relationships/hyperlink" Target="https://www.google.com/search?q=Revolutionaries%2C+Constitutional+Developments+%26+Partition+%28site%3Adrishtiias.com+OR+site%3Avisionias.in+OR+site%3Ancert.nic.in%29" TargetMode="External"/><Relationship Id="rId2270" Type="http://schemas.openxmlformats.org/officeDocument/2006/relationships/hyperlink" Target="https://www.youtube.com/results?search_query=Revolutionaries%2C+Constitutional+Developments+%26+Partition+Drishti+IAS+BPSC" TargetMode="External"/><Relationship Id="rId2271" Type="http://schemas.openxmlformats.org/officeDocument/2006/relationships/hyperlink" Target="https://www.youtube.com/results?search_query=Revolutionaries%2C+Constitutional+Developments+%26+Partition+BPSC+Wallah" TargetMode="External"/><Relationship Id="rId2272" Type="http://schemas.openxmlformats.org/officeDocument/2006/relationships/hyperlink" Target="https://www.youtube.com/results?search_query=Bihar+&#8211;+Art%2C+Culture%2C+Literature+%26+Tourism+BPSC+Wallah" TargetMode="External"/><Relationship Id="rId2273" Type="http://schemas.openxmlformats.org/officeDocument/2006/relationships/hyperlink" Target="https://www.google.com/search?q=BPSC+weekly+revision+notes+pdf+Drishti+IAS+Vision+IAS" TargetMode="External"/><Relationship Id="rId2274" Type="http://schemas.openxmlformats.org/officeDocument/2006/relationships/hyperlink" Target="https://www.google.com/search?q=weekly+current+affairs+revision+%28site%3Adrishtiias.com+OR+site%3Avisionias.in+OR+site%3Apib.gov.in%29" TargetMode="External"/><Relationship Id="rId2275" Type="http://schemas.openxmlformats.org/officeDocument/2006/relationships/hyperlink" Target="https://www.youtube.com/results?search_query=BPSC+prelims+mock+test+analysis+strategy+Drishti+IAS" TargetMode="External"/><Relationship Id="rId2276" Type="http://schemas.openxmlformats.org/officeDocument/2006/relationships/hyperlink" Target="https://www.youtube.com/results?search_query=BPSC+Wallah+BPSC+prelims+test+series+discussion" TargetMode="External"/><Relationship Id="rId2277" Type="http://schemas.openxmlformats.org/officeDocument/2006/relationships/hyperlink" Target="https://www.youtube.com/results?search_query=BPSC+Wallah+BPSC+revision+strategy" TargetMode="External"/><Relationship Id="rId2278" Type="http://schemas.openxmlformats.org/officeDocument/2006/relationships/hyperlink" Target="https://www.google.com/search?q=Post-Independence+India+%281947+onwards%29+notes+pdf+Drishti+IAS+Vision+IAS+BPSC+Wallah" TargetMode="External"/><Relationship Id="rId2279" Type="http://schemas.openxmlformats.org/officeDocument/2006/relationships/hyperlink" Target="https://www.google.com/search?q=Post-Independence+India+%281947+onwards%29+%28site%3Adrishtiias.com+OR+site%3Avisionias.in+OR+site%3Ancert.nic.in%29" TargetMode="External"/><Relationship Id="rId2280" Type="http://schemas.openxmlformats.org/officeDocument/2006/relationships/hyperlink" Target="https://www.youtube.com/results?search_query=Post-Independence+India+%281947+onwards%29+Drishti+IAS+BPSC" TargetMode="External"/><Relationship Id="rId2281" Type="http://schemas.openxmlformats.org/officeDocument/2006/relationships/hyperlink" Target="https://www.youtube.com/results?search_query=Post-Independence+India+%281947+onwards%29+BPSC+Wallah" TargetMode="External"/><Relationship Id="rId2282" Type="http://schemas.openxmlformats.org/officeDocument/2006/relationships/hyperlink" Target="https://www.youtube.com/results?search_query=Bihar+&#8211;+Demography%2C+Education+%26+Health+BPSC+Wallah" TargetMode="External"/><Relationship Id="rId2283" Type="http://schemas.openxmlformats.org/officeDocument/2006/relationships/hyperlink" Target="https://www.google.com/search?q=Art+%26+Architecture+of+India+notes+pdf+Drishti+IAS+Vision+IAS+BPSC+Wallah" TargetMode="External"/><Relationship Id="rId2284" Type="http://schemas.openxmlformats.org/officeDocument/2006/relationships/hyperlink" Target="https://www.google.com/search?q=Art+%26+Architecture+of+India+%28site%3Adrishtiias.com+OR+site%3Avisionias.in+OR+site%3Ancert.nic.in%29" TargetMode="External"/><Relationship Id="rId2285" Type="http://schemas.openxmlformats.org/officeDocument/2006/relationships/hyperlink" Target="https://www.youtube.com/results?search_query=Art+%26+Architecture+of+India+Drishti+IAS+BPSC" TargetMode="External"/><Relationship Id="rId2286" Type="http://schemas.openxmlformats.org/officeDocument/2006/relationships/hyperlink" Target="https://www.youtube.com/results?search_query=Art+%26+Architecture+of+India+BPSC+Wallah" TargetMode="External"/><Relationship Id="rId2287" Type="http://schemas.openxmlformats.org/officeDocument/2006/relationships/hyperlink" Target="https://www.youtube.com/results?search_query=Bihar+&#8211;+Demography%2C+Education+%26+Health+BPSC+Wallah" TargetMode="External"/><Relationship Id="rId2288" Type="http://schemas.openxmlformats.org/officeDocument/2006/relationships/hyperlink" Target="https://www.google.com/search?q=Performing+Arts%2C+Literature%2C+Festivals+%26+UNESCO+Sites+notes+pdf+Drishti+IAS+Vision+IAS+BPSC+Wallah" TargetMode="External"/><Relationship Id="rId2289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2290" Type="http://schemas.openxmlformats.org/officeDocument/2006/relationships/hyperlink" Target="https://www.youtube.com/results?search_query=Performing+Arts%2C+Literature%2C+Festivals+%26+UNESCO+Sites+Drishti+IAS+BPSC" TargetMode="External"/><Relationship Id="rId2291" Type="http://schemas.openxmlformats.org/officeDocument/2006/relationships/hyperlink" Target="https://www.youtube.com/results?search_query=Performing+Arts%2C+Literature%2C+Festivals+%26+UNESCO+Sites+BPSC+Wallah" TargetMode="External"/><Relationship Id="rId2292" Type="http://schemas.openxmlformats.org/officeDocument/2006/relationships/hyperlink" Target="https://www.youtube.com/results?search_query=Bihar+&#8211;+Demography%2C+Education+%26+Health+BPSC+Wallah" TargetMode="External"/><Relationship Id="rId2293" Type="http://schemas.openxmlformats.org/officeDocument/2006/relationships/hyperlink" Target="https://www.google.com/search?q=Performing+Arts%2C+Literature%2C+Festivals+%26+UNESCO+Sites+notes+pdf+Drishti+IAS+Vision+IAS+BPSC+Wallah" TargetMode="External"/><Relationship Id="rId2294" Type="http://schemas.openxmlformats.org/officeDocument/2006/relationships/hyperlink" Target="https://www.google.com/search?q=Performing+Arts%2C+Literature%2C+Festivals+%26+UNESCO+Sites+%28site%3Adrishtiias.com+OR+site%3Avisionias.in+OR+site%3Ancert.nic.in%29" TargetMode="External"/><Relationship Id="rId2295" Type="http://schemas.openxmlformats.org/officeDocument/2006/relationships/hyperlink" Target="https://www.youtube.com/results?search_query=Performing+Arts%2C+Literature%2C+Festivals+%26+UNESCO+Sites+Drishti+IAS+BPSC" TargetMode="External"/><Relationship Id="rId2296" Type="http://schemas.openxmlformats.org/officeDocument/2006/relationships/hyperlink" Target="https://www.youtube.com/results?search_query=Performing+Arts%2C+Literature%2C+Festivals+%26+UNESCO+Sites+BPSC+Wallah" TargetMode="External"/><Relationship Id="rId2297" Type="http://schemas.openxmlformats.org/officeDocument/2006/relationships/hyperlink" Target="https://www.youtube.com/results?search_query=Physics+I%3A+Motion%2C+Force%2C+Work+%26+Gravitation+BPSC+Wallah" TargetMode="External"/><Relationship Id="rId2298" Type="http://schemas.openxmlformats.org/officeDocument/2006/relationships/hyperlink" Target="https://www.google.com/search?q=Universe%2C+Solar+System+%26+Earth+notes+pdf+Drishti+IAS+Vision+IAS+BPSC+Wallah" TargetMode="External"/><Relationship Id="rId2299" Type="http://schemas.openxmlformats.org/officeDocument/2006/relationships/hyperlink" Target="https://www.google.com/search?q=Universe%2C+Solar+System+%26+Earth+%28site%3Adrishtiias.com+OR+site%3Avisionias.in+OR+site%3Ancert.nic.in%29" TargetMode="External"/><Relationship Id="rId2300" Type="http://schemas.openxmlformats.org/officeDocument/2006/relationships/hyperlink" Target="https://www.youtube.com/results?search_query=Universe%2C+Solar+System+%26+Earth+Drishti+IAS+BPSC" TargetMode="External"/><Relationship Id="rId2301" Type="http://schemas.openxmlformats.org/officeDocument/2006/relationships/hyperlink" Target="https://www.youtube.com/results?search_query=Universe%2C+Solar+System+%26+Earth+BPSC+Wallah" TargetMode="External"/><Relationship Id="rId2302" Type="http://schemas.openxmlformats.org/officeDocument/2006/relationships/hyperlink" Target="https://www.youtube.com/results?search_query=Physics+I%3A+Motion%2C+Force%2C+Work+%26+Gravitation+BPSC+Wallah" TargetMode="External"/><Relationship Id="rId2303" Type="http://schemas.openxmlformats.org/officeDocument/2006/relationships/hyperlink" Target="https://www.google.com/search?q=Geomorphology%3A+Earth%27s+Interior%2C+Rocks+%26+Landforms+notes+pdf+Drishti+IAS+Vision+IAS+BPSC+Wallah" TargetMode="External"/><Relationship Id="rId2304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2305" Type="http://schemas.openxmlformats.org/officeDocument/2006/relationships/hyperlink" Target="https://www.youtube.com/results?search_query=Geomorphology%3A+Earth%27s+Interior%2C+Rocks+%26+Landforms+Drishti+IAS+BPSC" TargetMode="External"/><Relationship Id="rId2306" Type="http://schemas.openxmlformats.org/officeDocument/2006/relationships/hyperlink" Target="https://www.youtube.com/results?search_query=Geomorphology%3A+Earth%27s+Interior%2C+Rocks+%26+Landforms+BPSC+Wallah" TargetMode="External"/><Relationship Id="rId2307" Type="http://schemas.openxmlformats.org/officeDocument/2006/relationships/hyperlink" Target="https://www.youtube.com/results?search_query=Physics+I%3A+Motion%2C+Force%2C+Work+%26+Gravitation+BPSC+Wallah" TargetMode="External"/><Relationship Id="rId2308" Type="http://schemas.openxmlformats.org/officeDocument/2006/relationships/hyperlink" Target="https://www.google.com/search?q=BPSC+weekly+revision+notes+pdf+Drishti+IAS+Vision+IAS" TargetMode="External"/><Relationship Id="rId2309" Type="http://schemas.openxmlformats.org/officeDocument/2006/relationships/hyperlink" Target="https://www.google.com/search?q=weekly+current+affairs+revision+%28site%3Adrishtiias.com+OR+site%3Avisionias.in+OR+site%3Apib.gov.in%29" TargetMode="External"/><Relationship Id="rId2310" Type="http://schemas.openxmlformats.org/officeDocument/2006/relationships/hyperlink" Target="https://www.youtube.com/results?search_query=BPSC+prelims+mock+test+analysis+strategy+Drishti+IAS" TargetMode="External"/><Relationship Id="rId2311" Type="http://schemas.openxmlformats.org/officeDocument/2006/relationships/hyperlink" Target="https://www.youtube.com/results?search_query=BPSC+Wallah+BPSC+prelims+test+series+discussion" TargetMode="External"/><Relationship Id="rId2312" Type="http://schemas.openxmlformats.org/officeDocument/2006/relationships/hyperlink" Target="https://www.youtube.com/results?search_query=BPSC+Wallah+BPSC+revision+strategy" TargetMode="External"/><Relationship Id="rId2313" Type="http://schemas.openxmlformats.org/officeDocument/2006/relationships/hyperlink" Target="https://www.google.com/search?q=Geomorphology%3A+Earth%27s+Interior%2C+Rocks+%26+Landforms+notes+pdf+Drishti+IAS+Vision+IAS+BPSC+Wallah" TargetMode="External"/><Relationship Id="rId2314" Type="http://schemas.openxmlformats.org/officeDocument/2006/relationships/hyperlink" Target="https://www.google.com/search?q=Geomorphology%3A+Earth%27s+Interior%2C+Rocks+%26+Landforms+%28site%3Adrishtiias.com+OR+site%3Avisionias.in+OR+site%3Ancert.nic.in%29" TargetMode="External"/><Relationship Id="rId2315" Type="http://schemas.openxmlformats.org/officeDocument/2006/relationships/hyperlink" Target="https://www.youtube.com/results?search_query=Geomorphology%3A+Earth%27s+Interior%2C+Rocks+%26+Landforms+Drishti+IAS+BPSC" TargetMode="External"/><Relationship Id="rId2316" Type="http://schemas.openxmlformats.org/officeDocument/2006/relationships/hyperlink" Target="https://www.youtube.com/results?search_query=Geomorphology%3A+Earth%27s+Interior%2C+Rocks+%26+Landforms+BPSC+Wallah" TargetMode="External"/><Relationship Id="rId2317" Type="http://schemas.openxmlformats.org/officeDocument/2006/relationships/hyperlink" Target="https://www.youtube.com/results?search_query=Physics+II%3A+Heat%2C+Light%2C+Sound%2C+Electricity+%26+Modern+Physics+BPSC+Wallah" TargetMode="External"/><Relationship Id="rId2318" Type="http://schemas.openxmlformats.org/officeDocument/2006/relationships/hyperlink" Target="https://www.google.com/search?q=Climatology%3A+Atmosphere%2C+Winds+%26+Climate+notes+pdf+Drishti+IAS+Vision+IAS+BPSC+Wallah" TargetMode="External"/><Relationship Id="rId2319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2320" Type="http://schemas.openxmlformats.org/officeDocument/2006/relationships/hyperlink" Target="https://www.youtube.com/results?search_query=Climatology%3A+Atmosphere%2C+Winds+%26+Climate+Drishti+IAS+BPSC" TargetMode="External"/><Relationship Id="rId2321" Type="http://schemas.openxmlformats.org/officeDocument/2006/relationships/hyperlink" Target="https://www.youtube.com/results?search_query=Climatology%3A+Atmosphere%2C+Winds+%26+Climate+BPSC+Wallah" TargetMode="External"/><Relationship Id="rId2322" Type="http://schemas.openxmlformats.org/officeDocument/2006/relationships/hyperlink" Target="https://www.youtube.com/results?search_query=Physics+II%3A+Heat%2C+Light%2C+Sound%2C+Electricity+%26+Modern+Physics+BPSC+Wallah" TargetMode="External"/><Relationship Id="rId2323" Type="http://schemas.openxmlformats.org/officeDocument/2006/relationships/hyperlink" Target="https://www.google.com/search?q=Climatology%3A+Atmosphere%2C+Winds+%26+Climate+notes+pdf+Drishti+IAS+Vision+IAS+BPSC+Wallah" TargetMode="External"/><Relationship Id="rId2324" Type="http://schemas.openxmlformats.org/officeDocument/2006/relationships/hyperlink" Target="https://www.google.com/search?q=Climatology%3A+Atmosphere%2C+Winds+%26+Climate+%28site%3Adrishtiias.com+OR+site%3Avisionias.in+OR+site%3Ancert.nic.in%29" TargetMode="External"/><Relationship Id="rId2325" Type="http://schemas.openxmlformats.org/officeDocument/2006/relationships/hyperlink" Target="https://www.youtube.com/results?search_query=Climatology%3A+Atmosphere%2C+Winds+%26+Climate+Drishti+IAS+BPSC" TargetMode="External"/><Relationship Id="rId2326" Type="http://schemas.openxmlformats.org/officeDocument/2006/relationships/hyperlink" Target="https://www.youtube.com/results?search_query=Climatology%3A+Atmosphere%2C+Winds+%26+Climate+BPSC+Wallah" TargetMode="External"/><Relationship Id="rId2327" Type="http://schemas.openxmlformats.org/officeDocument/2006/relationships/hyperlink" Target="https://www.youtube.com/results?search_query=Physics+II%3A+Heat%2C+Light%2C+Sound%2C+Electricity+%26+Modern+Physics+BPSC+Wallah" TargetMode="External"/><Relationship Id="rId2328" Type="http://schemas.openxmlformats.org/officeDocument/2006/relationships/hyperlink" Target="https://www.google.com/search?q=Oceanography+notes+pdf+Drishti+IAS+Vision+IAS+BPSC+Wallah" TargetMode="External"/><Relationship Id="rId2329" Type="http://schemas.openxmlformats.org/officeDocument/2006/relationships/hyperlink" Target="https://www.google.com/search?q=Oceanography+%28site%3Adrishtiias.com+OR+site%3Avisionias.in+OR+site%3Ancert.nic.in%29" TargetMode="External"/><Relationship Id="rId2330" Type="http://schemas.openxmlformats.org/officeDocument/2006/relationships/hyperlink" Target="https://www.youtube.com/results?search_query=Oceanography+Drishti+IAS+BPSC" TargetMode="External"/><Relationship Id="rId2331" Type="http://schemas.openxmlformats.org/officeDocument/2006/relationships/hyperlink" Target="https://www.youtube.com/results?search_query=Oceanography+BPSC+Wallah" TargetMode="External"/><Relationship Id="rId2332" Type="http://schemas.openxmlformats.org/officeDocument/2006/relationships/hyperlink" Target="https://www.youtube.com/results?search_query=Physics+II%3A+Heat%2C+Light%2C+Sound%2C+Electricity+%26+Modern+Physics+BPSC+Wallah" TargetMode="External"/><Relationship Id="rId2333" Type="http://schemas.openxmlformats.org/officeDocument/2006/relationships/hyperlink" Target="https://www.google.com/search?q=Indian+Physiography+notes+pdf+Drishti+IAS+Vision+IAS+BPSC+Wallah" TargetMode="External"/><Relationship Id="rId2334" Type="http://schemas.openxmlformats.org/officeDocument/2006/relationships/hyperlink" Target="https://www.google.com/search?q=Indian+Physiography+%28site%3Adrishtiias.com+OR+site%3Avisionias.in+OR+site%3Ancert.nic.in%29" TargetMode="External"/><Relationship Id="rId2335" Type="http://schemas.openxmlformats.org/officeDocument/2006/relationships/hyperlink" Target="https://www.youtube.com/results?search_query=Indian+Physiography+Drishti+IAS+BPSC" TargetMode="External"/><Relationship Id="rId2336" Type="http://schemas.openxmlformats.org/officeDocument/2006/relationships/hyperlink" Target="https://www.youtube.com/results?search_query=Indian+Physiography+BPSC+Wallah" TargetMode="External"/><Relationship Id="rId2337" Type="http://schemas.openxmlformats.org/officeDocument/2006/relationships/hyperlink" Target="https://www.youtube.com/results?search_query=Chemistry+I%3A+Matter%2C+Atom%2C+Periodic+Table+%26+Acids-Bases+BPSC+Wallah" TargetMode="External"/><Relationship Id="rId2338" Type="http://schemas.openxmlformats.org/officeDocument/2006/relationships/hyperlink" Target="https://www.google.com/search?q=Indian+Physiography+notes+pdf+Drishti+IAS+Vision+IAS+BPSC+Wallah" TargetMode="External"/><Relationship Id="rId2339" Type="http://schemas.openxmlformats.org/officeDocument/2006/relationships/hyperlink" Target="https://www.google.com/search?q=Indian+Physiography+%28site%3Adrishtiias.com+OR+site%3Avisionias.in+OR+site%3Ancert.nic.in%29" TargetMode="External"/><Relationship Id="rId2340" Type="http://schemas.openxmlformats.org/officeDocument/2006/relationships/hyperlink" Target="https://www.youtube.com/results?search_query=Indian+Physiography+Drishti+IAS+BPSC" TargetMode="External"/><Relationship Id="rId2341" Type="http://schemas.openxmlformats.org/officeDocument/2006/relationships/hyperlink" Target="https://www.youtube.com/results?search_query=Indian+Physiography+BPSC+Wallah" TargetMode="External"/><Relationship Id="rId2342" Type="http://schemas.openxmlformats.org/officeDocument/2006/relationships/hyperlink" Target="https://www.youtube.com/results?search_query=Chemistry+I%3A+Matter%2C+Atom%2C+Periodic+Table+%26+Acids-Bases+BPSC+Wallah" TargetMode="External"/><Relationship Id="rId2343" Type="http://schemas.openxmlformats.org/officeDocument/2006/relationships/hyperlink" Target="https://www.google.com/search?q=BPSC+weekly+revision+notes+pdf+Drishti+IAS+Vision+IAS" TargetMode="External"/><Relationship Id="rId2344" Type="http://schemas.openxmlformats.org/officeDocument/2006/relationships/hyperlink" Target="https://www.google.com/search?q=weekly+current+affairs+revision+%28site%3Adrishtiias.com+OR+site%3Avisionias.in+OR+site%3Apib.gov.in%29" TargetMode="External"/><Relationship Id="rId2345" Type="http://schemas.openxmlformats.org/officeDocument/2006/relationships/hyperlink" Target="https://www.youtube.com/results?search_query=BPSC+prelims+mock+test+analysis+strategy+Drishti+IAS" TargetMode="External"/><Relationship Id="rId2346" Type="http://schemas.openxmlformats.org/officeDocument/2006/relationships/hyperlink" Target="https://www.youtube.com/results?search_query=BPSC+Wallah+BPSC+prelims+test+series+discussion" TargetMode="External"/><Relationship Id="rId2347" Type="http://schemas.openxmlformats.org/officeDocument/2006/relationships/hyperlink" Target="https://www.youtube.com/results?search_query=BPSC+Wallah+BPSC+revision+strategy" TargetMode="External"/><Relationship Id="rId2348" Type="http://schemas.openxmlformats.org/officeDocument/2006/relationships/hyperlink" Target="https://www.google.com/search?q=Indian+Drainage+System+notes+pdf+Drishti+IAS+Vision+IAS+BPSC+Wallah" TargetMode="External"/><Relationship Id="rId2349" Type="http://schemas.openxmlformats.org/officeDocument/2006/relationships/hyperlink" Target="https://www.google.com/search?q=Indian+Drainage+System+%28site%3Adrishtiias.com+OR+site%3Avisionias.in+OR+site%3Ancert.nic.in%29" TargetMode="External"/><Relationship Id="rId2350" Type="http://schemas.openxmlformats.org/officeDocument/2006/relationships/hyperlink" Target="https://www.youtube.com/results?search_query=Indian+Drainage+System+Drishti+IAS+BPSC" TargetMode="External"/><Relationship Id="rId2351" Type="http://schemas.openxmlformats.org/officeDocument/2006/relationships/hyperlink" Target="https://www.youtube.com/results?search_query=Indian+Drainage+System+BPSC+Wallah" TargetMode="External"/><Relationship Id="rId2352" Type="http://schemas.openxmlformats.org/officeDocument/2006/relationships/hyperlink" Target="https://www.youtube.com/results?search_query=Chemistry+I%3A+Matter%2C+Atom%2C+Periodic+Table+%26+Acids-Bases+BPSC+Wallah" TargetMode="External"/><Relationship Id="rId2353" Type="http://schemas.openxmlformats.org/officeDocument/2006/relationships/hyperlink" Target="https://www.google.com/search?q=Indian+Drainage+System+notes+pdf+Drishti+IAS+Vision+IAS+BPSC+Wallah" TargetMode="External"/><Relationship Id="rId2354" Type="http://schemas.openxmlformats.org/officeDocument/2006/relationships/hyperlink" Target="https://www.google.com/search?q=Indian+Drainage+System+%28site%3Adrishtiias.com+OR+site%3Avisionias.in+OR+site%3Ancert.nic.in%29" TargetMode="External"/><Relationship Id="rId2355" Type="http://schemas.openxmlformats.org/officeDocument/2006/relationships/hyperlink" Target="https://www.youtube.com/results?search_query=Indian+Drainage+System+Drishti+IAS+BPSC" TargetMode="External"/><Relationship Id="rId2356" Type="http://schemas.openxmlformats.org/officeDocument/2006/relationships/hyperlink" Target="https://www.youtube.com/results?search_query=Indian+Drainage+System+BPSC+Wallah" TargetMode="External"/><Relationship Id="rId2357" Type="http://schemas.openxmlformats.org/officeDocument/2006/relationships/hyperlink" Target="https://www.youtube.com/results?search_query=Chemistry+II%3A+Metals%2C+Carbon+Compounds+%26+Everyday+Chemistry+BPSC+Wallah" TargetMode="External"/><Relationship Id="rId2358" Type="http://schemas.openxmlformats.org/officeDocument/2006/relationships/hyperlink" Target="https://www.google.com/search?q=Indian+Climate%2C+Monsoon%2C+Soils+%26+Vegetation+notes+pdf+Drishti+IAS+Vision+IAS+BPSC+Wallah" TargetMode="External"/><Relationship Id="rId2359" Type="http://schemas.openxmlformats.org/officeDocument/2006/relationships/hyperlink" Target="https://www.google.com/search?q=Indian+Climate%2C+Monsoon%2C+Soils+%26+Vegetation+%28site%3Adrishtiias.com+OR+site%3Avisionias.in+OR+site%3Ancert.nic.in%29" TargetMode="External"/><Relationship Id="rId2360" Type="http://schemas.openxmlformats.org/officeDocument/2006/relationships/hyperlink" Target="https://www.youtube.com/results?search_query=Indian+Climate%2C+Monsoon%2C+Soils+%26+Vegetation+Drishti+IAS+BPSC" TargetMode="External"/><Relationship Id="rId2361" Type="http://schemas.openxmlformats.org/officeDocument/2006/relationships/hyperlink" Target="https://www.youtube.com/results?search_query=Indian+Climate%2C+Monsoon%2C+Soils+%26+Vegetation+BPSC+Wallah" TargetMode="External"/><Relationship Id="rId2362" Type="http://schemas.openxmlformats.org/officeDocument/2006/relationships/hyperlink" Target="https://www.youtube.com/results?search_query=Chemistry+II%3A+Metals%2C+Carbon+Compounds+%26+Everyday+Chemistry+BPSC+Wallah" TargetMode="External"/><Relationship Id="rId2363" Type="http://schemas.openxmlformats.org/officeDocument/2006/relationships/hyperlink" Target="https://www.google.com/search?q=Indian+Agriculture+notes+pdf+Drishti+IAS+Vision+IAS+BPSC+Wallah" TargetMode="External"/><Relationship Id="rId2364" Type="http://schemas.openxmlformats.org/officeDocument/2006/relationships/hyperlink" Target="https://www.google.com/search?q=Indian+Agriculture+%28site%3Adrishtiias.com+OR+site%3Avisionias.in+OR+site%3Ancert.nic.in%29" TargetMode="External"/><Relationship Id="rId2365" Type="http://schemas.openxmlformats.org/officeDocument/2006/relationships/hyperlink" Target="https://www.youtube.com/results?search_query=Indian+Agriculture+Drishti+IAS+BPSC" TargetMode="External"/><Relationship Id="rId2366" Type="http://schemas.openxmlformats.org/officeDocument/2006/relationships/hyperlink" Target="https://www.youtube.com/results?search_query=Indian+Agriculture+BPSC+Wallah" TargetMode="External"/><Relationship Id="rId2367" Type="http://schemas.openxmlformats.org/officeDocument/2006/relationships/hyperlink" Target="https://www.youtube.com/results?search_query=Biology+I%3A+Cell%2C+Plant+%26+Animal+Kingdom+BPSC+Wallah" TargetMode="External"/><Relationship Id="rId2368" Type="http://schemas.openxmlformats.org/officeDocument/2006/relationships/hyperlink" Target="https://www.google.com/search?q=Indian+Agriculture+notes+pdf+Drishti+IAS+Vision+IAS+BPSC+Wallah" TargetMode="External"/><Relationship Id="rId2369" Type="http://schemas.openxmlformats.org/officeDocument/2006/relationships/hyperlink" Target="https://www.google.com/search?q=Indian+Agriculture+%28site%3Adrishtiias.com+OR+site%3Avisionias.in+OR+site%3Ancert.nic.in%29" TargetMode="External"/><Relationship Id="rId2370" Type="http://schemas.openxmlformats.org/officeDocument/2006/relationships/hyperlink" Target="https://www.youtube.com/results?search_query=Indian+Agriculture+Drishti+IAS+BPSC" TargetMode="External"/><Relationship Id="rId2371" Type="http://schemas.openxmlformats.org/officeDocument/2006/relationships/hyperlink" Target="https://www.youtube.com/results?search_query=Indian+Agriculture+BPSC+Wallah" TargetMode="External"/><Relationship Id="rId2372" Type="http://schemas.openxmlformats.org/officeDocument/2006/relationships/hyperlink" Target="https://www.youtube.com/results?search_query=Biology+I%3A+Cell%2C+Plant+%26+Animal+Kingdom+BPSC+Wallah" TargetMode="External"/><Relationship Id="rId2373" Type="http://schemas.openxmlformats.org/officeDocument/2006/relationships/hyperlink" Target="https://www.google.com/search?q=Minerals%2C+Energy+%26+Industries+notes+pdf+Drishti+IAS+Vision+IAS+BPSC+Wallah" TargetMode="External"/><Relationship Id="rId2374" Type="http://schemas.openxmlformats.org/officeDocument/2006/relationships/hyperlink" Target="https://www.google.com/search?q=Minerals%2C+Energy+%26+Industries+%28site%3Adrishtiias.com+OR+site%3Avisionias.in+OR+site%3Ancert.nic.in%29" TargetMode="External"/><Relationship Id="rId2375" Type="http://schemas.openxmlformats.org/officeDocument/2006/relationships/hyperlink" Target="https://www.youtube.com/results?search_query=Minerals%2C+Energy+%26+Industries+Drishti+IAS+BPSC" TargetMode="External"/><Relationship Id="rId2376" Type="http://schemas.openxmlformats.org/officeDocument/2006/relationships/hyperlink" Target="https://www.youtube.com/results?search_query=Minerals%2C+Energy+%26+Industries+BPSC+Wallah" TargetMode="External"/><Relationship Id="rId2377" Type="http://schemas.openxmlformats.org/officeDocument/2006/relationships/hyperlink" Target="https://www.youtube.com/results?search_query=Biology+I%3A+Cell%2C+Plant+%26+Animal+Kingdom+BPSC+Wallah" TargetMode="External"/><Relationship Id="rId2378" Type="http://schemas.openxmlformats.org/officeDocument/2006/relationships/hyperlink" Target="https://www.google.com/search?q=BPSC+weekly+revision+notes+pdf+Drishti+IAS+Vision+IAS" TargetMode="External"/><Relationship Id="rId2379" Type="http://schemas.openxmlformats.org/officeDocument/2006/relationships/hyperlink" Target="https://www.google.com/search?q=weekly+current+affairs+revision+%28site%3Adrishtiias.com+OR+site%3Avisionias.in+OR+site%3Apib.gov.in%29" TargetMode="External"/><Relationship Id="rId2380" Type="http://schemas.openxmlformats.org/officeDocument/2006/relationships/hyperlink" Target="https://www.youtube.com/results?search_query=BPSC+prelims+mock+test+analysis+strategy+Drishti+IAS" TargetMode="External"/><Relationship Id="rId2381" Type="http://schemas.openxmlformats.org/officeDocument/2006/relationships/hyperlink" Target="https://www.youtube.com/results?search_query=BPSC+Wallah+BPSC+prelims+test+series+discussion" TargetMode="External"/><Relationship Id="rId2382" Type="http://schemas.openxmlformats.org/officeDocument/2006/relationships/hyperlink" Target="https://www.youtube.com/results?search_query=BPSC+Wallah+BPSC+revision+strategy" TargetMode="External"/><Relationship Id="rId2383" Type="http://schemas.openxmlformats.org/officeDocument/2006/relationships/hyperlink" Target="https://www.google.com/search?q=Transport%2C+Population%2C+Census+%26+Urbanisation+notes+pdf+Drishti+IAS+Vision+IAS+BPSC+Wallah" TargetMode="External"/><Relationship Id="rId2384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2385" Type="http://schemas.openxmlformats.org/officeDocument/2006/relationships/hyperlink" Target="https://www.youtube.com/results?search_query=Transport%2C+Population%2C+Census+%26+Urbanisation+Drishti+IAS+BPSC" TargetMode="External"/><Relationship Id="rId2386" Type="http://schemas.openxmlformats.org/officeDocument/2006/relationships/hyperlink" Target="https://www.youtube.com/results?search_query=Transport%2C+Population%2C+Census+%26+Urbanisation+BPSC+Wallah" TargetMode="External"/><Relationship Id="rId2387" Type="http://schemas.openxmlformats.org/officeDocument/2006/relationships/hyperlink" Target="https://www.youtube.com/results?search_query=Biology+II%3A+Human+Body%2C+Nutrition+%26+Diseases+BPSC+Wallah" TargetMode="External"/><Relationship Id="rId2388" Type="http://schemas.openxmlformats.org/officeDocument/2006/relationships/hyperlink" Target="https://www.google.com/search?q=Transport%2C+Population%2C+Census+%26+Urbanisation+notes+pdf+Drishti+IAS+Vision+IAS+BPSC+Wallah" TargetMode="External"/><Relationship Id="rId2389" Type="http://schemas.openxmlformats.org/officeDocument/2006/relationships/hyperlink" Target="https://www.google.com/search?q=Transport%2C+Population%2C+Census+%26+Urbanisation+%28site%3Adrishtiias.com+OR+site%3Avisionias.in+OR+site%3Ancert.nic.in%29" TargetMode="External"/><Relationship Id="rId2390" Type="http://schemas.openxmlformats.org/officeDocument/2006/relationships/hyperlink" Target="https://www.youtube.com/results?search_query=Transport%2C+Population%2C+Census+%26+Urbanisation+Drishti+IAS+BPSC" TargetMode="External"/><Relationship Id="rId2391" Type="http://schemas.openxmlformats.org/officeDocument/2006/relationships/hyperlink" Target="https://www.youtube.com/results?search_query=Transport%2C+Population%2C+Census+%26+Urbanisation+BPSC+Wallah" TargetMode="External"/><Relationship Id="rId2392" Type="http://schemas.openxmlformats.org/officeDocument/2006/relationships/hyperlink" Target="https://www.youtube.com/results?search_query=Biology+II%3A+Human+Body%2C+Nutrition+%26+Diseases+BPSC+Wallah" TargetMode="External"/><Relationship Id="rId2393" Type="http://schemas.openxmlformats.org/officeDocument/2006/relationships/hyperlink" Target="https://www.google.com/search?q=World+Geography+notes+pdf+Drishti+IAS+Vision+IAS+BPSC+Wallah" TargetMode="External"/><Relationship Id="rId2394" Type="http://schemas.openxmlformats.org/officeDocument/2006/relationships/hyperlink" Target="https://www.google.com/search?q=World+Geography+%28site%3Adrishtiias.com+OR+site%3Avisionias.in+OR+site%3Ancert.nic.in%29" TargetMode="External"/><Relationship Id="rId2395" Type="http://schemas.openxmlformats.org/officeDocument/2006/relationships/hyperlink" Target="https://www.youtube.com/results?search_query=World+Geography+Drishti+IAS+BPSC" TargetMode="External"/><Relationship Id="rId2396" Type="http://schemas.openxmlformats.org/officeDocument/2006/relationships/hyperlink" Target="https://www.youtube.com/results?search_query=World+Geography+BPSC+Wallah" TargetMode="External"/><Relationship Id="rId2397" Type="http://schemas.openxmlformats.org/officeDocument/2006/relationships/hyperlink" Target="https://www.youtube.com/results?search_query=Biology+II%3A+Human+Body%2C+Nutrition+%26+Diseases+BPSC+Wallah" TargetMode="External"/><Relationship Id="rId2398" Type="http://schemas.openxmlformats.org/officeDocument/2006/relationships/hyperlink" Target="https://www.google.com/search?q=World+Geography+notes+pdf+Drishti+IAS+Vision+IAS+BPSC+Wallah" TargetMode="External"/><Relationship Id="rId2399" Type="http://schemas.openxmlformats.org/officeDocument/2006/relationships/hyperlink" Target="https://www.google.com/search?q=World+Geography+%28site%3Adrishtiias.com+OR+site%3Avisionias.in+OR+site%3Ancert.nic.in%29" TargetMode="External"/><Relationship Id="rId2400" Type="http://schemas.openxmlformats.org/officeDocument/2006/relationships/hyperlink" Target="https://www.youtube.com/results?search_query=World+Geography+Drishti+IAS+BPSC" TargetMode="External"/><Relationship Id="rId2401" Type="http://schemas.openxmlformats.org/officeDocument/2006/relationships/hyperlink" Target="https://www.youtube.com/results?search_query=World+Geography+BPSC+Wallah" TargetMode="External"/><Relationship Id="rId2402" Type="http://schemas.openxmlformats.org/officeDocument/2006/relationships/hyperlink" Target="https://www.youtube.com/results?search_query=Biology+II%3A+Human+Body%2C+Nutrition+%26+Diseases+BPSC+Wallah" TargetMode="External"/><Relationship Id="rId2403" Type="http://schemas.openxmlformats.org/officeDocument/2006/relationships/hyperlink" Target="https://www.google.com/search?q=Constitution+Making%2C+Preamble+%26+Features+notes+pdf+Drishti+IAS+Vision+IAS+BPSC+Wallah" TargetMode="External"/><Relationship Id="rId2404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2405" Type="http://schemas.openxmlformats.org/officeDocument/2006/relationships/hyperlink" Target="https://www.youtube.com/results?search_query=Constitution+Making%2C+Preamble+%26+Features+Drishti+IAS+BPSC" TargetMode="External"/><Relationship Id="rId2406" Type="http://schemas.openxmlformats.org/officeDocument/2006/relationships/hyperlink" Target="https://www.youtube.com/results?search_query=Constitution+Making%2C+Preamble+%26+Features+BPSC+Wallah" TargetMode="External"/><Relationship Id="rId2407" Type="http://schemas.openxmlformats.org/officeDocument/2006/relationships/hyperlink" Target="https://www.youtube.com/results?search_query=Science+%26+Technology%3A+Space%2C+Defence%2C+IT+%26+Emerging+Tech+BPSC+Wallah" TargetMode="External"/><Relationship Id="rId2408" Type="http://schemas.openxmlformats.org/officeDocument/2006/relationships/hyperlink" Target="https://www.google.com/search?q=Constitution+Making%2C+Preamble+%26+Features+notes+pdf+Drishti+IAS+Vision+IAS+BPSC+Wallah" TargetMode="External"/><Relationship Id="rId2409" Type="http://schemas.openxmlformats.org/officeDocument/2006/relationships/hyperlink" Target="https://www.google.com/search?q=Constitution+Making%2C+Preamble+%26+Features+%28site%3Adrishtiias.com+OR+site%3Avisionias.in+OR+site%3Aprsindia.org%29" TargetMode="External"/><Relationship Id="rId2410" Type="http://schemas.openxmlformats.org/officeDocument/2006/relationships/hyperlink" Target="https://www.youtube.com/results?search_query=Constitution+Making%2C+Preamble+%26+Features+Drishti+IAS+BPSC" TargetMode="External"/><Relationship Id="rId2411" Type="http://schemas.openxmlformats.org/officeDocument/2006/relationships/hyperlink" Target="https://www.youtube.com/results?search_query=Constitution+Making%2C+Preamble+%26+Features+BPSC+Wallah" TargetMode="External"/><Relationship Id="rId2412" Type="http://schemas.openxmlformats.org/officeDocument/2006/relationships/hyperlink" Target="https://www.youtube.com/results?search_query=Science+%26+Technology%3A+Space%2C+Defence%2C+IT+%26+Emerging+Tech+BPSC+Wallah" TargetMode="External"/><Relationship Id="rId2413" Type="http://schemas.openxmlformats.org/officeDocument/2006/relationships/hyperlink" Target="https://www.google.com/search?q=BPSC+weekly+revision+notes+pdf+Drishti+IAS+Vision+IAS" TargetMode="External"/><Relationship Id="rId2414" Type="http://schemas.openxmlformats.org/officeDocument/2006/relationships/hyperlink" Target="https://www.google.com/search?q=weekly+current+affairs+revision+%28site%3Adrishtiias.com+OR+site%3Avisionias.in+OR+site%3Apib.gov.in%29" TargetMode="External"/><Relationship Id="rId2415" Type="http://schemas.openxmlformats.org/officeDocument/2006/relationships/hyperlink" Target="https://www.youtube.com/results?search_query=BPSC+prelims+mock+test+analysis+strategy+Drishti+IAS" TargetMode="External"/><Relationship Id="rId2416" Type="http://schemas.openxmlformats.org/officeDocument/2006/relationships/hyperlink" Target="https://www.youtube.com/results?search_query=BPSC+Wallah+BPSC+prelims+test+series+discussion" TargetMode="External"/><Relationship Id="rId2417" Type="http://schemas.openxmlformats.org/officeDocument/2006/relationships/hyperlink" Target="https://www.youtube.com/results?search_query=BPSC+Wallah+BPSC+revision+strategy" TargetMode="External"/><Relationship Id="rId2418" Type="http://schemas.openxmlformats.org/officeDocument/2006/relationships/hyperlink" Target="https://www.google.com/search?q=Union%2C+Citizenship+%26+Fundamental+Rights+notes+pdf+Drishti+IAS+Vision+IAS+BPSC+Wallah" TargetMode="External"/><Relationship Id="rId2419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2420" Type="http://schemas.openxmlformats.org/officeDocument/2006/relationships/hyperlink" Target="https://www.youtube.com/results?search_query=Union%2C+Citizenship+%26+Fundamental+Rights+Drishti+IAS+BPSC" TargetMode="External"/><Relationship Id="rId2421" Type="http://schemas.openxmlformats.org/officeDocument/2006/relationships/hyperlink" Target="https://www.youtube.com/results?search_query=Union%2C+Citizenship+%26+Fundamental+Rights+BPSC+Wallah" TargetMode="External"/><Relationship Id="rId2422" Type="http://schemas.openxmlformats.org/officeDocument/2006/relationships/hyperlink" Target="https://www.youtube.com/results?search_query=Science+%26+Technology%3A+Space%2C+Defence%2C+IT+%26+Emerging+Tech+BPSC+Wallah" TargetMode="External"/><Relationship Id="rId2423" Type="http://schemas.openxmlformats.org/officeDocument/2006/relationships/hyperlink" Target="https://www.google.com/search?q=Union%2C+Citizenship+%26+Fundamental+Rights+notes+pdf+Drishti+IAS+Vision+IAS+BPSC+Wallah" TargetMode="External"/><Relationship Id="rId2424" Type="http://schemas.openxmlformats.org/officeDocument/2006/relationships/hyperlink" Target="https://www.google.com/search?q=Union%2C+Citizenship+%26+Fundamental+Rights+%28site%3Adrishtiias.com+OR+site%3Avisionias.in+OR+site%3Aprsindia.org%29" TargetMode="External"/><Relationship Id="rId2425" Type="http://schemas.openxmlformats.org/officeDocument/2006/relationships/hyperlink" Target="https://www.youtube.com/results?search_query=Union%2C+Citizenship+%26+Fundamental+Rights+Drishti+IAS+BPSC" TargetMode="External"/><Relationship Id="rId2426" Type="http://schemas.openxmlformats.org/officeDocument/2006/relationships/hyperlink" Target="https://www.youtube.com/results?search_query=Union%2C+Citizenship+%26+Fundamental+Rights+BPSC+Wallah" TargetMode="External"/><Relationship Id="rId2427" Type="http://schemas.openxmlformats.org/officeDocument/2006/relationships/hyperlink" Target="https://www.youtube.com/results?search_query=Science+%26+Technology%3A+Space%2C+Defence%2C+IT+%26+Emerging+Tech+BPSC+Wallah" TargetMode="External"/><Relationship Id="rId2428" Type="http://schemas.openxmlformats.org/officeDocument/2006/relationships/hyperlink" Target="https://www.google.com/search?q=DPSP%2C+Fundamental+Duties+%26+Constitutional+Amendments+notes+pdf+Drishti+IAS+Vision+IAS+BPSC+Wallah" TargetMode="External"/><Relationship Id="rId2429" Type="http://schemas.openxmlformats.org/officeDocument/2006/relationships/hyperlink" Target="https://www.google.com/search?q=DPSP%2C+Fundamental+Duties+%26+Constitutional+Amendments+%28site%3Adrishtiias.com+OR+site%3Avisionias.in+OR+site%3Aprsindia.org%29" TargetMode="External"/><Relationship Id="rId2430" Type="http://schemas.openxmlformats.org/officeDocument/2006/relationships/hyperlink" Target="https://www.youtube.com/results?search_query=DPSP%2C+Fundamental+Duties+%26+Constitutional+Amendments+Drishti+IAS+BPSC" TargetMode="External"/><Relationship Id="rId2431" Type="http://schemas.openxmlformats.org/officeDocument/2006/relationships/hyperlink" Target="https://www.youtube.com/results?search_query=DPSP%2C+Fundamental+Duties+%26+Constitutional+Amendments+BPSC+Wallah" TargetMode="External"/><Relationship Id="rId2432" Type="http://schemas.openxmlformats.org/officeDocument/2006/relationships/hyperlink" Target="https://www.youtube.com/results?search_query=Maths+I%3A+Number+System%2C+HCF-LCM+%26+Simplification+BPSC+Wallah" TargetMode="External"/><Relationship Id="rId2433" Type="http://schemas.openxmlformats.org/officeDocument/2006/relationships/hyperlink" Target="https://www.google.com/search?q=Union+Executive+notes+pdf+Drishti+IAS+Vision+IAS+BPSC+Wallah" TargetMode="External"/><Relationship Id="rId2434" Type="http://schemas.openxmlformats.org/officeDocument/2006/relationships/hyperlink" Target="https://www.google.com/search?q=Union+Executive+%28site%3Adrishtiias.com+OR+site%3Avisionias.in+OR+site%3Aprsindia.org%29" TargetMode="External"/><Relationship Id="rId2435" Type="http://schemas.openxmlformats.org/officeDocument/2006/relationships/hyperlink" Target="https://www.youtube.com/results?search_query=Union+Executive+Drishti+IAS+BPSC" TargetMode="External"/><Relationship Id="rId2436" Type="http://schemas.openxmlformats.org/officeDocument/2006/relationships/hyperlink" Target="https://www.youtube.com/results?search_query=Union+Executive+BPSC+Wallah" TargetMode="External"/><Relationship Id="rId2437" Type="http://schemas.openxmlformats.org/officeDocument/2006/relationships/hyperlink" Target="https://www.youtube.com/results?search_query=Maths+I%3A+Number+System%2C+HCF-LCM+%26+Simplification+BPSC+Wallah" TargetMode="External"/><Relationship Id="rId2438" Type="http://schemas.openxmlformats.org/officeDocument/2006/relationships/hyperlink" Target="https://www.google.com/search?q=Union+Executive+notes+pdf+Drishti+IAS+Vision+IAS+BPSC+Wallah" TargetMode="External"/><Relationship Id="rId2439" Type="http://schemas.openxmlformats.org/officeDocument/2006/relationships/hyperlink" Target="https://www.google.com/search?q=Union+Executive+%28site%3Adrishtiias.com+OR+site%3Avisionias.in+OR+site%3Aprsindia.org%29" TargetMode="External"/><Relationship Id="rId2440" Type="http://schemas.openxmlformats.org/officeDocument/2006/relationships/hyperlink" Target="https://www.youtube.com/results?search_query=Union+Executive+Drishti+IAS+BPSC" TargetMode="External"/><Relationship Id="rId2441" Type="http://schemas.openxmlformats.org/officeDocument/2006/relationships/hyperlink" Target="https://www.youtube.com/results?search_query=Union+Executive+BPSC+Wallah" TargetMode="External"/><Relationship Id="rId2442" Type="http://schemas.openxmlformats.org/officeDocument/2006/relationships/hyperlink" Target="https://www.youtube.com/results?search_query=Maths+I%3A+Number+System%2C+HCF-LCM+%26+Simplification+BPSC+Wallah" TargetMode="External"/><Relationship Id="rId2443" Type="http://schemas.openxmlformats.org/officeDocument/2006/relationships/hyperlink" Target="https://www.google.com/search?q=Parliament+notes+pdf+Drishti+IAS+Vision+IAS+BPSC+Wallah" TargetMode="External"/><Relationship Id="rId2444" Type="http://schemas.openxmlformats.org/officeDocument/2006/relationships/hyperlink" Target="https://www.google.com/search?q=Parliament+%28site%3Adrishtiias.com+OR+site%3Avisionias.in+OR+site%3Aprsindia.org%29" TargetMode="External"/><Relationship Id="rId2445" Type="http://schemas.openxmlformats.org/officeDocument/2006/relationships/hyperlink" Target="https://www.youtube.com/results?search_query=Parliament+Drishti+IAS+BPSC" TargetMode="External"/><Relationship Id="rId2446" Type="http://schemas.openxmlformats.org/officeDocument/2006/relationships/hyperlink" Target="https://www.youtube.com/results?search_query=Parliament+BPSC+Wallah" TargetMode="External"/><Relationship Id="rId2447" Type="http://schemas.openxmlformats.org/officeDocument/2006/relationships/hyperlink" Target="https://www.youtube.com/results?search_query=Maths+II%3A+Percentage%2C+Profit-Loss%2C+Ratio+%26+Average+BPSC+Wallah" TargetMode="External"/><Relationship Id="rId2448" Type="http://schemas.openxmlformats.org/officeDocument/2006/relationships/hyperlink" Target="https://www.google.com/search?q=BPSC+weekly+revision+notes+pdf+Drishti+IAS+Vision+IAS" TargetMode="External"/><Relationship Id="rId2449" Type="http://schemas.openxmlformats.org/officeDocument/2006/relationships/hyperlink" Target="https://www.google.com/search?q=weekly+current+affairs+revision+%28site%3Adrishtiias.com+OR+site%3Avisionias.in+OR+site%3Apib.gov.in%29" TargetMode="External"/><Relationship Id="rId2450" Type="http://schemas.openxmlformats.org/officeDocument/2006/relationships/hyperlink" Target="https://www.youtube.com/results?search_query=BPSC+prelims+mock+test+analysis+strategy+Drishti+IAS" TargetMode="External"/><Relationship Id="rId2451" Type="http://schemas.openxmlformats.org/officeDocument/2006/relationships/hyperlink" Target="https://www.youtube.com/results?search_query=BPSC+Wallah+BPSC+prelims+test+series+discussion" TargetMode="External"/><Relationship Id="rId2452" Type="http://schemas.openxmlformats.org/officeDocument/2006/relationships/hyperlink" Target="https://www.youtube.com/results?search_query=BPSC+Wallah+BPSC+revision+strategy" TargetMode="External"/><Relationship Id="rId2453" Type="http://schemas.openxmlformats.org/officeDocument/2006/relationships/hyperlink" Target="https://www.google.com/search?q=Parliament+notes+pdf+Drishti+IAS+Vision+IAS+BPSC+Wallah" TargetMode="External"/><Relationship Id="rId2454" Type="http://schemas.openxmlformats.org/officeDocument/2006/relationships/hyperlink" Target="https://www.google.com/search?q=Parliament+%28site%3Adrishtiias.com+OR+site%3Avisionias.in+OR+site%3Aprsindia.org%29" TargetMode="External"/><Relationship Id="rId2455" Type="http://schemas.openxmlformats.org/officeDocument/2006/relationships/hyperlink" Target="https://www.youtube.com/results?search_query=Parliament+Drishti+IAS+BPSC" TargetMode="External"/><Relationship Id="rId2456" Type="http://schemas.openxmlformats.org/officeDocument/2006/relationships/hyperlink" Target="https://www.youtube.com/results?search_query=Parliament+BPSC+Wallah" TargetMode="External"/><Relationship Id="rId2457" Type="http://schemas.openxmlformats.org/officeDocument/2006/relationships/hyperlink" Target="https://www.youtube.com/results?search_query=Maths+II%3A+Percentage%2C+Profit-Loss%2C+Ratio+%26+Average+BPSC+Wallah" TargetMode="External"/><Relationship Id="rId2458" Type="http://schemas.openxmlformats.org/officeDocument/2006/relationships/hyperlink" Target="https://www.google.com/search?q=Judiciary+notes+pdf+Drishti+IAS+Vision+IAS+BPSC+Wallah" TargetMode="External"/><Relationship Id="rId2459" Type="http://schemas.openxmlformats.org/officeDocument/2006/relationships/hyperlink" Target="https://www.google.com/search?q=Judiciary+%28site%3Adrishtiias.com+OR+site%3Avisionias.in+OR+site%3Aprsindia.org%29" TargetMode="External"/><Relationship Id="rId2460" Type="http://schemas.openxmlformats.org/officeDocument/2006/relationships/hyperlink" Target="https://www.youtube.com/results?search_query=Judiciary+Drishti+IAS+BPSC" TargetMode="External"/><Relationship Id="rId2461" Type="http://schemas.openxmlformats.org/officeDocument/2006/relationships/hyperlink" Target="https://www.youtube.com/results?search_query=Judiciary+BPSC+Wallah" TargetMode="External"/><Relationship Id="rId2462" Type="http://schemas.openxmlformats.org/officeDocument/2006/relationships/hyperlink" Target="https://www.youtube.com/results?search_query=Maths+II%3A+Percentage%2C+Profit-Loss%2C+Ratio+%26+Average+BPSC+Wallah" TargetMode="External"/><Relationship Id="rId2463" Type="http://schemas.openxmlformats.org/officeDocument/2006/relationships/hyperlink" Target="https://www.google.com/search?q=Judiciary+notes+pdf+Drishti+IAS+Vision+IAS+BPSC+Wallah" TargetMode="External"/><Relationship Id="rId2464" Type="http://schemas.openxmlformats.org/officeDocument/2006/relationships/hyperlink" Target="https://www.google.com/search?q=Judiciary+%28site%3Adrishtiias.com+OR+site%3Avisionias.in+OR+site%3Aprsindia.org%29" TargetMode="External"/><Relationship Id="rId2465" Type="http://schemas.openxmlformats.org/officeDocument/2006/relationships/hyperlink" Target="https://www.youtube.com/results?search_query=Judiciary+Drishti+IAS+BPSC" TargetMode="External"/><Relationship Id="rId2466" Type="http://schemas.openxmlformats.org/officeDocument/2006/relationships/hyperlink" Target="https://www.youtube.com/results?search_query=Judiciary+BPSC+Wallah" TargetMode="External"/><Relationship Id="rId2467" Type="http://schemas.openxmlformats.org/officeDocument/2006/relationships/hyperlink" Target="https://www.youtube.com/results?search_query=Maths+II%3A+Percentage%2C+Profit-Loss%2C+Ratio+%26+Average+BPSC+Wallah" TargetMode="External"/><Relationship Id="rId2468" Type="http://schemas.openxmlformats.org/officeDocument/2006/relationships/hyperlink" Target="https://www.google.com/search?q=Federalism%3A+Centre&#8211;State+Relations+%26+Emergency+notes+pdf+Drishti+IAS+Vision+IAS+BPSC+Wallah" TargetMode="External"/><Relationship Id="rId2469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2470" Type="http://schemas.openxmlformats.org/officeDocument/2006/relationships/hyperlink" Target="https://www.youtube.com/results?search_query=Federalism%3A+Centre&#8211;State+Relations+%26+Emergency+Drishti+IAS+BPSC" TargetMode="External"/><Relationship Id="rId2471" Type="http://schemas.openxmlformats.org/officeDocument/2006/relationships/hyperlink" Target="https://www.youtube.com/results?search_query=Federalism%3A+Centre&#8211;State+Relations+%26+Emergency+BPSC+Wallah" TargetMode="External"/><Relationship Id="rId2472" Type="http://schemas.openxmlformats.org/officeDocument/2006/relationships/hyperlink" Target="https://www.youtube.com/results?search_query=Maths+III%3A+Time-Work%2C+Time-Speed-Distance+%26+Interest+BPSC+Wallah" TargetMode="External"/><Relationship Id="rId2473" Type="http://schemas.openxmlformats.org/officeDocument/2006/relationships/hyperlink" Target="https://www.google.com/search?q=Federalism%3A+Centre&#8211;State+Relations+%26+Emergency+notes+pdf+Drishti+IAS+Vision+IAS+BPSC+Wallah" TargetMode="External"/><Relationship Id="rId2474" Type="http://schemas.openxmlformats.org/officeDocument/2006/relationships/hyperlink" Target="https://www.google.com/search?q=Federalism%3A+Centre&#8211;State+Relations+%26+Emergency+%28site%3Adrishtiias.com+OR+site%3Avisionias.in+OR+site%3Aprsindia.org%29" TargetMode="External"/><Relationship Id="rId2475" Type="http://schemas.openxmlformats.org/officeDocument/2006/relationships/hyperlink" Target="https://www.youtube.com/results?search_query=Federalism%3A+Centre&#8211;State+Relations+%26+Emergency+Drishti+IAS+BPSC" TargetMode="External"/><Relationship Id="rId2476" Type="http://schemas.openxmlformats.org/officeDocument/2006/relationships/hyperlink" Target="https://www.youtube.com/results?search_query=Federalism%3A+Centre&#8211;State+Relations+%26+Emergency+BPSC+Wallah" TargetMode="External"/><Relationship Id="rId2477" Type="http://schemas.openxmlformats.org/officeDocument/2006/relationships/hyperlink" Target="https://www.youtube.com/results?search_query=Maths+III%3A+Time-Work%2C+Time-Speed-Distance+%26+Interest+BPSC+Wallah" TargetMode="External"/><Relationship Id="rId2478" Type="http://schemas.openxmlformats.org/officeDocument/2006/relationships/hyperlink" Target="https://www.google.com/search?q=State+Government%2C+Panchayati+Raj+%26+Municipalities+notes+pdf+Drishti+IAS+Vision+IAS+BPSC+Wallah" TargetMode="External"/><Relationship Id="rId2479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2480" Type="http://schemas.openxmlformats.org/officeDocument/2006/relationships/hyperlink" Target="https://www.youtube.com/results?search_query=State+Government%2C+Panchayati+Raj+%26+Municipalities+Drishti+IAS+BPSC" TargetMode="External"/><Relationship Id="rId2481" Type="http://schemas.openxmlformats.org/officeDocument/2006/relationships/hyperlink" Target="https://www.youtube.com/results?search_query=State+Government%2C+Panchayati+Raj+%26+Municipalities+BPSC+Wallah" TargetMode="External"/><Relationship Id="rId2482" Type="http://schemas.openxmlformats.org/officeDocument/2006/relationships/hyperlink" Target="https://www.youtube.com/results?search_query=Maths+III%3A+Time-Work%2C+Time-Speed-Distance+%26+Interest+BPSC+Wallah" TargetMode="External"/><Relationship Id="rId2483" Type="http://schemas.openxmlformats.org/officeDocument/2006/relationships/hyperlink" Target="https://www.google.com/search?q=BPSC+weekly+revision+notes+pdf+Drishti+IAS+Vision+IAS" TargetMode="External"/><Relationship Id="rId2484" Type="http://schemas.openxmlformats.org/officeDocument/2006/relationships/hyperlink" Target="https://www.google.com/search?q=weekly+current+affairs+revision+%28site%3Adrishtiias.com+OR+site%3Avisionias.in+OR+site%3Apib.gov.in%29" TargetMode="External"/><Relationship Id="rId2485" Type="http://schemas.openxmlformats.org/officeDocument/2006/relationships/hyperlink" Target="https://www.youtube.com/results?search_query=BPSC+prelims+mock+test+analysis+strategy+Drishti+IAS" TargetMode="External"/><Relationship Id="rId2486" Type="http://schemas.openxmlformats.org/officeDocument/2006/relationships/hyperlink" Target="https://www.youtube.com/results?search_query=BPSC+Wallah+BPSC+prelims+test+series+discussion" TargetMode="External"/><Relationship Id="rId2487" Type="http://schemas.openxmlformats.org/officeDocument/2006/relationships/hyperlink" Target="https://www.youtube.com/results?search_query=BPSC+Wallah+BPSC+revision+strategy" TargetMode="External"/><Relationship Id="rId2488" Type="http://schemas.openxmlformats.org/officeDocument/2006/relationships/hyperlink" Target="https://www.google.com/search?q=State+Government%2C+Panchayati+Raj+%26+Municipalities+notes+pdf+Drishti+IAS+Vision+IAS+BPSC+Wallah" TargetMode="External"/><Relationship Id="rId2489" Type="http://schemas.openxmlformats.org/officeDocument/2006/relationships/hyperlink" Target="https://www.google.com/search?q=State+Government%2C+Panchayati+Raj+%26+Municipalities+%28site%3Adrishtiias.com+OR+site%3Avisionias.in+OR+site%3Aprsindia.org%29" TargetMode="External"/><Relationship Id="rId2490" Type="http://schemas.openxmlformats.org/officeDocument/2006/relationships/hyperlink" Target="https://www.youtube.com/results?search_query=State+Government%2C+Panchayati+Raj+%26+Municipalities+Drishti+IAS+BPSC" TargetMode="External"/><Relationship Id="rId2491" Type="http://schemas.openxmlformats.org/officeDocument/2006/relationships/hyperlink" Target="https://www.youtube.com/results?search_query=State+Government%2C+Panchayati+Raj+%26+Municipalities+BPSC+Wallah" TargetMode="External"/><Relationship Id="rId2492" Type="http://schemas.openxmlformats.org/officeDocument/2006/relationships/hyperlink" Target="https://www.youtube.com/results?search_query=Maths+III%3A+Time-Work%2C+Time-Speed-Distance+%26+Interest+BPSC+Wallah" TargetMode="External"/><Relationship Id="rId2493" Type="http://schemas.openxmlformats.org/officeDocument/2006/relationships/hyperlink" Target="https://www.google.com/search?q=Constitutional+%26+Non-Constitutional+Bodies+notes+pdf+Drishti+IAS+Vision+IAS+BPSC+Wallah" TargetMode="External"/><Relationship Id="rId2494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2495" Type="http://schemas.openxmlformats.org/officeDocument/2006/relationships/hyperlink" Target="https://www.youtube.com/results?search_query=Constitutional+%26+Non-Constitutional+Bodies+Drishti+IAS+BPSC" TargetMode="External"/><Relationship Id="rId2496" Type="http://schemas.openxmlformats.org/officeDocument/2006/relationships/hyperlink" Target="https://www.youtube.com/results?search_query=Constitutional+%26+Non-Constitutional+Bodies+BPSC+Wallah" TargetMode="External"/><Relationship Id="rId2497" Type="http://schemas.openxmlformats.org/officeDocument/2006/relationships/hyperlink" Target="https://www.youtube.com/results?search_query=Maths+IV%3A+Algebra%2C+Geometry%2C+Mensuration+%26+Trigonometry+BPSC+Wallah" TargetMode="External"/><Relationship Id="rId2498" Type="http://schemas.openxmlformats.org/officeDocument/2006/relationships/hyperlink" Target="https://www.google.com/search?q=Constitutional+%26+Non-Constitutional+Bodies+notes+pdf+Drishti+IAS+Vision+IAS+BPSC+Wallah" TargetMode="External"/><Relationship Id="rId2499" Type="http://schemas.openxmlformats.org/officeDocument/2006/relationships/hyperlink" Target="https://www.google.com/search?q=Constitutional+%26+Non-Constitutional+Bodies+%28site%3Adrishtiias.com+OR+site%3Avisionias.in+OR+site%3Aprsindia.org%29" TargetMode="External"/><Relationship Id="rId2500" Type="http://schemas.openxmlformats.org/officeDocument/2006/relationships/hyperlink" Target="https://www.youtube.com/results?search_query=Constitutional+%26+Non-Constitutional+Bodies+Drishti+IAS+BPSC" TargetMode="External"/><Relationship Id="rId2501" Type="http://schemas.openxmlformats.org/officeDocument/2006/relationships/hyperlink" Target="https://www.youtube.com/results?search_query=Constitutional+%26+Non-Constitutional+Bodies+BPSC+Wallah" TargetMode="External"/><Relationship Id="rId2502" Type="http://schemas.openxmlformats.org/officeDocument/2006/relationships/hyperlink" Target="https://www.youtube.com/results?search_query=Maths+IV%3A+Algebra%2C+Geometry%2C+Mensuration+%26+Trigonometry+BPSC+Wallah" TargetMode="External"/><Relationship Id="rId2503" Type="http://schemas.openxmlformats.org/officeDocument/2006/relationships/hyperlink" Target="https://www.google.com/search?q=Governance%2C+Rights+%26+Social+Justice+notes+pdf+Drishti+IAS+Vision+IAS+BPSC+Wallah" TargetMode="External"/><Relationship Id="rId2504" Type="http://schemas.openxmlformats.org/officeDocument/2006/relationships/hyperlink" Target="https://www.google.com/search?q=Governance%2C+Rights+%26+Social+Justice+%28site%3Adrishtiias.com+OR+site%3Avisionias.in+OR+site%3Aprsindia.org%29" TargetMode="External"/><Relationship Id="rId2505" Type="http://schemas.openxmlformats.org/officeDocument/2006/relationships/hyperlink" Target="https://www.youtube.com/results?search_query=Governance%2C+Rights+%26+Social+Justice+Drishti+IAS+BPSC" TargetMode="External"/><Relationship Id="rId2506" Type="http://schemas.openxmlformats.org/officeDocument/2006/relationships/hyperlink" Target="https://www.youtube.com/results?search_query=Governance%2C+Rights+%26+Social+Justice+BPSC+Wallah" TargetMode="External"/><Relationship Id="rId2507" Type="http://schemas.openxmlformats.org/officeDocument/2006/relationships/hyperlink" Target="https://www.youtube.com/results?search_query=Maths+IV%3A+Algebra%2C+Geometry%2C+Mensuration+%26+Trigonometry+BPSC+Wallah" TargetMode="External"/><Relationship Id="rId2508" Type="http://schemas.openxmlformats.org/officeDocument/2006/relationships/hyperlink" Target="https://www.google.com/search?q=Basic+Concepts%2C+National+Income+%26+Inflation+notes+pdf+Drishti+IAS+Vision+IAS+BPSC+Wallah" TargetMode="External"/><Relationship Id="rId2509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2510" Type="http://schemas.openxmlformats.org/officeDocument/2006/relationships/hyperlink" Target="https://www.youtube.com/results?search_query=Basic+Concepts%2C+National+Income+%26+Inflation+Drishti+IAS+BPSC" TargetMode="External"/><Relationship Id="rId2511" Type="http://schemas.openxmlformats.org/officeDocument/2006/relationships/hyperlink" Target="https://www.youtube.com/results?search_query=Basic+Concepts%2C+National+Income+%26+Inflation+BPSC+Wallah" TargetMode="External"/><Relationship Id="rId2512" Type="http://schemas.openxmlformats.org/officeDocument/2006/relationships/hyperlink" Target="https://www.youtube.com/results?search_query=Maths+IV%3A+Algebra%2C+Geometry%2C+Mensuration+%26+Trigonometry+BPSC+Wallah" TargetMode="External"/><Relationship Id="rId2513" Type="http://schemas.openxmlformats.org/officeDocument/2006/relationships/hyperlink" Target="https://www.google.com/search?q=Basic+Concepts%2C+National+Income+%26+Inflation+notes+pdf+Drishti+IAS+Vision+IAS+BPSC+Wallah" TargetMode="External"/><Relationship Id="rId2514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2515" Type="http://schemas.openxmlformats.org/officeDocument/2006/relationships/hyperlink" Target="https://www.youtube.com/results?search_query=Basic+Concepts%2C+National+Income+%26+Inflation+Drishti+IAS+BPSC" TargetMode="External"/><Relationship Id="rId2516" Type="http://schemas.openxmlformats.org/officeDocument/2006/relationships/hyperlink" Target="https://www.youtube.com/results?search_query=Basic+Concepts%2C+National+Income+%26+Inflation+BPSC+Wallah" TargetMode="External"/><Relationship Id="rId2517" Type="http://schemas.openxmlformats.org/officeDocument/2006/relationships/hyperlink" Target="https://www.youtube.com/results?search_query=Maths+V%3A+Data+Interpretation+%26+Statistics+BPSC+Wallah" TargetMode="External"/><Relationship Id="rId2518" Type="http://schemas.openxmlformats.org/officeDocument/2006/relationships/hyperlink" Target="https://www.google.com/search?q=BPSC+weekly+revision+notes+pdf+Drishti+IAS+Vision+IAS" TargetMode="External"/><Relationship Id="rId2519" Type="http://schemas.openxmlformats.org/officeDocument/2006/relationships/hyperlink" Target="https://www.google.com/search?q=weekly+current+affairs+revision+%28site%3Adrishtiias.com+OR+site%3Avisionias.in+OR+site%3Apib.gov.in%29" TargetMode="External"/><Relationship Id="rId2520" Type="http://schemas.openxmlformats.org/officeDocument/2006/relationships/hyperlink" Target="https://www.youtube.com/results?search_query=BPSC+prelims+mock+test+analysis+strategy+Drishti+IAS" TargetMode="External"/><Relationship Id="rId2521" Type="http://schemas.openxmlformats.org/officeDocument/2006/relationships/hyperlink" Target="https://www.youtube.com/results?search_query=BPSC+Wallah+BPSC+prelims+test+series+discussion" TargetMode="External"/><Relationship Id="rId2522" Type="http://schemas.openxmlformats.org/officeDocument/2006/relationships/hyperlink" Target="https://www.youtube.com/results?search_query=BPSC+Wallah+BPSC+revision+strategy" TargetMode="External"/><Relationship Id="rId2523" Type="http://schemas.openxmlformats.org/officeDocument/2006/relationships/hyperlink" Target="https://www.google.com/search?q=Basic+Concepts%2C+National+Income+%26+Inflation+notes+pdf+Drishti+IAS+Vision+IAS+BPSC+Wallah" TargetMode="External"/><Relationship Id="rId2524" Type="http://schemas.openxmlformats.org/officeDocument/2006/relationships/hyperlink" Target="https://www.google.com/search?q=Basic+Concepts%2C+National+Income+%26+Inflation+%28site%3Adrishtiias.com+OR+site%3Avisionias.in+OR+site%3Apib.gov.in+OR+site%3Aindiabudget.gov.in%29" TargetMode="External"/><Relationship Id="rId2525" Type="http://schemas.openxmlformats.org/officeDocument/2006/relationships/hyperlink" Target="https://www.youtube.com/results?search_query=Basic+Concepts%2C+National+Income+%26+Inflation+Drishti+IAS+BPSC" TargetMode="External"/><Relationship Id="rId2526" Type="http://schemas.openxmlformats.org/officeDocument/2006/relationships/hyperlink" Target="https://www.youtube.com/results?search_query=Basic+Concepts%2C+National+Income+%26+Inflation+BPSC+Wallah" TargetMode="External"/><Relationship Id="rId2527" Type="http://schemas.openxmlformats.org/officeDocument/2006/relationships/hyperlink" Target="https://www.youtube.com/results?search_query=Maths+V%3A+Data+Interpretation+%26+Statistics+BPSC+Wallah" TargetMode="External"/><Relationship Id="rId2528" Type="http://schemas.openxmlformats.org/officeDocument/2006/relationships/hyperlink" Target="https://www.google.com/search?q=Planning%2C+Poverty+%26+Unemployment+notes+pdf+Drishti+IAS+Vision+IAS+BPSC+Wallah" TargetMode="External"/><Relationship Id="rId2529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2530" Type="http://schemas.openxmlformats.org/officeDocument/2006/relationships/hyperlink" Target="https://www.youtube.com/results?search_query=Planning%2C+Poverty+%26+Unemployment+Drishti+IAS+BPSC" TargetMode="External"/><Relationship Id="rId2531" Type="http://schemas.openxmlformats.org/officeDocument/2006/relationships/hyperlink" Target="https://www.youtube.com/results?search_query=Planning%2C+Poverty+%26+Unemployment+BPSC+Wallah" TargetMode="External"/><Relationship Id="rId2532" Type="http://schemas.openxmlformats.org/officeDocument/2006/relationships/hyperlink" Target="https://www.youtube.com/results?search_query=Maths+V%3A+Data+Interpretation+%26+Statistics+BPSC+Wallah" TargetMode="External"/><Relationship Id="rId2533" Type="http://schemas.openxmlformats.org/officeDocument/2006/relationships/hyperlink" Target="https://www.google.com/search?q=Planning%2C+Poverty+%26+Unemployment+notes+pdf+Drishti+IAS+Vision+IAS+BPSC+Wallah" TargetMode="External"/><Relationship Id="rId2534" Type="http://schemas.openxmlformats.org/officeDocument/2006/relationships/hyperlink" Target="https://www.google.com/search?q=Planning%2C+Poverty+%26+Unemployment+%28site%3Adrishtiias.com+OR+site%3Avisionias.in+OR+site%3Apib.gov.in+OR+site%3Aindiabudget.gov.in%29" TargetMode="External"/><Relationship Id="rId2535" Type="http://schemas.openxmlformats.org/officeDocument/2006/relationships/hyperlink" Target="https://www.youtube.com/results?search_query=Planning%2C+Poverty+%26+Unemployment+Drishti+IAS+BPSC" TargetMode="External"/><Relationship Id="rId2536" Type="http://schemas.openxmlformats.org/officeDocument/2006/relationships/hyperlink" Target="https://www.youtube.com/results?search_query=Planning%2C+Poverty+%26+Unemployment+BPSC+Wallah" TargetMode="External"/><Relationship Id="rId2537" Type="http://schemas.openxmlformats.org/officeDocument/2006/relationships/hyperlink" Target="https://www.youtube.com/results?search_query=Reasoning+I%3A+Series%2C+Coding-Decoding+%26+Analogy+BPSC+Wallah" TargetMode="External"/><Relationship Id="rId2538" Type="http://schemas.openxmlformats.org/officeDocument/2006/relationships/hyperlink" Target="https://www.google.com/search?q=Money%2C+Banking+%26+Monetary+Policy+notes+pdf+Drishti+IAS+Vision+IAS+BPSC+Wallah" TargetMode="External"/><Relationship Id="rId2539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2540" Type="http://schemas.openxmlformats.org/officeDocument/2006/relationships/hyperlink" Target="https://www.youtube.com/results?search_query=Money%2C+Banking+%26+Monetary+Policy+Drishti+IAS+BPSC" TargetMode="External"/><Relationship Id="rId2541" Type="http://schemas.openxmlformats.org/officeDocument/2006/relationships/hyperlink" Target="https://www.youtube.com/results?search_query=Money%2C+Banking+%26+Monetary+Policy+BPSC+Wallah" TargetMode="External"/><Relationship Id="rId2542" Type="http://schemas.openxmlformats.org/officeDocument/2006/relationships/hyperlink" Target="https://www.youtube.com/results?search_query=Reasoning+I%3A+Series%2C+Coding-Decoding+%26+Analogy+BPSC+Wallah" TargetMode="External"/><Relationship Id="rId2543" Type="http://schemas.openxmlformats.org/officeDocument/2006/relationships/hyperlink" Target="https://www.google.com/search?q=Money%2C+Banking+%26+Monetary+Policy+notes+pdf+Drishti+IAS+Vision+IAS+BPSC+Wallah" TargetMode="External"/><Relationship Id="rId2544" Type="http://schemas.openxmlformats.org/officeDocument/2006/relationships/hyperlink" Target="https://www.google.com/search?q=Money%2C+Banking+%26+Monetary+Policy+%28site%3Adrishtiias.com+OR+site%3Avisionias.in+OR+site%3Apib.gov.in+OR+site%3Aindiabudget.gov.in%29" TargetMode="External"/><Relationship Id="rId2545" Type="http://schemas.openxmlformats.org/officeDocument/2006/relationships/hyperlink" Target="https://www.youtube.com/results?search_query=Money%2C+Banking+%26+Monetary+Policy+Drishti+IAS+BPSC" TargetMode="External"/><Relationship Id="rId2546" Type="http://schemas.openxmlformats.org/officeDocument/2006/relationships/hyperlink" Target="https://www.youtube.com/results?search_query=Money%2C+Banking+%26+Monetary+Policy+BPSC+Wallah" TargetMode="External"/><Relationship Id="rId2547" Type="http://schemas.openxmlformats.org/officeDocument/2006/relationships/hyperlink" Target="https://www.youtube.com/results?search_query=Reasoning+II%3A+Direction%2C+Blood+Relation%2C+Syllogism+%26+Puzzles+BPSC+Wallah" TargetMode="External"/><Relationship Id="rId2548" Type="http://schemas.openxmlformats.org/officeDocument/2006/relationships/hyperlink" Target="https://www.google.com/search?q=Public+Finance%3A+Budget%2C+Taxation+%26+GST+notes+pdf+Drishti+IAS+Vision+IAS+BPSC+Wallah" TargetMode="External"/><Relationship Id="rId2549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2550" Type="http://schemas.openxmlformats.org/officeDocument/2006/relationships/hyperlink" Target="https://www.youtube.com/results?search_query=Public+Finance%3A+Budget%2C+Taxation+%26+GST+Drishti+IAS+BPSC" TargetMode="External"/><Relationship Id="rId2551" Type="http://schemas.openxmlformats.org/officeDocument/2006/relationships/hyperlink" Target="https://www.youtube.com/results?search_query=Public+Finance%3A+Budget%2C+Taxation+%26+GST+BPSC+Wallah" TargetMode="External"/><Relationship Id="rId2552" Type="http://schemas.openxmlformats.org/officeDocument/2006/relationships/hyperlink" Target="https://www.youtube.com/results?search_query=Reasoning+II%3A+Direction%2C+Blood+Relation%2C+Syllogism+%26+Puzzles+BPSC+Wallah" TargetMode="External"/><Relationship Id="rId2553" Type="http://schemas.openxmlformats.org/officeDocument/2006/relationships/hyperlink" Target="https://www.google.com/search?q=BPSC+weekly+revision+notes+pdf+Drishti+IAS+Vision+IAS" TargetMode="External"/><Relationship Id="rId2554" Type="http://schemas.openxmlformats.org/officeDocument/2006/relationships/hyperlink" Target="https://www.google.com/search?q=weekly+current+affairs+revision+%28site%3Adrishtiias.com+OR+site%3Avisionias.in+OR+site%3Apib.gov.in%29" TargetMode="External"/><Relationship Id="rId2555" Type="http://schemas.openxmlformats.org/officeDocument/2006/relationships/hyperlink" Target="https://www.youtube.com/results?search_query=BPSC+prelims+mock+test+analysis+strategy+Drishti+IAS" TargetMode="External"/><Relationship Id="rId2556" Type="http://schemas.openxmlformats.org/officeDocument/2006/relationships/hyperlink" Target="https://www.youtube.com/results?search_query=BPSC+Wallah+BPSC+prelims+test+series+discussion" TargetMode="External"/><Relationship Id="rId2557" Type="http://schemas.openxmlformats.org/officeDocument/2006/relationships/hyperlink" Target="https://www.youtube.com/results?search_query=BPSC+Wallah+BPSC+revision+strategy" TargetMode="External"/><Relationship Id="rId2558" Type="http://schemas.openxmlformats.org/officeDocument/2006/relationships/hyperlink" Target="https://www.google.com/search?q=Public+Finance%3A+Budget%2C+Taxation+%26+GST+notes+pdf+Drishti+IAS+Vision+IAS+BPSC+Wallah" TargetMode="External"/><Relationship Id="rId2559" Type="http://schemas.openxmlformats.org/officeDocument/2006/relationships/hyperlink" Target="https://www.google.com/search?q=Public+Finance%3A+Budget%2C+Taxation+%26+GST+%28site%3Adrishtiias.com+OR+site%3Avisionias.in+OR+site%3Apib.gov.in+OR+site%3Aindiabudget.gov.in%29" TargetMode="External"/><Relationship Id="rId2560" Type="http://schemas.openxmlformats.org/officeDocument/2006/relationships/hyperlink" Target="https://www.youtube.com/results?search_query=Public+Finance%3A+Budget%2C+Taxation+%26+GST+Drishti+IAS+BPSC" TargetMode="External"/><Relationship Id="rId2561" Type="http://schemas.openxmlformats.org/officeDocument/2006/relationships/hyperlink" Target="https://www.youtube.com/results?search_query=Public+Finance%3A+Budget%2C+Taxation+%26+GST+BPSC+Wallah" TargetMode="External"/><Relationship Id="rId2562" Type="http://schemas.openxmlformats.org/officeDocument/2006/relationships/hyperlink" Target="https://www.youtube.com/results?search_query=Reasoning+II%3A+Direction%2C+Blood+Relation%2C+Syllogism+%26+Puzzles+BPSC+Wallah" TargetMode="External"/><Relationship Id="rId2563" Type="http://schemas.openxmlformats.org/officeDocument/2006/relationships/hyperlink" Target="https://www.google.com/search?q=Agricultural+Economy+notes+pdf+Drishti+IAS+Vision+IAS+BPSC+Wallah" TargetMode="External"/><Relationship Id="rId2564" Type="http://schemas.openxmlformats.org/officeDocument/2006/relationships/hyperlink" Target="https://www.google.com/search?q=Agricultural+Economy+%28site%3Adrishtiias.com+OR+site%3Avisionias.in+OR+site%3Apib.gov.in+OR+site%3Aindiabudget.gov.in%29" TargetMode="External"/><Relationship Id="rId2565" Type="http://schemas.openxmlformats.org/officeDocument/2006/relationships/hyperlink" Target="https://www.youtube.com/results?search_query=Agricultural+Economy+Drishti+IAS+BPSC" TargetMode="External"/><Relationship Id="rId2566" Type="http://schemas.openxmlformats.org/officeDocument/2006/relationships/hyperlink" Target="https://www.youtube.com/results?search_query=Agricultural+Economy+BPSC+Wallah" TargetMode="External"/><Relationship Id="rId2567" Type="http://schemas.openxmlformats.org/officeDocument/2006/relationships/hyperlink" Target="https://www.youtube.com/results?search_query=Reasoning+II%3A+Direction%2C+Blood+Relation%2C+Syllogism+%26+Puzzles+BPSC+Wallah" TargetMode="External"/><Relationship Id="rId2568" Type="http://schemas.openxmlformats.org/officeDocument/2006/relationships/hyperlink" Target="https://www.google.com/search?q=Industry%2C+Services+%26+Infrastructure+notes+pdf+Drishti+IAS+Vision+IAS+BPSC+Wallah" TargetMode="External"/><Relationship Id="rId2569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2570" Type="http://schemas.openxmlformats.org/officeDocument/2006/relationships/hyperlink" Target="https://www.youtube.com/results?search_query=Industry%2C+Services+%26+Infrastructure+Drishti+IAS+BPSC" TargetMode="External"/><Relationship Id="rId2571" Type="http://schemas.openxmlformats.org/officeDocument/2006/relationships/hyperlink" Target="https://www.youtube.com/results?search_query=Industry%2C+Services+%26+Infrastructure+BPSC+Wallah" TargetMode="External"/><Relationship Id="rId2572" Type="http://schemas.openxmlformats.org/officeDocument/2006/relationships/hyperlink" Target="https://www.youtube.com/results?search_query=Reasoning+II%3A+Direction%2C+Blood+Relation%2C+Syllogism+%26+Puzzles+BPSC+Wallah" TargetMode="External"/><Relationship Id="rId2573" Type="http://schemas.openxmlformats.org/officeDocument/2006/relationships/hyperlink" Target="https://www.google.com/search?q=Industry%2C+Services+%26+Infrastructure+notes+pdf+Drishti+IAS+Vision+IAS+BPSC+Wallah" TargetMode="External"/><Relationship Id="rId2574" Type="http://schemas.openxmlformats.org/officeDocument/2006/relationships/hyperlink" Target="https://www.google.com/search?q=Industry%2C+Services+%26+Infrastructure+%28site%3Adrishtiias.com+OR+site%3Avisionias.in+OR+site%3Apib.gov.in+OR+site%3Aindiabudget.gov.in%29" TargetMode="External"/><Relationship Id="rId2575" Type="http://schemas.openxmlformats.org/officeDocument/2006/relationships/hyperlink" Target="https://www.youtube.com/results?search_query=Industry%2C+Services+%26+Infrastructure+Drishti+IAS+BPSC" TargetMode="External"/><Relationship Id="rId2576" Type="http://schemas.openxmlformats.org/officeDocument/2006/relationships/hyperlink" Target="https://www.youtube.com/results?search_query=Industry%2C+Services+%26+Infrastructure+BPSC+Wallah" TargetMode="External"/><Relationship Id="rId2577" Type="http://schemas.openxmlformats.org/officeDocument/2006/relationships/hyperlink" Target="https://www.youtube.com/results?search_query=Hindi+Grammar+I%3A+Varna%2C+Sandhi%2C+Samas%2C+Upsarg-Pratyay+BPSC+Wallah" TargetMode="External"/><Relationship Id="rId2578" Type="http://schemas.openxmlformats.org/officeDocument/2006/relationships/hyperlink" Target="https://www.google.com/search?q=External+Sector+%26+International+Institutions+notes+pdf+Drishti+IAS+Vision+IAS+BPSC+Wallah" TargetMode="External"/><Relationship Id="rId2579" Type="http://schemas.openxmlformats.org/officeDocument/2006/relationships/hyperlink" Target="https://www.google.com/search?q=External+Sector+%26+International+Institutions+%28site%3Adrishtiias.com+OR+site%3Avisionias.in+OR+site%3Apib.gov.in+OR+site%3Aindiabudget.gov.in%29" TargetMode="External"/><Relationship Id="rId2580" Type="http://schemas.openxmlformats.org/officeDocument/2006/relationships/hyperlink" Target="https://www.youtube.com/results?search_query=External+Sector+%26+International+Institutions+Drishti+IAS+BPSC" TargetMode="External"/><Relationship Id="rId2581" Type="http://schemas.openxmlformats.org/officeDocument/2006/relationships/hyperlink" Target="https://www.youtube.com/results?search_query=External+Sector+%26+International+Institutions+BPSC+Wallah" TargetMode="External"/><Relationship Id="rId2582" Type="http://schemas.openxmlformats.org/officeDocument/2006/relationships/hyperlink" Target="https://www.youtube.com/results?search_query=Hindi+Grammar+I%3A+Varna%2C+Sandhi%2C+Samas%2C+Upsarg-Pratyay+BPSC+Wallah" TargetMode="External"/><Relationship Id="rId2583" Type="http://schemas.openxmlformats.org/officeDocument/2006/relationships/hyperlink" Target="https://www.google.com/search?q=Capital+Market%2C+Insurance%2C+Economic+Survey+%26+Budget+notes+pdf+Drishti+IAS+Vision+IAS+BPSC+Wallah" TargetMode="External"/><Relationship Id="rId2584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2585" Type="http://schemas.openxmlformats.org/officeDocument/2006/relationships/hyperlink" Target="https://www.youtube.com/results?search_query=Capital+Market%2C+Insurance%2C+Economic+Survey+%26+Budget+Drishti+IAS+BPSC" TargetMode="External"/><Relationship Id="rId2586" Type="http://schemas.openxmlformats.org/officeDocument/2006/relationships/hyperlink" Target="https://www.youtube.com/results?search_query=Capital+Market%2C+Insurance%2C+Economic+Survey+%26+Budget+BPSC+Wallah" TargetMode="External"/><Relationship Id="rId2587" Type="http://schemas.openxmlformats.org/officeDocument/2006/relationships/hyperlink" Target="https://www.youtube.com/results?search_query=Hindi+Grammar+II%3A+Vakya+Shuddhi%2C+Muhavare%2C+Paryayvachi+BPSC+Wallah" TargetMode="External"/><Relationship Id="rId2588" Type="http://schemas.openxmlformats.org/officeDocument/2006/relationships/hyperlink" Target="https://www.google.com/search?q=BPSC+weekly+revision+notes+pdf+Drishti+IAS+Vision+IAS" TargetMode="External"/><Relationship Id="rId2589" Type="http://schemas.openxmlformats.org/officeDocument/2006/relationships/hyperlink" Target="https://www.google.com/search?q=weekly+current+affairs+revision+%28site%3Adrishtiias.com+OR+site%3Avisionias.in+OR+site%3Apib.gov.in%29" TargetMode="External"/><Relationship Id="rId2590" Type="http://schemas.openxmlformats.org/officeDocument/2006/relationships/hyperlink" Target="https://www.youtube.com/results?search_query=BPSC+prelims+mock+test+analysis+strategy+Drishti+IAS" TargetMode="External"/><Relationship Id="rId2591" Type="http://schemas.openxmlformats.org/officeDocument/2006/relationships/hyperlink" Target="https://www.youtube.com/results?search_query=BPSC+Wallah+BPSC+prelims+test+series+discussion" TargetMode="External"/><Relationship Id="rId2592" Type="http://schemas.openxmlformats.org/officeDocument/2006/relationships/hyperlink" Target="https://www.youtube.com/results?search_query=BPSC+Wallah+BPSC+revision+strategy" TargetMode="External"/><Relationship Id="rId2593" Type="http://schemas.openxmlformats.org/officeDocument/2006/relationships/hyperlink" Target="https://www.google.com/search?q=Capital+Market%2C+Insurance%2C+Economic+Survey+%26+Budget+notes+pdf+Drishti+IAS+Vision+IAS+BPSC+Wallah" TargetMode="External"/><Relationship Id="rId2594" Type="http://schemas.openxmlformats.org/officeDocument/2006/relationships/hyperlink" Target="https://www.google.com/search?q=Capital+Market%2C+Insurance%2C+Economic+Survey+%26+Budget+%28site%3Adrishtiias.com+OR+site%3Avisionias.in+OR+site%3Apib.gov.in+OR+site%3Aindiabudget.gov.in%29" TargetMode="External"/><Relationship Id="rId2595" Type="http://schemas.openxmlformats.org/officeDocument/2006/relationships/hyperlink" Target="https://www.youtube.com/results?search_query=Capital+Market%2C+Insurance%2C+Economic+Survey+%26+Budget+Drishti+IAS+BPSC" TargetMode="External"/><Relationship Id="rId2596" Type="http://schemas.openxmlformats.org/officeDocument/2006/relationships/hyperlink" Target="https://www.youtube.com/results?search_query=Capital+Market%2C+Insurance%2C+Economic+Survey+%26+Budget+BPSC+Wallah" TargetMode="External"/><Relationship Id="rId2597" Type="http://schemas.openxmlformats.org/officeDocument/2006/relationships/hyperlink" Target="https://www.youtube.com/results?search_query=Hindi+Grammar+II%3A+Vakya+Shuddhi%2C+Muhavare%2C+Paryayvachi+BPSC+Wallah" TargetMode="External"/><Relationship Id="rId2598" Type="http://schemas.openxmlformats.org/officeDocument/2006/relationships/hyperlink" Target="https://www.google.com/search?q=Ecology+%26+Ecosystems+notes+pdf+Drishti+IAS+Vision+IAS+BPSC+Wallah" TargetMode="External"/><Relationship Id="rId2599" Type="http://schemas.openxmlformats.org/officeDocument/2006/relationships/hyperlink" Target="https://www.google.com/search?q=Ecology+%26+Ecosystems+%28site%3Adrishtiias.com+OR+site%3Avisionias.in+OR+site%3Apib.gov.in%29" TargetMode="External"/><Relationship Id="rId2600" Type="http://schemas.openxmlformats.org/officeDocument/2006/relationships/hyperlink" Target="https://www.youtube.com/results?search_query=Ecology+%26+Ecosystems+Drishti+IAS+BPSC" TargetMode="External"/><Relationship Id="rId2601" Type="http://schemas.openxmlformats.org/officeDocument/2006/relationships/hyperlink" Target="https://www.youtube.com/results?search_query=Ecology+%26+Ecosystems+BPSC+Wallah" TargetMode="External"/><Relationship Id="rId2602" Type="http://schemas.openxmlformats.org/officeDocument/2006/relationships/hyperlink" Target="https://www.youtube.com/results?search_query=Hindi+Grammar+II%3A+Vakya+Shuddhi%2C+Muhavare%2C+Paryayvachi+BPSC+Wallah" TargetMode="External"/><Relationship Id="rId2603" Type="http://schemas.openxmlformats.org/officeDocument/2006/relationships/hyperlink" Target="https://www.google.com/search?q=Ecology+%26+Ecosystems+notes+pdf+Drishti+IAS+Vision+IAS+BPSC+Wallah" TargetMode="External"/><Relationship Id="rId2604" Type="http://schemas.openxmlformats.org/officeDocument/2006/relationships/hyperlink" Target="https://www.google.com/search?q=Ecology+%26+Ecosystems+%28site%3Adrishtiias.com+OR+site%3Avisionias.in+OR+site%3Apib.gov.in%29" TargetMode="External"/><Relationship Id="rId2605" Type="http://schemas.openxmlformats.org/officeDocument/2006/relationships/hyperlink" Target="https://www.youtube.com/results?search_query=Ecology+%26+Ecosystems+Drishti+IAS+BPSC" TargetMode="External"/><Relationship Id="rId2606" Type="http://schemas.openxmlformats.org/officeDocument/2006/relationships/hyperlink" Target="https://www.youtube.com/results?search_query=Ecology+%26+Ecosystems+BPSC+Wallah" TargetMode="External"/><Relationship Id="rId2607" Type="http://schemas.openxmlformats.org/officeDocument/2006/relationships/hyperlink" Target="https://www.youtube.com/results?search_query=Hindi+Grammar+II%3A+Vakya+Shuddhi%2C+Muhavare%2C+Paryayvachi+BPSC+Wallah" TargetMode="External"/><Relationship Id="rId2608" Type="http://schemas.openxmlformats.org/officeDocument/2006/relationships/hyperlink" Target="https://www.google.com/search?q=Biodiversity+%26+Conservation+notes+pdf+Drishti+IAS+Vision+IAS+BPSC+Wallah" TargetMode="External"/><Relationship Id="rId2609" Type="http://schemas.openxmlformats.org/officeDocument/2006/relationships/hyperlink" Target="https://www.google.com/search?q=Biodiversity+%26+Conservation+%28site%3Adrishtiias.com+OR+site%3Avisionias.in+OR+site%3Apib.gov.in%29" TargetMode="External"/><Relationship Id="rId2610" Type="http://schemas.openxmlformats.org/officeDocument/2006/relationships/hyperlink" Target="https://www.youtube.com/results?search_query=Biodiversity+%26+Conservation+Drishti+IAS+BPSC" TargetMode="External"/><Relationship Id="rId2611" Type="http://schemas.openxmlformats.org/officeDocument/2006/relationships/hyperlink" Target="https://www.youtube.com/results?search_query=Biodiversity+%26+Conservation+BPSC+Wallah" TargetMode="External"/><Relationship Id="rId2612" Type="http://schemas.openxmlformats.org/officeDocument/2006/relationships/hyperlink" Target="https://www.youtube.com/results?search_query=Hindi+Writing%3A+Gadyansh%2C+Patra%2C+Nibandh+%26+Anuvad+BPSC+Wallah" TargetMode="External"/><Relationship Id="rId2613" Type="http://schemas.openxmlformats.org/officeDocument/2006/relationships/hyperlink" Target="https://www.google.com/search?q=Climate+Change%2C+Pollution+%26+Environmental+Laws+notes+pdf+Drishti+IAS+Vision+IAS+BPSC+Wallah" TargetMode="External"/><Relationship Id="rId2614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2615" Type="http://schemas.openxmlformats.org/officeDocument/2006/relationships/hyperlink" Target="https://www.youtube.com/results?search_query=Climate+Change%2C+Pollution+%26+Environmental+Laws+Drishti+IAS+BPSC" TargetMode="External"/><Relationship Id="rId2616" Type="http://schemas.openxmlformats.org/officeDocument/2006/relationships/hyperlink" Target="https://www.youtube.com/results?search_query=Climate+Change%2C+Pollution+%26+Environmental+Laws+BPSC+Wallah" TargetMode="External"/><Relationship Id="rId2617" Type="http://schemas.openxmlformats.org/officeDocument/2006/relationships/hyperlink" Target="https://www.youtube.com/results?search_query=Hindi+Writing%3A+Gadyansh%2C+Patra%2C+Nibandh+%26+Anuvad+BPSC+Wallah" TargetMode="External"/><Relationship Id="rId2618" Type="http://schemas.openxmlformats.org/officeDocument/2006/relationships/hyperlink" Target="https://www.google.com/search?q=Climate+Change%2C+Pollution+%26+Environmental+Laws+notes+pdf+Drishti+IAS+Vision+IAS+BPSC+Wallah" TargetMode="External"/><Relationship Id="rId2619" Type="http://schemas.openxmlformats.org/officeDocument/2006/relationships/hyperlink" Target="https://www.google.com/search?q=Climate+Change%2C+Pollution+%26+Environmental+Laws+%28site%3Adrishtiias.com+OR+site%3Avisionias.in+OR+site%3Apib.gov.in%29" TargetMode="External"/><Relationship Id="rId2620" Type="http://schemas.openxmlformats.org/officeDocument/2006/relationships/hyperlink" Target="https://www.youtube.com/results?search_query=Climate+Change%2C+Pollution+%26+Environmental+Laws+Drishti+IAS+BPSC" TargetMode="External"/><Relationship Id="rId2621" Type="http://schemas.openxmlformats.org/officeDocument/2006/relationships/hyperlink" Target="https://www.youtube.com/results?search_query=Climate+Change%2C+Pollution+%26+Environmental+Laws+BPSC+Wallah" TargetMode="External"/><Relationship Id="rId2622" Type="http://schemas.openxmlformats.org/officeDocument/2006/relationships/hyperlink" Target="https://www.youtube.com/results?search_query=Hindi+Writing%3A+Gadyansh%2C+Patra%2C+Nibandh+%26+Anuvad+BPSC+Wallah" TargetMode="External"/><Relationship Id="rId2623" Type="http://schemas.openxmlformats.org/officeDocument/2006/relationships/hyperlink" Target="https://www.google.com/search?q=BPSC+weekly+revision+notes+pdf+Drishti+IAS+Vision+IAS" TargetMode="External"/><Relationship Id="rId2624" Type="http://schemas.openxmlformats.org/officeDocument/2006/relationships/hyperlink" Target="https://www.google.com/search?q=weekly+current+affairs+revision+%28site%3Adrishtiias.com+OR+site%3Avisionias.in+OR+site%3Apib.gov.in%29" TargetMode="External"/><Relationship Id="rId2625" Type="http://schemas.openxmlformats.org/officeDocument/2006/relationships/hyperlink" Target="https://www.youtube.com/results?search_query=BPSC+prelims+mock+test+analysis+strategy+Drishti+IAS" TargetMode="External"/><Relationship Id="rId2626" Type="http://schemas.openxmlformats.org/officeDocument/2006/relationships/hyperlink" Target="https://www.youtube.com/results?search_query=BPSC+Wallah+BPSC+prelims+test+series+discussion" TargetMode="External"/><Relationship Id="rId2627" Type="http://schemas.openxmlformats.org/officeDocument/2006/relationships/hyperlink" Target="https://www.youtube.com/results?search_query=BPSC+Wallah+BPSC+revision+strategy" TargetMode="External"/><Relationship Id="rId2628" Type="http://schemas.openxmlformats.org/officeDocument/2006/relationships/hyperlink" Target="https://www.google.com/search?q=BPSC+prelims+short+notes+pdf+Drishti+IAS+BPSC+Wallah" TargetMode="External"/><Relationship Id="rId262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30" Type="http://schemas.openxmlformats.org/officeDocument/2006/relationships/hyperlink" Target="https://www.youtube.com/results?search_query=BPSC+prelims+mock+test+analysis+strategy+Drishti+IAS" TargetMode="External"/><Relationship Id="rId2631" Type="http://schemas.openxmlformats.org/officeDocument/2006/relationships/hyperlink" Target="https://www.youtube.com/results?search_query=BPSC+Wallah+BPSC+prelims+test+series+discussion" TargetMode="External"/><Relationship Id="rId2632" Type="http://schemas.openxmlformats.org/officeDocument/2006/relationships/hyperlink" Target="https://www.youtube.com/results?search_query=BPSC+Wallah+BPSC+revision+strategy" TargetMode="External"/><Relationship Id="rId2633" Type="http://schemas.openxmlformats.org/officeDocument/2006/relationships/hyperlink" Target="https://www.google.com/search?q=BPSC+prelims+short+notes+pdf+Drishti+IAS+BPSC+Wallah" TargetMode="External"/><Relationship Id="rId263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35" Type="http://schemas.openxmlformats.org/officeDocument/2006/relationships/hyperlink" Target="https://www.youtube.com/results?search_query=BPSC+prelims+mock+test+analysis+strategy+Drishti+IAS" TargetMode="External"/><Relationship Id="rId2636" Type="http://schemas.openxmlformats.org/officeDocument/2006/relationships/hyperlink" Target="https://www.youtube.com/results?search_query=BPSC+Wallah+BPSC+prelims+test+series+discussion" TargetMode="External"/><Relationship Id="rId2637" Type="http://schemas.openxmlformats.org/officeDocument/2006/relationships/hyperlink" Target="https://www.youtube.com/results?search_query=BPSC+Wallah+BPSC+revision+strategy" TargetMode="External"/><Relationship Id="rId2638" Type="http://schemas.openxmlformats.org/officeDocument/2006/relationships/hyperlink" Target="https://www.google.com/search?q=BPSC+prelims+short+notes+pdf+Drishti+IAS+BPSC+Wallah" TargetMode="External"/><Relationship Id="rId263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40" Type="http://schemas.openxmlformats.org/officeDocument/2006/relationships/hyperlink" Target="https://www.youtube.com/results?search_query=BPSC+prelims+mock+test+analysis+strategy+Drishti+IAS" TargetMode="External"/><Relationship Id="rId2641" Type="http://schemas.openxmlformats.org/officeDocument/2006/relationships/hyperlink" Target="https://www.youtube.com/results?search_query=BPSC+Wallah+BPSC+prelims+test+series+discussion" TargetMode="External"/><Relationship Id="rId2642" Type="http://schemas.openxmlformats.org/officeDocument/2006/relationships/hyperlink" Target="https://www.youtube.com/results?search_query=BPSC+Wallah+BPSC+revision+strategy" TargetMode="External"/><Relationship Id="rId2643" Type="http://schemas.openxmlformats.org/officeDocument/2006/relationships/hyperlink" Target="https://www.google.com/search?q=BPSC+prelims+short+notes+pdf+Drishti+IAS+BPSC+Wallah" TargetMode="External"/><Relationship Id="rId264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45" Type="http://schemas.openxmlformats.org/officeDocument/2006/relationships/hyperlink" Target="https://www.youtube.com/results?search_query=BPSC+prelims+mock+test+analysis+strategy+Drishti+IAS" TargetMode="External"/><Relationship Id="rId2646" Type="http://schemas.openxmlformats.org/officeDocument/2006/relationships/hyperlink" Target="https://www.youtube.com/results?search_query=BPSC+Wallah+BPSC+prelims+test+series+discussion" TargetMode="External"/><Relationship Id="rId2647" Type="http://schemas.openxmlformats.org/officeDocument/2006/relationships/hyperlink" Target="https://www.youtube.com/results?search_query=BPSC+Wallah+BPSC+revision+strategy" TargetMode="External"/><Relationship Id="rId2648" Type="http://schemas.openxmlformats.org/officeDocument/2006/relationships/hyperlink" Target="https://www.google.com/search?q=BPSC+prelims+short+notes+pdf+Drishti+IAS+BPSC+Wallah" TargetMode="External"/><Relationship Id="rId264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50" Type="http://schemas.openxmlformats.org/officeDocument/2006/relationships/hyperlink" Target="https://www.youtube.com/results?search_query=BPSC+prelims+mock+test+analysis+strategy+Drishti+IAS" TargetMode="External"/><Relationship Id="rId2651" Type="http://schemas.openxmlformats.org/officeDocument/2006/relationships/hyperlink" Target="https://www.youtube.com/results?search_query=BPSC+Wallah+BPSC+prelims+test+series+discussion" TargetMode="External"/><Relationship Id="rId2652" Type="http://schemas.openxmlformats.org/officeDocument/2006/relationships/hyperlink" Target="https://www.youtube.com/results?search_query=BPSC+Wallah+BPSC+revision+strategy" TargetMode="External"/><Relationship Id="rId2653" Type="http://schemas.openxmlformats.org/officeDocument/2006/relationships/hyperlink" Target="https://www.google.com/search?q=BPSC+prelims+short+notes+pdf+Drishti+IAS+BPSC+Wallah" TargetMode="External"/><Relationship Id="rId265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55" Type="http://schemas.openxmlformats.org/officeDocument/2006/relationships/hyperlink" Target="https://www.youtube.com/results?search_query=BPSC+prelims+mock+test+analysis+strategy+Drishti+IAS" TargetMode="External"/><Relationship Id="rId2656" Type="http://schemas.openxmlformats.org/officeDocument/2006/relationships/hyperlink" Target="https://www.youtube.com/results?search_query=BPSC+Wallah+BPSC+prelims+test+series+discussion" TargetMode="External"/><Relationship Id="rId2657" Type="http://schemas.openxmlformats.org/officeDocument/2006/relationships/hyperlink" Target="https://www.youtube.com/results?search_query=BPSC+Wallah+BPSC+revision+strategy" TargetMode="External"/><Relationship Id="rId2658" Type="http://schemas.openxmlformats.org/officeDocument/2006/relationships/hyperlink" Target="https://www.google.com/search?q=BPSC+weekly+revision+notes+pdf+Drishti+IAS+Vision+IAS" TargetMode="External"/><Relationship Id="rId2659" Type="http://schemas.openxmlformats.org/officeDocument/2006/relationships/hyperlink" Target="https://www.google.com/search?q=weekly+current+affairs+revision+%28site%3Adrishtiias.com+OR+site%3Avisionias.in+OR+site%3Apib.gov.in%29" TargetMode="External"/><Relationship Id="rId2660" Type="http://schemas.openxmlformats.org/officeDocument/2006/relationships/hyperlink" Target="https://www.youtube.com/results?search_query=BPSC+prelims+mock+test+analysis+strategy+Drishti+IAS" TargetMode="External"/><Relationship Id="rId2661" Type="http://schemas.openxmlformats.org/officeDocument/2006/relationships/hyperlink" Target="https://www.youtube.com/results?search_query=BPSC+Wallah+BPSC+prelims+test+series+discussion" TargetMode="External"/><Relationship Id="rId2662" Type="http://schemas.openxmlformats.org/officeDocument/2006/relationships/hyperlink" Target="https://www.youtube.com/results?search_query=BPSC+Wallah+BPSC+revision+strategy" TargetMode="External"/><Relationship Id="rId2663" Type="http://schemas.openxmlformats.org/officeDocument/2006/relationships/hyperlink" Target="https://www.google.com/search?q=BPSC+prelims+short+notes+pdf+Drishti+IAS+BPSC+Wallah" TargetMode="External"/><Relationship Id="rId266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65" Type="http://schemas.openxmlformats.org/officeDocument/2006/relationships/hyperlink" Target="https://www.youtube.com/results?search_query=BPSC+prelims+mock+test+analysis+strategy+Drishti+IAS" TargetMode="External"/><Relationship Id="rId2666" Type="http://schemas.openxmlformats.org/officeDocument/2006/relationships/hyperlink" Target="https://www.youtube.com/results?search_query=BPSC+Wallah+BPSC+prelims+test+series+discussion" TargetMode="External"/><Relationship Id="rId2667" Type="http://schemas.openxmlformats.org/officeDocument/2006/relationships/hyperlink" Target="https://www.youtube.com/results?search_query=BPSC+Wallah+BPSC+revision+strategy" TargetMode="External"/><Relationship Id="rId2668" Type="http://schemas.openxmlformats.org/officeDocument/2006/relationships/hyperlink" Target="https://www.google.com/search?q=BPSC+prelims+short+notes+pdf+Drishti+IAS+BPSC+Wallah" TargetMode="External"/><Relationship Id="rId266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70" Type="http://schemas.openxmlformats.org/officeDocument/2006/relationships/hyperlink" Target="https://www.youtube.com/results?search_query=BPSC+prelims+mock+test+analysis+strategy+Drishti+IAS" TargetMode="External"/><Relationship Id="rId2671" Type="http://schemas.openxmlformats.org/officeDocument/2006/relationships/hyperlink" Target="https://www.youtube.com/results?search_query=BPSC+Wallah+BPSC+prelims+test+series+discussion" TargetMode="External"/><Relationship Id="rId2672" Type="http://schemas.openxmlformats.org/officeDocument/2006/relationships/hyperlink" Target="https://www.youtube.com/results?search_query=BPSC+Wallah+BPSC+revision+strategy" TargetMode="External"/><Relationship Id="rId2673" Type="http://schemas.openxmlformats.org/officeDocument/2006/relationships/hyperlink" Target="https://www.google.com/search?q=BPSC+prelims+short+notes+pdf+Drishti+IAS+BPSC+Wallah" TargetMode="External"/><Relationship Id="rId267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75" Type="http://schemas.openxmlformats.org/officeDocument/2006/relationships/hyperlink" Target="https://www.youtube.com/results?search_query=BPSC+prelims+mock+test+analysis+strategy+Drishti+IAS" TargetMode="External"/><Relationship Id="rId2676" Type="http://schemas.openxmlformats.org/officeDocument/2006/relationships/hyperlink" Target="https://www.youtube.com/results?search_query=BPSC+Wallah+BPSC+prelims+test+series+discussion" TargetMode="External"/><Relationship Id="rId2677" Type="http://schemas.openxmlformats.org/officeDocument/2006/relationships/hyperlink" Target="https://www.youtube.com/results?search_query=BPSC+Wallah+BPSC+revision+strategy" TargetMode="External"/><Relationship Id="rId2678" Type="http://schemas.openxmlformats.org/officeDocument/2006/relationships/hyperlink" Target="https://www.google.com/search?q=BPSC+prelims+short+notes+pdf+Drishti+IAS+BPSC+Wallah" TargetMode="External"/><Relationship Id="rId267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80" Type="http://schemas.openxmlformats.org/officeDocument/2006/relationships/hyperlink" Target="https://www.youtube.com/results?search_query=BPSC+prelims+mock+test+analysis+strategy+Drishti+IAS" TargetMode="External"/><Relationship Id="rId2681" Type="http://schemas.openxmlformats.org/officeDocument/2006/relationships/hyperlink" Target="https://www.youtube.com/results?search_query=BPSC+Wallah+BPSC+prelims+test+series+discussion" TargetMode="External"/><Relationship Id="rId2682" Type="http://schemas.openxmlformats.org/officeDocument/2006/relationships/hyperlink" Target="https://www.youtube.com/results?search_query=BPSC+Wallah+BPSC+revision+strategy" TargetMode="External"/><Relationship Id="rId2683" Type="http://schemas.openxmlformats.org/officeDocument/2006/relationships/hyperlink" Target="https://www.google.com/search?q=BPSC+prelims+short+notes+pdf+Drishti+IAS+BPSC+Wallah" TargetMode="External"/><Relationship Id="rId268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85" Type="http://schemas.openxmlformats.org/officeDocument/2006/relationships/hyperlink" Target="https://www.youtube.com/results?search_query=BPSC+prelims+mock+test+analysis+strategy+Drishti+IAS" TargetMode="External"/><Relationship Id="rId2686" Type="http://schemas.openxmlformats.org/officeDocument/2006/relationships/hyperlink" Target="https://www.youtube.com/results?search_query=BPSC+Wallah+BPSC+prelims+test+series+discussion" TargetMode="External"/><Relationship Id="rId2687" Type="http://schemas.openxmlformats.org/officeDocument/2006/relationships/hyperlink" Target="https://www.youtube.com/results?search_query=BPSC+Wallah+BPSC+revision+strategy" TargetMode="External"/><Relationship Id="rId2688" Type="http://schemas.openxmlformats.org/officeDocument/2006/relationships/hyperlink" Target="https://www.google.com/search?q=BPSC+prelims+short+notes+pdf+Drishti+IAS+BPSC+Wallah" TargetMode="External"/><Relationship Id="rId268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690" Type="http://schemas.openxmlformats.org/officeDocument/2006/relationships/hyperlink" Target="https://www.youtube.com/results?search_query=BPSC+prelims+mock+test+analysis+strategy+Drishti+IAS" TargetMode="External"/><Relationship Id="rId2691" Type="http://schemas.openxmlformats.org/officeDocument/2006/relationships/hyperlink" Target="https://www.youtube.com/results?search_query=BPSC+Wallah+BPSC+prelims+test+series+discussion" TargetMode="External"/><Relationship Id="rId2692" Type="http://schemas.openxmlformats.org/officeDocument/2006/relationships/hyperlink" Target="https://www.youtube.com/results?search_query=BPSC+Wallah+BPSC+revision+strategy" TargetMode="External"/><Relationship Id="rId2693" Type="http://schemas.openxmlformats.org/officeDocument/2006/relationships/hyperlink" Target="https://www.google.com/search?q=BPSC+weekly+revision+notes+pdf+Drishti+IAS+Vision+IAS" TargetMode="External"/><Relationship Id="rId2694" Type="http://schemas.openxmlformats.org/officeDocument/2006/relationships/hyperlink" Target="https://www.google.com/search?q=weekly+current+affairs+revision+%28site%3Adrishtiias.com+OR+site%3Avisionias.in+OR+site%3Apib.gov.in%29" TargetMode="External"/><Relationship Id="rId2695" Type="http://schemas.openxmlformats.org/officeDocument/2006/relationships/hyperlink" Target="https://www.youtube.com/results?search_query=BPSC+prelims+mock+test+analysis+strategy+Drishti+IAS" TargetMode="External"/><Relationship Id="rId2696" Type="http://schemas.openxmlformats.org/officeDocument/2006/relationships/hyperlink" Target="https://www.youtube.com/results?search_query=BPSC+Wallah+BPSC+prelims+test+series+discussion" TargetMode="External"/><Relationship Id="rId2697" Type="http://schemas.openxmlformats.org/officeDocument/2006/relationships/hyperlink" Target="https://www.youtube.com/results?search_query=BPSC+Wallah+BPSC+revision+strategy" TargetMode="External"/><Relationship Id="rId2698" Type="http://schemas.openxmlformats.org/officeDocument/2006/relationships/hyperlink" Target="https://www.google.com/search?q=BPSC+prelims+short+notes+pdf+Drishti+IAS+BPSC+Wallah" TargetMode="External"/><Relationship Id="rId269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00" Type="http://schemas.openxmlformats.org/officeDocument/2006/relationships/hyperlink" Target="https://www.youtube.com/results?search_query=BPSC+prelims+mock+test+analysis+strategy+Drishti+IAS" TargetMode="External"/><Relationship Id="rId2701" Type="http://schemas.openxmlformats.org/officeDocument/2006/relationships/hyperlink" Target="https://www.youtube.com/results?search_query=BPSC+Wallah+BPSC+prelims+test+series+discussion" TargetMode="External"/><Relationship Id="rId2702" Type="http://schemas.openxmlformats.org/officeDocument/2006/relationships/hyperlink" Target="https://www.youtube.com/results?search_query=BPSC+Wallah+BPSC+revision+strategy" TargetMode="External"/><Relationship Id="rId2703" Type="http://schemas.openxmlformats.org/officeDocument/2006/relationships/hyperlink" Target="https://www.google.com/search?q=BPSC+prelims+short+notes+pdf+Drishti+IAS+BPSC+Wallah" TargetMode="External"/><Relationship Id="rId270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05" Type="http://schemas.openxmlformats.org/officeDocument/2006/relationships/hyperlink" Target="https://www.youtube.com/results?search_query=BPSC+prelims+mock+test+analysis+strategy+Drishti+IAS" TargetMode="External"/><Relationship Id="rId2706" Type="http://schemas.openxmlformats.org/officeDocument/2006/relationships/hyperlink" Target="https://www.youtube.com/results?search_query=BPSC+Wallah+BPSC+prelims+test+series+discussion" TargetMode="External"/><Relationship Id="rId2707" Type="http://schemas.openxmlformats.org/officeDocument/2006/relationships/hyperlink" Target="https://www.youtube.com/results?search_query=BPSC+Wallah+BPSC+revision+strategy" TargetMode="External"/><Relationship Id="rId2708" Type="http://schemas.openxmlformats.org/officeDocument/2006/relationships/hyperlink" Target="https://www.google.com/search?q=BPSC+prelims+short+notes+pdf+Drishti+IAS+BPSC+Wallah" TargetMode="External"/><Relationship Id="rId270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10" Type="http://schemas.openxmlformats.org/officeDocument/2006/relationships/hyperlink" Target="https://www.youtube.com/results?search_query=BPSC+prelims+mock+test+analysis+strategy+Drishti+IAS" TargetMode="External"/><Relationship Id="rId2711" Type="http://schemas.openxmlformats.org/officeDocument/2006/relationships/hyperlink" Target="https://www.youtube.com/results?search_query=BPSC+Wallah+BPSC+prelims+test+series+discussion" TargetMode="External"/><Relationship Id="rId2712" Type="http://schemas.openxmlformats.org/officeDocument/2006/relationships/hyperlink" Target="https://www.youtube.com/results?search_query=BPSC+Wallah+BPSC+revision+strategy" TargetMode="External"/><Relationship Id="rId2713" Type="http://schemas.openxmlformats.org/officeDocument/2006/relationships/hyperlink" Target="https://www.google.com/search?q=BPSC+prelims+short+notes+pdf+Drishti+IAS+BPSC+Wallah" TargetMode="External"/><Relationship Id="rId271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15" Type="http://schemas.openxmlformats.org/officeDocument/2006/relationships/hyperlink" Target="https://www.youtube.com/results?search_query=BPSC+prelims+mock+test+analysis+strategy+Drishti+IAS" TargetMode="External"/><Relationship Id="rId2716" Type="http://schemas.openxmlformats.org/officeDocument/2006/relationships/hyperlink" Target="https://www.youtube.com/results?search_query=BPSC+Wallah+BPSC+prelims+test+series+discussion" TargetMode="External"/><Relationship Id="rId2717" Type="http://schemas.openxmlformats.org/officeDocument/2006/relationships/hyperlink" Target="https://www.youtube.com/results?search_query=BPSC+Wallah+BPSC+revision+strategy" TargetMode="External"/><Relationship Id="rId2718" Type="http://schemas.openxmlformats.org/officeDocument/2006/relationships/hyperlink" Target="https://www.google.com/search?q=BPSC+prelims+short+notes+pdf+Drishti+IAS+BPSC+Wallah" TargetMode="External"/><Relationship Id="rId271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20" Type="http://schemas.openxmlformats.org/officeDocument/2006/relationships/hyperlink" Target="https://www.youtube.com/results?search_query=BPSC+prelims+mock+test+analysis+strategy+Drishti+IAS" TargetMode="External"/><Relationship Id="rId2721" Type="http://schemas.openxmlformats.org/officeDocument/2006/relationships/hyperlink" Target="https://www.youtube.com/results?search_query=BPSC+Wallah+BPSC+prelims+test+series+discussion" TargetMode="External"/><Relationship Id="rId2722" Type="http://schemas.openxmlformats.org/officeDocument/2006/relationships/hyperlink" Target="https://www.youtube.com/results?search_query=BPSC+Wallah+BPSC+revision+strategy" TargetMode="External"/><Relationship Id="rId2723" Type="http://schemas.openxmlformats.org/officeDocument/2006/relationships/hyperlink" Target="https://www.google.com/search?q=BPSC+prelims+short+notes+pdf+Drishti+IAS+BPSC+Wallah" TargetMode="External"/><Relationship Id="rId272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25" Type="http://schemas.openxmlformats.org/officeDocument/2006/relationships/hyperlink" Target="https://www.youtube.com/results?search_query=BPSC+prelims+mock+test+analysis+strategy+Drishti+IAS" TargetMode="External"/><Relationship Id="rId2726" Type="http://schemas.openxmlformats.org/officeDocument/2006/relationships/hyperlink" Target="https://www.youtube.com/results?search_query=BPSC+Wallah+BPSC+prelims+test+series+discussion" TargetMode="External"/><Relationship Id="rId2727" Type="http://schemas.openxmlformats.org/officeDocument/2006/relationships/hyperlink" Target="https://www.youtube.com/results?search_query=BPSC+Wallah+BPSC+revision+strategy" TargetMode="External"/><Relationship Id="rId2728" Type="http://schemas.openxmlformats.org/officeDocument/2006/relationships/hyperlink" Target="https://www.google.com/search?q=BPSC+weekly+revision+notes+pdf+Drishti+IAS+Vision+IAS" TargetMode="External"/><Relationship Id="rId2729" Type="http://schemas.openxmlformats.org/officeDocument/2006/relationships/hyperlink" Target="https://www.google.com/search?q=weekly+current+affairs+revision+%28site%3Adrishtiias.com+OR+site%3Avisionias.in+OR+site%3Apib.gov.in%29" TargetMode="External"/><Relationship Id="rId2730" Type="http://schemas.openxmlformats.org/officeDocument/2006/relationships/hyperlink" Target="https://www.youtube.com/results?search_query=BPSC+prelims+mock+test+analysis+strategy+Drishti+IAS" TargetMode="External"/><Relationship Id="rId2731" Type="http://schemas.openxmlformats.org/officeDocument/2006/relationships/hyperlink" Target="https://www.youtube.com/results?search_query=BPSC+Wallah+BPSC+prelims+test+series+discussion" TargetMode="External"/><Relationship Id="rId2732" Type="http://schemas.openxmlformats.org/officeDocument/2006/relationships/hyperlink" Target="https://www.youtube.com/results?search_query=BPSC+Wallah+BPSC+revision+strategy" TargetMode="External"/><Relationship Id="rId2733" Type="http://schemas.openxmlformats.org/officeDocument/2006/relationships/hyperlink" Target="https://www.google.com/search?q=BPSC+prelims+short+notes+pdf+Drishti+IAS+BPSC+Wallah" TargetMode="External"/><Relationship Id="rId273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35" Type="http://schemas.openxmlformats.org/officeDocument/2006/relationships/hyperlink" Target="https://www.youtube.com/results?search_query=BPSC+prelims+mock+test+analysis+strategy+Drishti+IAS" TargetMode="External"/><Relationship Id="rId2736" Type="http://schemas.openxmlformats.org/officeDocument/2006/relationships/hyperlink" Target="https://www.youtube.com/results?search_query=BPSC+Wallah+BPSC+prelims+test+series+discussion" TargetMode="External"/><Relationship Id="rId2737" Type="http://schemas.openxmlformats.org/officeDocument/2006/relationships/hyperlink" Target="https://www.youtube.com/results?search_query=BPSC+Wallah+BPSC+revision+strategy" TargetMode="External"/><Relationship Id="rId2738" Type="http://schemas.openxmlformats.org/officeDocument/2006/relationships/hyperlink" Target="https://www.google.com/search?q=BPSC+prelims+short+notes+pdf+Drishti+IAS+BPSC+Wallah" TargetMode="External"/><Relationship Id="rId273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40" Type="http://schemas.openxmlformats.org/officeDocument/2006/relationships/hyperlink" Target="https://www.youtube.com/results?search_query=BPSC+prelims+mock+test+analysis+strategy+Drishti+IAS" TargetMode="External"/><Relationship Id="rId2741" Type="http://schemas.openxmlformats.org/officeDocument/2006/relationships/hyperlink" Target="https://www.youtube.com/results?search_query=BPSC+Wallah+BPSC+prelims+test+series+discussion" TargetMode="External"/><Relationship Id="rId2742" Type="http://schemas.openxmlformats.org/officeDocument/2006/relationships/hyperlink" Target="https://www.youtube.com/results?search_query=BPSC+Wallah+BPSC+revision+strategy" TargetMode="External"/><Relationship Id="rId2743" Type="http://schemas.openxmlformats.org/officeDocument/2006/relationships/hyperlink" Target="https://www.google.com/search?q=BPSC+prelims+short+notes+pdf+Drishti+IAS+BPSC+Wallah" TargetMode="External"/><Relationship Id="rId274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45" Type="http://schemas.openxmlformats.org/officeDocument/2006/relationships/hyperlink" Target="https://www.youtube.com/results?search_query=BPSC+prelims+mock+test+analysis+strategy+Drishti+IAS" TargetMode="External"/><Relationship Id="rId2746" Type="http://schemas.openxmlformats.org/officeDocument/2006/relationships/hyperlink" Target="https://www.youtube.com/results?search_query=BPSC+Wallah+BPSC+prelims+test+series+discussion" TargetMode="External"/><Relationship Id="rId2747" Type="http://schemas.openxmlformats.org/officeDocument/2006/relationships/hyperlink" Target="https://www.youtube.com/results?search_query=BPSC+Wallah+BPSC+revision+strategy" TargetMode="External"/><Relationship Id="rId2748" Type="http://schemas.openxmlformats.org/officeDocument/2006/relationships/hyperlink" Target="https://www.google.com/search?q=BPSC+prelims+short+notes+pdf+Drishti+IAS+BPSC+Wallah" TargetMode="External"/><Relationship Id="rId274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50" Type="http://schemas.openxmlformats.org/officeDocument/2006/relationships/hyperlink" Target="https://www.youtube.com/results?search_query=BPSC+prelims+mock+test+analysis+strategy+Drishti+IAS" TargetMode="External"/><Relationship Id="rId2751" Type="http://schemas.openxmlformats.org/officeDocument/2006/relationships/hyperlink" Target="https://www.youtube.com/results?search_query=BPSC+Wallah+BPSC+prelims+test+series+discussion" TargetMode="External"/><Relationship Id="rId2752" Type="http://schemas.openxmlformats.org/officeDocument/2006/relationships/hyperlink" Target="https://www.youtube.com/results?search_query=BPSC+Wallah+BPSC+revision+strategy" TargetMode="External"/><Relationship Id="rId2753" Type="http://schemas.openxmlformats.org/officeDocument/2006/relationships/hyperlink" Target="https://www.google.com/search?q=BPSC+prelims+short+notes+pdf+Drishti+IAS+BPSC+Wallah" TargetMode="External"/><Relationship Id="rId275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55" Type="http://schemas.openxmlformats.org/officeDocument/2006/relationships/hyperlink" Target="https://www.youtube.com/results?search_query=BPSC+prelims+mock+test+analysis+strategy+Drishti+IAS" TargetMode="External"/><Relationship Id="rId2756" Type="http://schemas.openxmlformats.org/officeDocument/2006/relationships/hyperlink" Target="https://www.youtube.com/results?search_query=BPSC+Wallah+BPSC+prelims+test+series+discussion" TargetMode="External"/><Relationship Id="rId2757" Type="http://schemas.openxmlformats.org/officeDocument/2006/relationships/hyperlink" Target="https://www.youtube.com/results?search_query=BPSC+Wallah+BPSC+revision+strategy" TargetMode="External"/><Relationship Id="rId2758" Type="http://schemas.openxmlformats.org/officeDocument/2006/relationships/hyperlink" Target="https://www.google.com/search?q=BPSC+prelims+short+notes+pdf+Drishti+IAS+BPSC+Wallah" TargetMode="External"/><Relationship Id="rId275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60" Type="http://schemas.openxmlformats.org/officeDocument/2006/relationships/hyperlink" Target="https://www.youtube.com/results?search_query=BPSC+prelims+mock+test+analysis+strategy+Drishti+IAS" TargetMode="External"/><Relationship Id="rId2761" Type="http://schemas.openxmlformats.org/officeDocument/2006/relationships/hyperlink" Target="https://www.youtube.com/results?search_query=BPSC+Wallah+BPSC+prelims+test+series+discussion" TargetMode="External"/><Relationship Id="rId2762" Type="http://schemas.openxmlformats.org/officeDocument/2006/relationships/hyperlink" Target="https://www.youtube.com/results?search_query=BPSC+Wallah+BPSC+revision+strategy" TargetMode="External"/><Relationship Id="rId2763" Type="http://schemas.openxmlformats.org/officeDocument/2006/relationships/hyperlink" Target="https://www.google.com/search?q=BPSC+weekly+revision+notes+pdf+Drishti+IAS+Vision+IAS" TargetMode="External"/><Relationship Id="rId2764" Type="http://schemas.openxmlformats.org/officeDocument/2006/relationships/hyperlink" Target="https://www.google.com/search?q=weekly+current+affairs+revision+%28site%3Adrishtiias.com+OR+site%3Avisionias.in+OR+site%3Apib.gov.in%29" TargetMode="External"/><Relationship Id="rId2765" Type="http://schemas.openxmlformats.org/officeDocument/2006/relationships/hyperlink" Target="https://www.youtube.com/results?search_query=BPSC+prelims+mock+test+analysis+strategy+Drishti+IAS" TargetMode="External"/><Relationship Id="rId2766" Type="http://schemas.openxmlformats.org/officeDocument/2006/relationships/hyperlink" Target="https://www.youtube.com/results?search_query=BPSC+Wallah+BPSC+prelims+test+series+discussion" TargetMode="External"/><Relationship Id="rId2767" Type="http://schemas.openxmlformats.org/officeDocument/2006/relationships/hyperlink" Target="https://www.youtube.com/results?search_query=BPSC+Wallah+BPSC+revision+strategy" TargetMode="External"/><Relationship Id="rId2768" Type="http://schemas.openxmlformats.org/officeDocument/2006/relationships/hyperlink" Target="https://www.google.com/search?q=BPSC+prelims+short+notes+pdf+Drishti+IAS+BPSC+Wallah" TargetMode="External"/><Relationship Id="rId276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70" Type="http://schemas.openxmlformats.org/officeDocument/2006/relationships/hyperlink" Target="https://www.youtube.com/results?search_query=BPSC+prelims+mock+test+analysis+strategy+Drishti+IAS" TargetMode="External"/><Relationship Id="rId2771" Type="http://schemas.openxmlformats.org/officeDocument/2006/relationships/hyperlink" Target="https://www.youtube.com/results?search_query=BPSC+Wallah+BPSC+prelims+test+series+discussion" TargetMode="External"/><Relationship Id="rId2772" Type="http://schemas.openxmlformats.org/officeDocument/2006/relationships/hyperlink" Target="https://www.youtube.com/results?search_query=BPSC+Wallah+BPSC+revision+strategy" TargetMode="External"/><Relationship Id="rId2773" Type="http://schemas.openxmlformats.org/officeDocument/2006/relationships/hyperlink" Target="https://www.google.com/search?q=BPSC+prelims+short+notes+pdf+Drishti+IAS+BPSC+Wallah" TargetMode="External"/><Relationship Id="rId277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75" Type="http://schemas.openxmlformats.org/officeDocument/2006/relationships/hyperlink" Target="https://www.youtube.com/results?search_query=BPSC+prelims+mock+test+analysis+strategy+Drishti+IAS" TargetMode="External"/><Relationship Id="rId2776" Type="http://schemas.openxmlformats.org/officeDocument/2006/relationships/hyperlink" Target="https://www.youtube.com/results?search_query=BPSC+Wallah+BPSC+prelims+test+series+discussion" TargetMode="External"/><Relationship Id="rId2777" Type="http://schemas.openxmlformats.org/officeDocument/2006/relationships/hyperlink" Target="https://www.youtube.com/results?search_query=BPSC+Wallah+BPSC+revision+strategy" TargetMode="External"/><Relationship Id="rId2778" Type="http://schemas.openxmlformats.org/officeDocument/2006/relationships/hyperlink" Target="https://www.google.com/search?q=BPSC+prelims+short+notes+pdf+Drishti+IAS+BPSC+Wallah" TargetMode="External"/><Relationship Id="rId277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80" Type="http://schemas.openxmlformats.org/officeDocument/2006/relationships/hyperlink" Target="https://www.youtube.com/results?search_query=BPSC+prelims+mock+test+analysis+strategy+Drishti+IAS" TargetMode="External"/><Relationship Id="rId2781" Type="http://schemas.openxmlformats.org/officeDocument/2006/relationships/hyperlink" Target="https://www.youtube.com/results?search_query=BPSC+Wallah+BPSC+prelims+test+series+discussion" TargetMode="External"/><Relationship Id="rId2782" Type="http://schemas.openxmlformats.org/officeDocument/2006/relationships/hyperlink" Target="https://www.youtube.com/results?search_query=BPSC+Wallah+BPSC+revision+strategy" TargetMode="External"/><Relationship Id="rId2783" Type="http://schemas.openxmlformats.org/officeDocument/2006/relationships/hyperlink" Target="https://www.google.com/search?q=BPSC+prelims+short+notes+pdf+Drishti+IAS+BPSC+Wallah" TargetMode="External"/><Relationship Id="rId278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85" Type="http://schemas.openxmlformats.org/officeDocument/2006/relationships/hyperlink" Target="https://www.youtube.com/results?search_query=BPSC+prelims+mock+test+analysis+strategy+Drishti+IAS" TargetMode="External"/><Relationship Id="rId2786" Type="http://schemas.openxmlformats.org/officeDocument/2006/relationships/hyperlink" Target="https://www.youtube.com/results?search_query=BPSC+Wallah+BPSC+prelims+test+series+discussion" TargetMode="External"/><Relationship Id="rId2787" Type="http://schemas.openxmlformats.org/officeDocument/2006/relationships/hyperlink" Target="https://www.youtube.com/results?search_query=BPSC+Wallah+BPSC+revision+strategy" TargetMode="External"/><Relationship Id="rId2788" Type="http://schemas.openxmlformats.org/officeDocument/2006/relationships/hyperlink" Target="https://www.google.com/search?q=BPSC+prelims+short+notes+pdf+Drishti+IAS+BPSC+Wallah" TargetMode="External"/><Relationship Id="rId278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90" Type="http://schemas.openxmlformats.org/officeDocument/2006/relationships/hyperlink" Target="https://www.youtube.com/results?search_query=BPSC+prelims+mock+test+analysis+strategy+Drishti+IAS" TargetMode="External"/><Relationship Id="rId2791" Type="http://schemas.openxmlformats.org/officeDocument/2006/relationships/hyperlink" Target="https://www.youtube.com/results?search_query=BPSC+Wallah+BPSC+prelims+test+series+discussion" TargetMode="External"/><Relationship Id="rId2792" Type="http://schemas.openxmlformats.org/officeDocument/2006/relationships/hyperlink" Target="https://www.youtube.com/results?search_query=BPSC+Wallah+BPSC+revision+strategy" TargetMode="External"/><Relationship Id="rId2793" Type="http://schemas.openxmlformats.org/officeDocument/2006/relationships/hyperlink" Target="https://www.google.com/search?q=BPSC+prelims+short+notes+pdf+Drishti+IAS+BPSC+Wallah" TargetMode="External"/><Relationship Id="rId279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795" Type="http://schemas.openxmlformats.org/officeDocument/2006/relationships/hyperlink" Target="https://www.youtube.com/results?search_query=BPSC+prelims+mock+test+analysis+strategy+Drishti+IAS" TargetMode="External"/><Relationship Id="rId2796" Type="http://schemas.openxmlformats.org/officeDocument/2006/relationships/hyperlink" Target="https://www.youtube.com/results?search_query=BPSC+Wallah+BPSC+prelims+test+series+discussion" TargetMode="External"/><Relationship Id="rId2797" Type="http://schemas.openxmlformats.org/officeDocument/2006/relationships/hyperlink" Target="https://www.youtube.com/results?search_query=BPSC+Wallah+BPSC+revision+strategy" TargetMode="External"/><Relationship Id="rId2798" Type="http://schemas.openxmlformats.org/officeDocument/2006/relationships/hyperlink" Target="https://www.google.com/search?q=BPSC+weekly+revision+notes+pdf+Drishti+IAS+Vision+IAS" TargetMode="External"/><Relationship Id="rId2799" Type="http://schemas.openxmlformats.org/officeDocument/2006/relationships/hyperlink" Target="https://www.google.com/search?q=weekly+current+affairs+revision+%28site%3Adrishtiias.com+OR+site%3Avisionias.in+OR+site%3Apib.gov.in%29" TargetMode="External"/><Relationship Id="rId2800" Type="http://schemas.openxmlformats.org/officeDocument/2006/relationships/hyperlink" Target="https://www.youtube.com/results?search_query=BPSC+prelims+mock+test+analysis+strategy+Drishti+IAS" TargetMode="External"/><Relationship Id="rId2801" Type="http://schemas.openxmlformats.org/officeDocument/2006/relationships/hyperlink" Target="https://www.youtube.com/results?search_query=BPSC+Wallah+BPSC+prelims+test+series+discussion" TargetMode="External"/><Relationship Id="rId2802" Type="http://schemas.openxmlformats.org/officeDocument/2006/relationships/hyperlink" Target="https://www.youtube.com/results?search_query=BPSC+Wallah+BPSC+revision+strategy" TargetMode="External"/><Relationship Id="rId2803" Type="http://schemas.openxmlformats.org/officeDocument/2006/relationships/hyperlink" Target="https://www.google.com/search?q=BPSC+prelims+short+notes+pdf+Drishti+IAS+BPSC+Wallah" TargetMode="External"/><Relationship Id="rId280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05" Type="http://schemas.openxmlformats.org/officeDocument/2006/relationships/hyperlink" Target="https://www.youtube.com/results?search_query=BPSC+prelims+mock+test+analysis+strategy+Drishti+IAS" TargetMode="External"/><Relationship Id="rId2806" Type="http://schemas.openxmlformats.org/officeDocument/2006/relationships/hyperlink" Target="https://www.youtube.com/results?search_query=BPSC+Wallah+BPSC+prelims+test+series+discussion" TargetMode="External"/><Relationship Id="rId2807" Type="http://schemas.openxmlformats.org/officeDocument/2006/relationships/hyperlink" Target="https://www.youtube.com/results?search_query=BPSC+Wallah+BPSC+revision+strategy" TargetMode="External"/><Relationship Id="rId2808" Type="http://schemas.openxmlformats.org/officeDocument/2006/relationships/hyperlink" Target="https://www.google.com/search?q=BPSC+prelims+short+notes+pdf+Drishti+IAS+BPSC+Wallah" TargetMode="External"/><Relationship Id="rId280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10" Type="http://schemas.openxmlformats.org/officeDocument/2006/relationships/hyperlink" Target="https://www.youtube.com/results?search_query=BPSC+prelims+mock+test+analysis+strategy+Drishti+IAS" TargetMode="External"/><Relationship Id="rId2811" Type="http://schemas.openxmlformats.org/officeDocument/2006/relationships/hyperlink" Target="https://www.youtube.com/results?search_query=BPSC+Wallah+BPSC+prelims+test+series+discussion" TargetMode="External"/><Relationship Id="rId2812" Type="http://schemas.openxmlformats.org/officeDocument/2006/relationships/hyperlink" Target="https://www.youtube.com/results?search_query=BPSC+Wallah+BPSC+revision+strategy" TargetMode="External"/><Relationship Id="rId2813" Type="http://schemas.openxmlformats.org/officeDocument/2006/relationships/hyperlink" Target="https://www.google.com/search?q=BPSC+prelims+short+notes+pdf+Drishti+IAS+BPSC+Wallah" TargetMode="External"/><Relationship Id="rId281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15" Type="http://schemas.openxmlformats.org/officeDocument/2006/relationships/hyperlink" Target="https://www.youtube.com/results?search_query=BPSC+prelims+mock+test+analysis+strategy+Drishti+IAS" TargetMode="External"/><Relationship Id="rId2816" Type="http://schemas.openxmlformats.org/officeDocument/2006/relationships/hyperlink" Target="https://www.youtube.com/results?search_query=BPSC+Wallah+BPSC+prelims+test+series+discussion" TargetMode="External"/><Relationship Id="rId2817" Type="http://schemas.openxmlformats.org/officeDocument/2006/relationships/hyperlink" Target="https://www.youtube.com/results?search_query=BPSC+Wallah+BPSC+revision+strategy" TargetMode="External"/><Relationship Id="rId2818" Type="http://schemas.openxmlformats.org/officeDocument/2006/relationships/hyperlink" Target="https://www.google.com/search?q=BPSC+prelims+short+notes+pdf+Drishti+IAS+BPSC+Wallah" TargetMode="External"/><Relationship Id="rId281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20" Type="http://schemas.openxmlformats.org/officeDocument/2006/relationships/hyperlink" Target="https://www.youtube.com/results?search_query=BPSC+prelims+mock+test+analysis+strategy+Drishti+IAS" TargetMode="External"/><Relationship Id="rId2821" Type="http://schemas.openxmlformats.org/officeDocument/2006/relationships/hyperlink" Target="https://www.youtube.com/results?search_query=BPSC+Wallah+BPSC+prelims+test+series+discussion" TargetMode="External"/><Relationship Id="rId2822" Type="http://schemas.openxmlformats.org/officeDocument/2006/relationships/hyperlink" Target="https://www.youtube.com/results?search_query=BPSC+Wallah+BPSC+revision+strategy" TargetMode="External"/><Relationship Id="rId2823" Type="http://schemas.openxmlformats.org/officeDocument/2006/relationships/hyperlink" Target="https://www.google.com/search?q=BPSC+prelims+short+notes+pdf+Drishti+IAS+BPSC+Wallah" TargetMode="External"/><Relationship Id="rId282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25" Type="http://schemas.openxmlformats.org/officeDocument/2006/relationships/hyperlink" Target="https://www.youtube.com/results?search_query=BPSC+prelims+mock+test+analysis+strategy+Drishti+IAS" TargetMode="External"/><Relationship Id="rId2826" Type="http://schemas.openxmlformats.org/officeDocument/2006/relationships/hyperlink" Target="https://www.youtube.com/results?search_query=BPSC+Wallah+BPSC+prelims+test+series+discussion" TargetMode="External"/><Relationship Id="rId2827" Type="http://schemas.openxmlformats.org/officeDocument/2006/relationships/hyperlink" Target="https://www.youtube.com/results?search_query=BPSC+Wallah+BPSC+revision+strategy" TargetMode="External"/><Relationship Id="rId2828" Type="http://schemas.openxmlformats.org/officeDocument/2006/relationships/hyperlink" Target="https://www.google.com/search?q=BPSC+prelims+short+notes+pdf+Drishti+IAS+BPSC+Wallah" TargetMode="External"/><Relationship Id="rId282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30" Type="http://schemas.openxmlformats.org/officeDocument/2006/relationships/hyperlink" Target="https://www.youtube.com/results?search_query=BPSC+prelims+mock+test+analysis+strategy+Drishti+IAS" TargetMode="External"/><Relationship Id="rId2831" Type="http://schemas.openxmlformats.org/officeDocument/2006/relationships/hyperlink" Target="https://www.youtube.com/results?search_query=BPSC+Wallah+BPSC+prelims+test+series+discussion" TargetMode="External"/><Relationship Id="rId2832" Type="http://schemas.openxmlformats.org/officeDocument/2006/relationships/hyperlink" Target="https://www.youtube.com/results?search_query=BPSC+Wallah+BPSC+revision+strategy" TargetMode="External"/><Relationship Id="rId2833" Type="http://schemas.openxmlformats.org/officeDocument/2006/relationships/hyperlink" Target="https://www.google.com/search?q=BPSC+weekly+revision+notes+pdf+Drishti+IAS+Vision+IAS" TargetMode="External"/><Relationship Id="rId2834" Type="http://schemas.openxmlformats.org/officeDocument/2006/relationships/hyperlink" Target="https://www.google.com/search?q=weekly+current+affairs+revision+%28site%3Adrishtiias.com+OR+site%3Avisionias.in+OR+site%3Apib.gov.in%29" TargetMode="External"/><Relationship Id="rId2835" Type="http://schemas.openxmlformats.org/officeDocument/2006/relationships/hyperlink" Target="https://www.youtube.com/results?search_query=BPSC+prelims+mock+test+analysis+strategy+Drishti+IAS" TargetMode="External"/><Relationship Id="rId2836" Type="http://schemas.openxmlformats.org/officeDocument/2006/relationships/hyperlink" Target="https://www.youtube.com/results?search_query=BPSC+Wallah+BPSC+prelims+test+series+discussion" TargetMode="External"/><Relationship Id="rId2837" Type="http://schemas.openxmlformats.org/officeDocument/2006/relationships/hyperlink" Target="https://www.youtube.com/results?search_query=BPSC+Wallah+BPSC+revision+strategy" TargetMode="External"/><Relationship Id="rId2838" Type="http://schemas.openxmlformats.org/officeDocument/2006/relationships/hyperlink" Target="https://www.google.com/search?q=BPSC+prelims+short+notes+pdf+Drishti+IAS+BPSC+Wallah" TargetMode="External"/><Relationship Id="rId283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40" Type="http://schemas.openxmlformats.org/officeDocument/2006/relationships/hyperlink" Target="https://www.youtube.com/results?search_query=BPSC+prelims+mock+test+analysis+strategy+Drishti+IAS" TargetMode="External"/><Relationship Id="rId2841" Type="http://schemas.openxmlformats.org/officeDocument/2006/relationships/hyperlink" Target="https://www.youtube.com/results?search_query=BPSC+Wallah+BPSC+prelims+test+series+discussion" TargetMode="External"/><Relationship Id="rId2842" Type="http://schemas.openxmlformats.org/officeDocument/2006/relationships/hyperlink" Target="https://www.youtube.com/results?search_query=BPSC+Wallah+BPSC+revision+strategy" TargetMode="External"/><Relationship Id="rId2843" Type="http://schemas.openxmlformats.org/officeDocument/2006/relationships/hyperlink" Target="https://www.google.com/search?q=BPSC+prelims+short+notes+pdf+Drishti+IAS+BPSC+Wallah" TargetMode="External"/><Relationship Id="rId284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45" Type="http://schemas.openxmlformats.org/officeDocument/2006/relationships/hyperlink" Target="https://www.youtube.com/results?search_query=BPSC+prelims+mock+test+analysis+strategy+Drishti+IAS" TargetMode="External"/><Relationship Id="rId2846" Type="http://schemas.openxmlformats.org/officeDocument/2006/relationships/hyperlink" Target="https://www.youtube.com/results?search_query=BPSC+Wallah+BPSC+prelims+test+series+discussion" TargetMode="External"/><Relationship Id="rId2847" Type="http://schemas.openxmlformats.org/officeDocument/2006/relationships/hyperlink" Target="https://www.youtube.com/results?search_query=BPSC+Wallah+BPSC+revision+strategy" TargetMode="External"/><Relationship Id="rId2848" Type="http://schemas.openxmlformats.org/officeDocument/2006/relationships/hyperlink" Target="https://www.google.com/search?q=BPSC+prelims+short+notes+pdf+Drishti+IAS+BPSC+Wallah" TargetMode="External"/><Relationship Id="rId284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50" Type="http://schemas.openxmlformats.org/officeDocument/2006/relationships/hyperlink" Target="https://www.youtube.com/results?search_query=BPSC+prelims+mock+test+analysis+strategy+Drishti+IAS" TargetMode="External"/><Relationship Id="rId2851" Type="http://schemas.openxmlformats.org/officeDocument/2006/relationships/hyperlink" Target="https://www.youtube.com/results?search_query=BPSC+Wallah+BPSC+prelims+test+series+discussion" TargetMode="External"/><Relationship Id="rId2852" Type="http://schemas.openxmlformats.org/officeDocument/2006/relationships/hyperlink" Target="https://www.youtube.com/results?search_query=BPSC+Wallah+BPSC+revision+strategy" TargetMode="External"/><Relationship Id="rId2853" Type="http://schemas.openxmlformats.org/officeDocument/2006/relationships/hyperlink" Target="https://www.google.com/search?q=BPSC+prelims+short+notes+pdf+Drishti+IAS+BPSC+Wallah" TargetMode="External"/><Relationship Id="rId285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55" Type="http://schemas.openxmlformats.org/officeDocument/2006/relationships/hyperlink" Target="https://www.youtube.com/results?search_query=BPSC+prelims+mock+test+analysis+strategy+Drishti+IAS" TargetMode="External"/><Relationship Id="rId2856" Type="http://schemas.openxmlformats.org/officeDocument/2006/relationships/hyperlink" Target="https://www.youtube.com/results?search_query=BPSC+Wallah+BPSC+prelims+test+series+discussion" TargetMode="External"/><Relationship Id="rId2857" Type="http://schemas.openxmlformats.org/officeDocument/2006/relationships/hyperlink" Target="https://www.youtube.com/results?search_query=BPSC+Wallah+BPSC+revision+strategy" TargetMode="External"/><Relationship Id="rId2858" Type="http://schemas.openxmlformats.org/officeDocument/2006/relationships/hyperlink" Target="https://www.google.com/search?q=BPSC+prelims+short+notes+pdf+Drishti+IAS+BPSC+Wallah" TargetMode="External"/><Relationship Id="rId285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60" Type="http://schemas.openxmlformats.org/officeDocument/2006/relationships/hyperlink" Target="https://www.youtube.com/results?search_query=BPSC+prelims+mock+test+analysis+strategy+Drishti+IAS" TargetMode="External"/><Relationship Id="rId2861" Type="http://schemas.openxmlformats.org/officeDocument/2006/relationships/hyperlink" Target="https://www.youtube.com/results?search_query=BPSC+Wallah+BPSC+prelims+test+series+discussion" TargetMode="External"/><Relationship Id="rId2862" Type="http://schemas.openxmlformats.org/officeDocument/2006/relationships/hyperlink" Target="https://www.youtube.com/results?search_query=BPSC+Wallah+BPSC+revision+strategy" TargetMode="External"/><Relationship Id="rId2863" Type="http://schemas.openxmlformats.org/officeDocument/2006/relationships/hyperlink" Target="https://www.google.com/search?q=BPSC+prelims+short+notes+pdf+Drishti+IAS+BPSC+Wallah" TargetMode="External"/><Relationship Id="rId286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65" Type="http://schemas.openxmlformats.org/officeDocument/2006/relationships/hyperlink" Target="https://www.youtube.com/results?search_query=BPSC+prelims+mock+test+analysis+strategy+Drishti+IAS" TargetMode="External"/><Relationship Id="rId2866" Type="http://schemas.openxmlformats.org/officeDocument/2006/relationships/hyperlink" Target="https://www.youtube.com/results?search_query=BPSC+Wallah+BPSC+prelims+test+series+discussion" TargetMode="External"/><Relationship Id="rId2867" Type="http://schemas.openxmlformats.org/officeDocument/2006/relationships/hyperlink" Target="https://www.youtube.com/results?search_query=BPSC+Wallah+BPSC+revision+strategy" TargetMode="External"/><Relationship Id="rId2868" Type="http://schemas.openxmlformats.org/officeDocument/2006/relationships/hyperlink" Target="https://www.google.com/search?q=BPSC+weekly+revision+notes+pdf+Drishti+IAS+Vision+IAS" TargetMode="External"/><Relationship Id="rId2869" Type="http://schemas.openxmlformats.org/officeDocument/2006/relationships/hyperlink" Target="https://www.google.com/search?q=weekly+current+affairs+revision+%28site%3Adrishtiias.com+OR+site%3Avisionias.in+OR+site%3Apib.gov.in%29" TargetMode="External"/><Relationship Id="rId2870" Type="http://schemas.openxmlformats.org/officeDocument/2006/relationships/hyperlink" Target="https://www.youtube.com/results?search_query=BPSC+prelims+mock+test+analysis+strategy+Drishti+IAS" TargetMode="External"/><Relationship Id="rId2871" Type="http://schemas.openxmlformats.org/officeDocument/2006/relationships/hyperlink" Target="https://www.youtube.com/results?search_query=BPSC+Wallah+BPSC+prelims+test+series+discussion" TargetMode="External"/><Relationship Id="rId2872" Type="http://schemas.openxmlformats.org/officeDocument/2006/relationships/hyperlink" Target="https://www.youtube.com/results?search_query=BPSC+Wallah+BPSC+revision+strategy" TargetMode="External"/><Relationship Id="rId2873" Type="http://schemas.openxmlformats.org/officeDocument/2006/relationships/hyperlink" Target="https://www.google.com/search?q=BPSC+prelims+short+notes+pdf+Drishti+IAS+BPSC+Wallah" TargetMode="External"/><Relationship Id="rId287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75" Type="http://schemas.openxmlformats.org/officeDocument/2006/relationships/hyperlink" Target="https://www.youtube.com/results?search_query=BPSC+prelims+mock+test+analysis+strategy+Drishti+IAS" TargetMode="External"/><Relationship Id="rId2876" Type="http://schemas.openxmlformats.org/officeDocument/2006/relationships/hyperlink" Target="https://www.youtube.com/results?search_query=BPSC+Wallah+BPSC+prelims+test+series+discussion" TargetMode="External"/><Relationship Id="rId2877" Type="http://schemas.openxmlformats.org/officeDocument/2006/relationships/hyperlink" Target="https://www.youtube.com/results?search_query=BPSC+Wallah+BPSC+revision+strategy" TargetMode="External"/><Relationship Id="rId2878" Type="http://schemas.openxmlformats.org/officeDocument/2006/relationships/hyperlink" Target="https://www.google.com/search?q=BPSC+prelims+short+notes+pdf+Drishti+IAS+BPSC+Wallah" TargetMode="External"/><Relationship Id="rId287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80" Type="http://schemas.openxmlformats.org/officeDocument/2006/relationships/hyperlink" Target="https://www.youtube.com/results?search_query=BPSC+prelims+mock+test+analysis+strategy+Drishti+IAS" TargetMode="External"/><Relationship Id="rId2881" Type="http://schemas.openxmlformats.org/officeDocument/2006/relationships/hyperlink" Target="https://www.youtube.com/results?search_query=BPSC+Wallah+BPSC+prelims+test+series+discussion" TargetMode="External"/><Relationship Id="rId2882" Type="http://schemas.openxmlformats.org/officeDocument/2006/relationships/hyperlink" Target="https://www.youtube.com/results?search_query=BPSC+Wallah+BPSC+revision+strategy" TargetMode="External"/><Relationship Id="rId2883" Type="http://schemas.openxmlformats.org/officeDocument/2006/relationships/hyperlink" Target="https://www.google.com/search?q=BPSC+prelims+short+notes+pdf+Drishti+IAS+BPSC+Wallah" TargetMode="External"/><Relationship Id="rId288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85" Type="http://schemas.openxmlformats.org/officeDocument/2006/relationships/hyperlink" Target="https://www.youtube.com/results?search_query=BPSC+prelims+mock+test+analysis+strategy+Drishti+IAS" TargetMode="External"/><Relationship Id="rId2886" Type="http://schemas.openxmlformats.org/officeDocument/2006/relationships/hyperlink" Target="https://www.youtube.com/results?search_query=BPSC+Wallah+BPSC+prelims+test+series+discussion" TargetMode="External"/><Relationship Id="rId2887" Type="http://schemas.openxmlformats.org/officeDocument/2006/relationships/hyperlink" Target="https://www.youtube.com/results?search_query=BPSC+Wallah+BPSC+revision+strategy" TargetMode="External"/><Relationship Id="rId2888" Type="http://schemas.openxmlformats.org/officeDocument/2006/relationships/hyperlink" Target="https://www.google.com/search?q=BPSC+prelims+short+notes+pdf+Drishti+IAS+BPSC+Wallah" TargetMode="External"/><Relationship Id="rId288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90" Type="http://schemas.openxmlformats.org/officeDocument/2006/relationships/hyperlink" Target="https://www.youtube.com/results?search_query=BPSC+prelims+mock+test+analysis+strategy+Drishti+IAS" TargetMode="External"/><Relationship Id="rId2891" Type="http://schemas.openxmlformats.org/officeDocument/2006/relationships/hyperlink" Target="https://www.youtube.com/results?search_query=BPSC+Wallah+BPSC+prelims+test+series+discussion" TargetMode="External"/><Relationship Id="rId2892" Type="http://schemas.openxmlformats.org/officeDocument/2006/relationships/hyperlink" Target="https://www.youtube.com/results?search_query=BPSC+Wallah+BPSC+revision+strategy" TargetMode="External"/><Relationship Id="rId2893" Type="http://schemas.openxmlformats.org/officeDocument/2006/relationships/hyperlink" Target="https://www.google.com/search?q=BPSC+prelims+short+notes+pdf+Drishti+IAS+BPSC+Wallah" TargetMode="External"/><Relationship Id="rId289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895" Type="http://schemas.openxmlformats.org/officeDocument/2006/relationships/hyperlink" Target="https://www.youtube.com/results?search_query=BPSC+prelims+mock+test+analysis+strategy+Drishti+IAS" TargetMode="External"/><Relationship Id="rId2896" Type="http://schemas.openxmlformats.org/officeDocument/2006/relationships/hyperlink" Target="https://www.youtube.com/results?search_query=BPSC+Wallah+BPSC+prelims+test+series+discussion" TargetMode="External"/><Relationship Id="rId2897" Type="http://schemas.openxmlformats.org/officeDocument/2006/relationships/hyperlink" Target="https://www.youtube.com/results?search_query=BPSC+Wallah+BPSC+revision+strategy" TargetMode="External"/><Relationship Id="rId2898" Type="http://schemas.openxmlformats.org/officeDocument/2006/relationships/hyperlink" Target="https://www.google.com/search?q=BPSC+prelims+short+notes+pdf+Drishti+IAS+BPSC+Wallah" TargetMode="External"/><Relationship Id="rId289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00" Type="http://schemas.openxmlformats.org/officeDocument/2006/relationships/hyperlink" Target="https://www.youtube.com/results?search_query=BPSC+prelims+mock+test+analysis+strategy+Drishti+IAS" TargetMode="External"/><Relationship Id="rId2901" Type="http://schemas.openxmlformats.org/officeDocument/2006/relationships/hyperlink" Target="https://www.youtube.com/results?search_query=BPSC+Wallah+BPSC+prelims+test+series+discussion" TargetMode="External"/><Relationship Id="rId2902" Type="http://schemas.openxmlformats.org/officeDocument/2006/relationships/hyperlink" Target="https://www.youtube.com/results?search_query=BPSC+Wallah+BPSC+revision+strategy" TargetMode="External"/><Relationship Id="rId2903" Type="http://schemas.openxmlformats.org/officeDocument/2006/relationships/hyperlink" Target="https://www.google.com/search?q=BPSC+weekly+revision+notes+pdf+Drishti+IAS+Vision+IAS" TargetMode="External"/><Relationship Id="rId2904" Type="http://schemas.openxmlformats.org/officeDocument/2006/relationships/hyperlink" Target="https://www.google.com/search?q=weekly+current+affairs+revision+%28site%3Adrishtiias.com+OR+site%3Avisionias.in+OR+site%3Apib.gov.in%29" TargetMode="External"/><Relationship Id="rId2905" Type="http://schemas.openxmlformats.org/officeDocument/2006/relationships/hyperlink" Target="https://www.youtube.com/results?search_query=BPSC+prelims+mock+test+analysis+strategy+Drishti+IAS" TargetMode="External"/><Relationship Id="rId2906" Type="http://schemas.openxmlformats.org/officeDocument/2006/relationships/hyperlink" Target="https://www.youtube.com/results?search_query=BPSC+Wallah+BPSC+prelims+test+series+discussion" TargetMode="External"/><Relationship Id="rId2907" Type="http://schemas.openxmlformats.org/officeDocument/2006/relationships/hyperlink" Target="https://www.youtube.com/results?search_query=BPSC+Wallah+BPSC+revision+strategy" TargetMode="External"/><Relationship Id="rId2908" Type="http://schemas.openxmlformats.org/officeDocument/2006/relationships/hyperlink" Target="https://www.google.com/search?q=BPSC+prelims+short+notes+pdf+Drishti+IAS+BPSC+Wallah" TargetMode="External"/><Relationship Id="rId290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10" Type="http://schemas.openxmlformats.org/officeDocument/2006/relationships/hyperlink" Target="https://www.youtube.com/results?search_query=BPSC+prelims+mock+test+analysis+strategy+Drishti+IAS" TargetMode="External"/><Relationship Id="rId2911" Type="http://schemas.openxmlformats.org/officeDocument/2006/relationships/hyperlink" Target="https://www.youtube.com/results?search_query=BPSC+Wallah+BPSC+prelims+test+series+discussion" TargetMode="External"/><Relationship Id="rId2912" Type="http://schemas.openxmlformats.org/officeDocument/2006/relationships/hyperlink" Target="https://www.youtube.com/results?search_query=BPSC+Wallah+BPSC+revision+strategy" TargetMode="External"/><Relationship Id="rId2913" Type="http://schemas.openxmlformats.org/officeDocument/2006/relationships/hyperlink" Target="https://www.google.com/search?q=BPSC+prelims+short+notes+pdf+Drishti+IAS+BPSC+Wallah" TargetMode="External"/><Relationship Id="rId291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15" Type="http://schemas.openxmlformats.org/officeDocument/2006/relationships/hyperlink" Target="https://www.youtube.com/results?search_query=BPSC+prelims+mock+test+analysis+strategy+Drishti+IAS" TargetMode="External"/><Relationship Id="rId2916" Type="http://schemas.openxmlformats.org/officeDocument/2006/relationships/hyperlink" Target="https://www.youtube.com/results?search_query=BPSC+Wallah+BPSC+prelims+test+series+discussion" TargetMode="External"/><Relationship Id="rId2917" Type="http://schemas.openxmlformats.org/officeDocument/2006/relationships/hyperlink" Target="https://www.youtube.com/results?search_query=BPSC+Wallah+BPSC+revision+strategy" TargetMode="External"/><Relationship Id="rId2918" Type="http://schemas.openxmlformats.org/officeDocument/2006/relationships/hyperlink" Target="https://www.google.com/search?q=BPSC+prelims+short+notes+pdf+Drishti+IAS+BPSC+Wallah" TargetMode="External"/><Relationship Id="rId291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20" Type="http://schemas.openxmlformats.org/officeDocument/2006/relationships/hyperlink" Target="https://www.youtube.com/results?search_query=BPSC+prelims+mock+test+analysis+strategy+Drishti+IAS" TargetMode="External"/><Relationship Id="rId2921" Type="http://schemas.openxmlformats.org/officeDocument/2006/relationships/hyperlink" Target="https://www.youtube.com/results?search_query=BPSC+Wallah+BPSC+prelims+test+series+discussion" TargetMode="External"/><Relationship Id="rId2922" Type="http://schemas.openxmlformats.org/officeDocument/2006/relationships/hyperlink" Target="https://www.youtube.com/results?search_query=BPSC+Wallah+BPSC+revision+strategy" TargetMode="External"/><Relationship Id="rId2923" Type="http://schemas.openxmlformats.org/officeDocument/2006/relationships/hyperlink" Target="https://www.google.com/search?q=BPSC+prelims+short+notes+pdf+Drishti+IAS+BPSC+Wallah" TargetMode="External"/><Relationship Id="rId292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25" Type="http://schemas.openxmlformats.org/officeDocument/2006/relationships/hyperlink" Target="https://www.youtube.com/results?search_query=BPSC+prelims+mock+test+analysis+strategy+Drishti+IAS" TargetMode="External"/><Relationship Id="rId2926" Type="http://schemas.openxmlformats.org/officeDocument/2006/relationships/hyperlink" Target="https://www.youtube.com/results?search_query=BPSC+Wallah+BPSC+prelims+test+series+discussion" TargetMode="External"/><Relationship Id="rId2927" Type="http://schemas.openxmlformats.org/officeDocument/2006/relationships/hyperlink" Target="https://www.youtube.com/results?search_query=BPSC+Wallah+BPSC+revision+strategy" TargetMode="External"/><Relationship Id="rId2928" Type="http://schemas.openxmlformats.org/officeDocument/2006/relationships/hyperlink" Target="https://www.google.com/search?q=BPSC+prelims+short+notes+pdf+Drishti+IAS+BPSC+Wallah" TargetMode="External"/><Relationship Id="rId292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30" Type="http://schemas.openxmlformats.org/officeDocument/2006/relationships/hyperlink" Target="https://www.youtube.com/results?search_query=BPSC+prelims+mock+test+analysis+strategy+Drishti+IAS" TargetMode="External"/><Relationship Id="rId2931" Type="http://schemas.openxmlformats.org/officeDocument/2006/relationships/hyperlink" Target="https://www.youtube.com/results?search_query=BPSC+Wallah+BPSC+prelims+test+series+discussion" TargetMode="External"/><Relationship Id="rId2932" Type="http://schemas.openxmlformats.org/officeDocument/2006/relationships/hyperlink" Target="https://www.youtube.com/results?search_query=BPSC+Wallah+BPSC+revision+strategy" TargetMode="External"/><Relationship Id="rId2933" Type="http://schemas.openxmlformats.org/officeDocument/2006/relationships/hyperlink" Target="https://www.google.com/search?q=BPSC+prelims+short+notes+pdf+Drishti+IAS+BPSC+Wallah" TargetMode="External"/><Relationship Id="rId293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35" Type="http://schemas.openxmlformats.org/officeDocument/2006/relationships/hyperlink" Target="https://www.youtube.com/results?search_query=BPSC+prelims+mock+test+analysis+strategy+Drishti+IAS" TargetMode="External"/><Relationship Id="rId2936" Type="http://schemas.openxmlformats.org/officeDocument/2006/relationships/hyperlink" Target="https://www.youtube.com/results?search_query=BPSC+Wallah+BPSC+prelims+test+series+discussion" TargetMode="External"/><Relationship Id="rId2937" Type="http://schemas.openxmlformats.org/officeDocument/2006/relationships/hyperlink" Target="https://www.youtube.com/results?search_query=BPSC+Wallah+BPSC+revision+strategy" TargetMode="External"/><Relationship Id="rId2938" Type="http://schemas.openxmlformats.org/officeDocument/2006/relationships/hyperlink" Target="https://www.google.com/search?q=BPSC+weekly+revision+notes+pdf+Drishti+IAS+Vision+IAS" TargetMode="External"/><Relationship Id="rId2939" Type="http://schemas.openxmlformats.org/officeDocument/2006/relationships/hyperlink" Target="https://www.google.com/search?q=weekly+current+affairs+revision+%28site%3Adrishtiias.com+OR+site%3Avisionias.in+OR+site%3Apib.gov.in%29" TargetMode="External"/><Relationship Id="rId2940" Type="http://schemas.openxmlformats.org/officeDocument/2006/relationships/hyperlink" Target="https://www.youtube.com/results?search_query=BPSC+prelims+mock+test+analysis+strategy+Drishti+IAS" TargetMode="External"/><Relationship Id="rId2941" Type="http://schemas.openxmlformats.org/officeDocument/2006/relationships/hyperlink" Target="https://www.youtube.com/results?search_query=BPSC+Wallah+BPSC+prelims+test+series+discussion" TargetMode="External"/><Relationship Id="rId2942" Type="http://schemas.openxmlformats.org/officeDocument/2006/relationships/hyperlink" Target="https://www.youtube.com/results?search_query=BPSC+Wallah+BPSC+revision+strategy" TargetMode="External"/><Relationship Id="rId2943" Type="http://schemas.openxmlformats.org/officeDocument/2006/relationships/hyperlink" Target="https://www.google.com/search?q=BPSC+prelims+short+notes+pdf+Drishti+IAS+BPSC+Wallah" TargetMode="External"/><Relationship Id="rId294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45" Type="http://schemas.openxmlformats.org/officeDocument/2006/relationships/hyperlink" Target="https://www.youtube.com/results?search_query=BPSC+prelims+mock+test+analysis+strategy+Drishti+IAS" TargetMode="External"/><Relationship Id="rId2946" Type="http://schemas.openxmlformats.org/officeDocument/2006/relationships/hyperlink" Target="https://www.youtube.com/results?search_query=BPSC+Wallah+BPSC+prelims+test+series+discussion" TargetMode="External"/><Relationship Id="rId2947" Type="http://schemas.openxmlformats.org/officeDocument/2006/relationships/hyperlink" Target="https://www.youtube.com/results?search_query=BPSC+Wallah+BPSC+revision+strategy" TargetMode="External"/><Relationship Id="rId2948" Type="http://schemas.openxmlformats.org/officeDocument/2006/relationships/hyperlink" Target="https://www.google.com/search?q=BPSC+prelims+short+notes+pdf+Drishti+IAS+BPSC+Wallah" TargetMode="External"/><Relationship Id="rId294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50" Type="http://schemas.openxmlformats.org/officeDocument/2006/relationships/hyperlink" Target="https://www.youtube.com/results?search_query=BPSC+prelims+mock+test+analysis+strategy+Drishti+IAS" TargetMode="External"/><Relationship Id="rId2951" Type="http://schemas.openxmlformats.org/officeDocument/2006/relationships/hyperlink" Target="https://www.youtube.com/results?search_query=BPSC+Wallah+BPSC+prelims+test+series+discussion" TargetMode="External"/><Relationship Id="rId2952" Type="http://schemas.openxmlformats.org/officeDocument/2006/relationships/hyperlink" Target="https://www.youtube.com/results?search_query=BPSC+Wallah+BPSC+revision+strategy" TargetMode="External"/><Relationship Id="rId2953" Type="http://schemas.openxmlformats.org/officeDocument/2006/relationships/hyperlink" Target="https://www.google.com/search?q=BPSC+prelims+short+notes+pdf+Drishti+IAS+BPSC+Wallah" TargetMode="External"/><Relationship Id="rId295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55" Type="http://schemas.openxmlformats.org/officeDocument/2006/relationships/hyperlink" Target="https://www.youtube.com/results?search_query=BPSC+prelims+mock+test+analysis+strategy+Drishti+IAS" TargetMode="External"/><Relationship Id="rId2956" Type="http://schemas.openxmlformats.org/officeDocument/2006/relationships/hyperlink" Target="https://www.youtube.com/results?search_query=BPSC+Wallah+BPSC+prelims+test+series+discussion" TargetMode="External"/><Relationship Id="rId2957" Type="http://schemas.openxmlformats.org/officeDocument/2006/relationships/hyperlink" Target="https://www.youtube.com/results?search_query=BPSC+Wallah+BPSC+revision+strategy" TargetMode="External"/><Relationship Id="rId2958" Type="http://schemas.openxmlformats.org/officeDocument/2006/relationships/hyperlink" Target="https://www.google.com/search?q=BPSC+prelims+short+notes+pdf+Drishti+IAS+BPSC+Wallah" TargetMode="External"/><Relationship Id="rId295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60" Type="http://schemas.openxmlformats.org/officeDocument/2006/relationships/hyperlink" Target="https://www.youtube.com/results?search_query=BPSC+prelims+mock+test+analysis+strategy+Drishti+IAS" TargetMode="External"/><Relationship Id="rId2961" Type="http://schemas.openxmlformats.org/officeDocument/2006/relationships/hyperlink" Target="https://www.youtube.com/results?search_query=BPSC+Wallah+BPSC+prelims+test+series+discussion" TargetMode="External"/><Relationship Id="rId2962" Type="http://schemas.openxmlformats.org/officeDocument/2006/relationships/hyperlink" Target="https://www.youtube.com/results?search_query=BPSC+Wallah+BPSC+revision+strategy" TargetMode="External"/><Relationship Id="rId2963" Type="http://schemas.openxmlformats.org/officeDocument/2006/relationships/hyperlink" Target="https://www.google.com/search?q=BPSC+prelims+short+notes+pdf+Drishti+IAS+BPSC+Wallah" TargetMode="External"/><Relationship Id="rId296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65" Type="http://schemas.openxmlformats.org/officeDocument/2006/relationships/hyperlink" Target="https://www.youtube.com/results?search_query=BPSC+prelims+mock+test+analysis+strategy+Drishti+IAS" TargetMode="External"/><Relationship Id="rId2966" Type="http://schemas.openxmlformats.org/officeDocument/2006/relationships/hyperlink" Target="https://www.youtube.com/results?search_query=BPSC+Wallah+BPSC+prelims+test+series+discussion" TargetMode="External"/><Relationship Id="rId2967" Type="http://schemas.openxmlformats.org/officeDocument/2006/relationships/hyperlink" Target="https://www.youtube.com/results?search_query=BPSC+Wallah+BPSC+revision+strategy" TargetMode="External"/><Relationship Id="rId2968" Type="http://schemas.openxmlformats.org/officeDocument/2006/relationships/hyperlink" Target="https://www.google.com/search?q=BPSC+prelims+short+notes+pdf+Drishti+IAS+BPSC+Wallah" TargetMode="External"/><Relationship Id="rId296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70" Type="http://schemas.openxmlformats.org/officeDocument/2006/relationships/hyperlink" Target="https://www.youtube.com/results?search_query=BPSC+prelims+mock+test+analysis+strategy+Drishti+IAS" TargetMode="External"/><Relationship Id="rId2971" Type="http://schemas.openxmlformats.org/officeDocument/2006/relationships/hyperlink" Target="https://www.youtube.com/results?search_query=BPSC+Wallah+BPSC+prelims+test+series+discussion" TargetMode="External"/><Relationship Id="rId2972" Type="http://schemas.openxmlformats.org/officeDocument/2006/relationships/hyperlink" Target="https://www.youtube.com/results?search_query=BPSC+Wallah+BPSC+revision+strategy" TargetMode="External"/><Relationship Id="rId2973" Type="http://schemas.openxmlformats.org/officeDocument/2006/relationships/hyperlink" Target="https://www.google.com/search?q=BPSC+weekly+revision+notes+pdf+Drishti+IAS+Vision+IAS" TargetMode="External"/><Relationship Id="rId2974" Type="http://schemas.openxmlformats.org/officeDocument/2006/relationships/hyperlink" Target="https://www.google.com/search?q=weekly+current+affairs+revision+%28site%3Adrishtiias.com+OR+site%3Avisionias.in+OR+site%3Apib.gov.in%29" TargetMode="External"/><Relationship Id="rId2975" Type="http://schemas.openxmlformats.org/officeDocument/2006/relationships/hyperlink" Target="https://www.youtube.com/results?search_query=BPSC+prelims+mock+test+analysis+strategy+Drishti+IAS" TargetMode="External"/><Relationship Id="rId2976" Type="http://schemas.openxmlformats.org/officeDocument/2006/relationships/hyperlink" Target="https://www.youtube.com/results?search_query=BPSC+Wallah+BPSC+prelims+test+series+discussion" TargetMode="External"/><Relationship Id="rId2977" Type="http://schemas.openxmlformats.org/officeDocument/2006/relationships/hyperlink" Target="https://www.youtube.com/results?search_query=BPSC+Wallah+BPSC+revision+strategy" TargetMode="External"/><Relationship Id="rId2978" Type="http://schemas.openxmlformats.org/officeDocument/2006/relationships/hyperlink" Target="https://www.google.com/search?q=BPSC+prelims+short+notes+pdf+Drishti+IAS+BPSC+Wallah" TargetMode="External"/><Relationship Id="rId297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80" Type="http://schemas.openxmlformats.org/officeDocument/2006/relationships/hyperlink" Target="https://www.youtube.com/results?search_query=BPSC+prelims+mock+test+analysis+strategy+Drishti+IAS" TargetMode="External"/><Relationship Id="rId2981" Type="http://schemas.openxmlformats.org/officeDocument/2006/relationships/hyperlink" Target="https://www.youtube.com/results?search_query=BPSC+Wallah+BPSC+prelims+test+series+discussion" TargetMode="External"/><Relationship Id="rId2982" Type="http://schemas.openxmlformats.org/officeDocument/2006/relationships/hyperlink" Target="https://www.youtube.com/results?search_query=BPSC+Wallah+BPSC+revision+strategy" TargetMode="External"/><Relationship Id="rId2983" Type="http://schemas.openxmlformats.org/officeDocument/2006/relationships/hyperlink" Target="https://www.google.com/search?q=BPSC+prelims+short+notes+pdf+Drishti+IAS+BPSC+Wallah" TargetMode="External"/><Relationship Id="rId298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85" Type="http://schemas.openxmlformats.org/officeDocument/2006/relationships/hyperlink" Target="https://www.youtube.com/results?search_query=BPSC+prelims+mock+test+analysis+strategy+Drishti+IAS" TargetMode="External"/><Relationship Id="rId2986" Type="http://schemas.openxmlformats.org/officeDocument/2006/relationships/hyperlink" Target="https://www.youtube.com/results?search_query=BPSC+Wallah+BPSC+prelims+test+series+discussion" TargetMode="External"/><Relationship Id="rId2987" Type="http://schemas.openxmlformats.org/officeDocument/2006/relationships/hyperlink" Target="https://www.youtube.com/results?search_query=BPSC+Wallah+BPSC+revision+strategy" TargetMode="External"/><Relationship Id="rId2988" Type="http://schemas.openxmlformats.org/officeDocument/2006/relationships/hyperlink" Target="https://www.google.com/search?q=BPSC+prelims+short+notes+pdf+Drishti+IAS+BPSC+Wallah" TargetMode="External"/><Relationship Id="rId298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90" Type="http://schemas.openxmlformats.org/officeDocument/2006/relationships/hyperlink" Target="https://www.youtube.com/results?search_query=BPSC+prelims+mock+test+analysis+strategy+Drishti+IAS" TargetMode="External"/><Relationship Id="rId2991" Type="http://schemas.openxmlformats.org/officeDocument/2006/relationships/hyperlink" Target="https://www.youtube.com/results?search_query=BPSC+Wallah+BPSC+prelims+test+series+discussion" TargetMode="External"/><Relationship Id="rId2992" Type="http://schemas.openxmlformats.org/officeDocument/2006/relationships/hyperlink" Target="https://www.youtube.com/results?search_query=BPSC+Wallah+BPSC+revision+strategy" TargetMode="External"/><Relationship Id="rId2993" Type="http://schemas.openxmlformats.org/officeDocument/2006/relationships/hyperlink" Target="https://www.google.com/search?q=BPSC+prelims+short+notes+pdf+Drishti+IAS+BPSC+Wallah" TargetMode="External"/><Relationship Id="rId299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2995" Type="http://schemas.openxmlformats.org/officeDocument/2006/relationships/hyperlink" Target="https://www.youtube.com/results?search_query=BPSC+prelims+mock+test+analysis+strategy+Drishti+IAS" TargetMode="External"/><Relationship Id="rId2996" Type="http://schemas.openxmlformats.org/officeDocument/2006/relationships/hyperlink" Target="https://www.youtube.com/results?search_query=BPSC+Wallah+BPSC+prelims+test+series+discussion" TargetMode="External"/><Relationship Id="rId2997" Type="http://schemas.openxmlformats.org/officeDocument/2006/relationships/hyperlink" Target="https://www.youtube.com/results?search_query=BPSC+Wallah+BPSC+revision+strategy" TargetMode="External"/><Relationship Id="rId2998" Type="http://schemas.openxmlformats.org/officeDocument/2006/relationships/hyperlink" Target="https://www.google.com/search?q=BPSC+prelims+short+notes+pdf+Drishti+IAS+BPSC+Wallah" TargetMode="External"/><Relationship Id="rId299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00" Type="http://schemas.openxmlformats.org/officeDocument/2006/relationships/hyperlink" Target="https://www.youtube.com/results?search_query=BPSC+prelims+mock+test+analysis+strategy+Drishti+IAS" TargetMode="External"/><Relationship Id="rId3001" Type="http://schemas.openxmlformats.org/officeDocument/2006/relationships/hyperlink" Target="https://www.youtube.com/results?search_query=BPSC+Wallah+BPSC+prelims+test+series+discussion" TargetMode="External"/><Relationship Id="rId3002" Type="http://schemas.openxmlformats.org/officeDocument/2006/relationships/hyperlink" Target="https://www.youtube.com/results?search_query=BPSC+Wallah+BPSC+revision+strategy" TargetMode="External"/><Relationship Id="rId3003" Type="http://schemas.openxmlformats.org/officeDocument/2006/relationships/hyperlink" Target="https://www.google.com/search?q=BPSC+prelims+short+notes+pdf+Drishti+IAS+BPSC+Wallah" TargetMode="External"/><Relationship Id="rId300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05" Type="http://schemas.openxmlformats.org/officeDocument/2006/relationships/hyperlink" Target="https://www.youtube.com/results?search_query=BPSC+prelims+mock+test+analysis+strategy+Drishti+IAS" TargetMode="External"/><Relationship Id="rId3006" Type="http://schemas.openxmlformats.org/officeDocument/2006/relationships/hyperlink" Target="https://www.youtube.com/results?search_query=BPSC+Wallah+BPSC+prelims+test+series+discussion" TargetMode="External"/><Relationship Id="rId3007" Type="http://schemas.openxmlformats.org/officeDocument/2006/relationships/hyperlink" Target="https://www.youtube.com/results?search_query=BPSC+Wallah+BPSC+revision+strategy" TargetMode="External"/><Relationship Id="rId3008" Type="http://schemas.openxmlformats.org/officeDocument/2006/relationships/hyperlink" Target="https://www.google.com/search?q=BPSC+weekly+revision+notes+pdf+Drishti+IAS+Vision+IAS" TargetMode="External"/><Relationship Id="rId3009" Type="http://schemas.openxmlformats.org/officeDocument/2006/relationships/hyperlink" Target="https://www.google.com/search?q=weekly+current+affairs+revision+%28site%3Adrishtiias.com+OR+site%3Avisionias.in+OR+site%3Apib.gov.in%29" TargetMode="External"/><Relationship Id="rId3010" Type="http://schemas.openxmlformats.org/officeDocument/2006/relationships/hyperlink" Target="https://www.youtube.com/results?search_query=BPSC+prelims+mock+test+analysis+strategy+Drishti+IAS" TargetMode="External"/><Relationship Id="rId3011" Type="http://schemas.openxmlformats.org/officeDocument/2006/relationships/hyperlink" Target="https://www.youtube.com/results?search_query=BPSC+Wallah+BPSC+prelims+test+series+discussion" TargetMode="External"/><Relationship Id="rId3012" Type="http://schemas.openxmlformats.org/officeDocument/2006/relationships/hyperlink" Target="https://www.youtube.com/results?search_query=BPSC+Wallah+BPSC+revision+strategy" TargetMode="External"/><Relationship Id="rId3013" Type="http://schemas.openxmlformats.org/officeDocument/2006/relationships/hyperlink" Target="https://www.google.com/search?q=BPSC+prelims+short+notes+pdf+Drishti+IAS+BPSC+Wallah" TargetMode="External"/><Relationship Id="rId301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15" Type="http://schemas.openxmlformats.org/officeDocument/2006/relationships/hyperlink" Target="https://www.youtube.com/results?search_query=BPSC+prelims+mock+test+analysis+strategy+Drishti+IAS" TargetMode="External"/><Relationship Id="rId3016" Type="http://schemas.openxmlformats.org/officeDocument/2006/relationships/hyperlink" Target="https://www.youtube.com/results?search_query=BPSC+Wallah+BPSC+prelims+test+series+discussion" TargetMode="External"/><Relationship Id="rId3017" Type="http://schemas.openxmlformats.org/officeDocument/2006/relationships/hyperlink" Target="https://www.youtube.com/results?search_query=BPSC+Wallah+BPSC+revision+strategy" TargetMode="External"/><Relationship Id="rId3018" Type="http://schemas.openxmlformats.org/officeDocument/2006/relationships/hyperlink" Target="https://www.google.com/search?q=BPSC+prelims+short+notes+pdf+Drishti+IAS+BPSC+Wallah" TargetMode="External"/><Relationship Id="rId301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20" Type="http://schemas.openxmlformats.org/officeDocument/2006/relationships/hyperlink" Target="https://www.youtube.com/results?search_query=BPSC+prelims+mock+test+analysis+strategy+Drishti+IAS" TargetMode="External"/><Relationship Id="rId3021" Type="http://schemas.openxmlformats.org/officeDocument/2006/relationships/hyperlink" Target="https://www.youtube.com/results?search_query=BPSC+Wallah+BPSC+prelims+test+series+discussion" TargetMode="External"/><Relationship Id="rId3022" Type="http://schemas.openxmlformats.org/officeDocument/2006/relationships/hyperlink" Target="https://www.youtube.com/results?search_query=BPSC+Wallah+BPSC+revision+strategy" TargetMode="External"/><Relationship Id="rId3023" Type="http://schemas.openxmlformats.org/officeDocument/2006/relationships/hyperlink" Target="https://www.google.com/search?q=BPSC+prelims+short+notes+pdf+Drishti+IAS+BPSC+Wallah" TargetMode="External"/><Relationship Id="rId302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25" Type="http://schemas.openxmlformats.org/officeDocument/2006/relationships/hyperlink" Target="https://www.youtube.com/results?search_query=BPSC+prelims+mock+test+analysis+strategy+Drishti+IAS" TargetMode="External"/><Relationship Id="rId3026" Type="http://schemas.openxmlformats.org/officeDocument/2006/relationships/hyperlink" Target="https://www.youtube.com/results?search_query=BPSC+Wallah+BPSC+prelims+test+series+discussion" TargetMode="External"/><Relationship Id="rId3027" Type="http://schemas.openxmlformats.org/officeDocument/2006/relationships/hyperlink" Target="https://www.youtube.com/results?search_query=BPSC+Wallah+BPSC+revision+strategy" TargetMode="External"/><Relationship Id="rId3028" Type="http://schemas.openxmlformats.org/officeDocument/2006/relationships/hyperlink" Target="https://www.google.com/search?q=BPSC+prelims+short+notes+pdf+Drishti+IAS+BPSC+Wallah" TargetMode="External"/><Relationship Id="rId302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30" Type="http://schemas.openxmlformats.org/officeDocument/2006/relationships/hyperlink" Target="https://www.youtube.com/results?search_query=BPSC+prelims+mock+test+analysis+strategy+Drishti+IAS" TargetMode="External"/><Relationship Id="rId3031" Type="http://schemas.openxmlformats.org/officeDocument/2006/relationships/hyperlink" Target="https://www.youtube.com/results?search_query=BPSC+Wallah+BPSC+prelims+test+series+discussion" TargetMode="External"/><Relationship Id="rId3032" Type="http://schemas.openxmlformats.org/officeDocument/2006/relationships/hyperlink" Target="https://www.youtube.com/results?search_query=BPSC+Wallah+BPSC+revision+strategy" TargetMode="External"/><Relationship Id="rId3033" Type="http://schemas.openxmlformats.org/officeDocument/2006/relationships/hyperlink" Target="https://www.google.com/search?q=BPSC+prelims+short+notes+pdf+Drishti+IAS+BPSC+Wallah" TargetMode="External"/><Relationship Id="rId3034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35" Type="http://schemas.openxmlformats.org/officeDocument/2006/relationships/hyperlink" Target="https://www.youtube.com/results?search_query=BPSC+prelims+mock+test+analysis+strategy+Drishti+IAS" TargetMode="External"/><Relationship Id="rId3036" Type="http://schemas.openxmlformats.org/officeDocument/2006/relationships/hyperlink" Target="https://www.youtube.com/results?search_query=BPSC+Wallah+BPSC+prelims+test+series+discussion" TargetMode="External"/><Relationship Id="rId3037" Type="http://schemas.openxmlformats.org/officeDocument/2006/relationships/hyperlink" Target="https://www.youtube.com/results?search_query=BPSC+Wallah+BPSC+revision+strategy" TargetMode="External"/><Relationship Id="rId3038" Type="http://schemas.openxmlformats.org/officeDocument/2006/relationships/hyperlink" Target="https://www.google.com/search?q=BPSC+prelims+short+notes+pdf+Drishti+IAS+BPSC+Wallah" TargetMode="External"/><Relationship Id="rId3039" Type="http://schemas.openxmlformats.org/officeDocument/2006/relationships/hyperlink" Target="https://www.google.com/search?q=BPSC+previous+year+question+paper+analysis+%28site%3Abpsc.bihar.gov.in+OR+site%3Adrishtiias.com+OR+site%3Avisionias.in%29" TargetMode="External"/><Relationship Id="rId3040" Type="http://schemas.openxmlformats.org/officeDocument/2006/relationships/hyperlink" Target="https://www.youtube.com/results?search_query=BPSC+prelims+mock+test+analysis+strategy+Drishti+IAS" TargetMode="External"/><Relationship Id="rId3041" Type="http://schemas.openxmlformats.org/officeDocument/2006/relationships/hyperlink" Target="https://www.youtube.com/results?search_query=BPSC+Wallah+BPSC+prelims+test+series+discussion" TargetMode="External"/><Relationship Id="rId3042" Type="http://schemas.openxmlformats.org/officeDocument/2006/relationships/hyperlink" Target="https://www.youtube.com/results?search_query=BPSC+Wallah+BPSC+revision+strategy" TargetMode="External"/><Relationship Id="rId3043" Type="http://schemas.openxmlformats.org/officeDocument/2006/relationships/hyperlink" Target="https://www.google.com/search?q=BPSC+weekly+revision+notes+pdf+Drishti+IAS+Vision+IAS" TargetMode="External"/><Relationship Id="rId3044" Type="http://schemas.openxmlformats.org/officeDocument/2006/relationships/hyperlink" Target="https://www.google.com/search?q=weekly+current+affairs+revision+%28site%3Adrishtiias.com+OR+site%3Avisionias.in+OR+site%3Apib.gov.in%29" TargetMode="External"/><Relationship Id="rId3045" Type="http://schemas.openxmlformats.org/officeDocument/2006/relationships/hyperlink" Target="https://www.youtube.com/results?search_query=BPSC+prelims+mock+test+analysis+strategy+Drishti+IAS" TargetMode="External"/><Relationship Id="rId3046" Type="http://schemas.openxmlformats.org/officeDocument/2006/relationships/hyperlink" Target="https://www.youtube.com/results?search_query=BPSC+Wallah+BPSC+prelims+test+series+discussion" TargetMode="External"/><Relationship Id="rId3047" Type="http://schemas.openxmlformats.org/officeDocument/2006/relationships/hyperlink" Target="https://www.youtube.com/results?search_query=BPSC+Wallah+BPSC+revision+strategy" TargetMode="External"/><Relationship Id="rId3048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results?search_query=Prehistory+%26+Indus+Valley+Civilisation+Drishti+IAS+BPSC" TargetMode="External"/><Relationship Id="rId2" Type="http://schemas.openxmlformats.org/officeDocument/2006/relationships/hyperlink" Target="https://www.youtube.com/results?search_query=Prehistory+%26+Indus+Valley+Civilisation+BPSC+Wallah+BPSC" TargetMode="External"/><Relationship Id="rId3" Type="http://schemas.openxmlformats.org/officeDocument/2006/relationships/hyperlink" Target="https://www.youtube.com/results?search_query=Prehistory+%26+Indus+Valley+Civilisation+Vision+IAS+BPSC" TargetMode="External"/><Relationship Id="rId4" Type="http://schemas.openxmlformats.org/officeDocument/2006/relationships/hyperlink" Target="https://www.youtube.com/results?search_query=Prehistory+%26+Indus+Valley+Civilisation+EduTeria+BPSC" TargetMode="External"/><Relationship Id="rId5" Type="http://schemas.openxmlformats.org/officeDocument/2006/relationships/hyperlink" Target="https://www.google.com/search?q=&#2346;&#2381;&#2352;&#2366;&#2327;&#2376;&#2340;&#2367;&#2361;&#2366;&#2360;+&#2319;&#2357;&#2306;+&#2360;&#2367;&#2306;&#2343;&#2369;+&#2328;&#2366;&#2335;&#2368;+&#2360;&#2349;&#2381;&#2351;&#2340;&#2366;+%28site%3Adrishtiias.com+OR+site%3Avisionias.in+OR+site%3Ancert.nic.in+OR+site%3Ajagranjosh.com+OR+site%3Agktoday.in%29" TargetMode="External"/><Relationship Id="rId6" Type="http://schemas.openxmlformats.org/officeDocument/2006/relationships/hyperlink" Target="https://www.youtube.com/results?search_query=Vedic+Age+%26+Mahajanapadas+Drishti+IAS+BPSC" TargetMode="External"/><Relationship Id="rId7" Type="http://schemas.openxmlformats.org/officeDocument/2006/relationships/hyperlink" Target="https://www.youtube.com/results?search_query=Vedic+Age+%26+Mahajanapadas+BPSC+Wallah+BPSC" TargetMode="External"/><Relationship Id="rId8" Type="http://schemas.openxmlformats.org/officeDocument/2006/relationships/hyperlink" Target="https://www.youtube.com/results?search_query=Vedic+Age+%26+Mahajanapadas+Vision+IAS+BPSC" TargetMode="External"/><Relationship Id="rId9" Type="http://schemas.openxmlformats.org/officeDocument/2006/relationships/hyperlink" Target="https://www.youtube.com/results?search_query=Vedic+Age+%26+Mahajanapadas+EduTeria+BPSC" TargetMode="External"/><Relationship Id="rId10" Type="http://schemas.openxmlformats.org/officeDocument/2006/relationships/hyperlink" Target="https://www.google.com/search?q=&#2357;&#2376;&#2342;&#2367;&#2325;+&#2325;&#2366;&#2354;+&#2319;&#2357;&#2306;+&#2350;&#2361;&#2366;&#2332;&#2344;&#2346;&#2342;+%28site%3Adrishtiias.com+OR+site%3Avisionias.in+OR+site%3Ancert.nic.in+OR+site%3Ajagranjosh.com+OR+site%3Agktoday.in%29" TargetMode="External"/><Relationship Id="rId11" Type="http://schemas.openxmlformats.org/officeDocument/2006/relationships/hyperlink" Target="https://www.youtube.com/results?search_query=Jainism%2C+Buddhism+%26+Heterodox+Sects+Drishti+IAS+BPSC" TargetMode="External"/><Relationship Id="rId12" Type="http://schemas.openxmlformats.org/officeDocument/2006/relationships/hyperlink" Target="https://www.youtube.com/results?search_query=Jainism%2C+Buddhism+%26+Heterodox+Sects+BPSC+Wallah+BPSC" TargetMode="External"/><Relationship Id="rId13" Type="http://schemas.openxmlformats.org/officeDocument/2006/relationships/hyperlink" Target="https://www.youtube.com/results?search_query=Jainism%2C+Buddhism+%26+Heterodox+Sects+Vision+IAS+BPSC" TargetMode="External"/><Relationship Id="rId14" Type="http://schemas.openxmlformats.org/officeDocument/2006/relationships/hyperlink" Target="https://www.youtube.com/results?search_query=Jainism%2C+Buddhism+%26+Heterodox+Sects+EduTeria+BPSC" TargetMode="External"/><Relationship Id="rId15" Type="http://schemas.openxmlformats.org/officeDocument/2006/relationships/hyperlink" Target="https://www.google.com/search?q=&#2332;&#2376;&#2344;%2C+&#2348;&#2380;&#2342;&#2381;&#2343;+&#2319;&#2357;&#2306;+&#2309;&#2344;&#2381;&#2351;+&#2344;&#2366;&#2360;&#2381;&#2340;&#2367;&#2325;+&#2360;&#2306;&#2346;&#2381;&#2352;&#2342;&#2366;&#2351;+%28site%3Adrishtiias.com+OR+site%3Avisionias.in+OR+site%3Ancert.nic.in+OR+site%3Ajagranjosh.com+OR+site%3Agktoday.in%29" TargetMode="External"/><Relationship Id="rId16" Type="http://schemas.openxmlformats.org/officeDocument/2006/relationships/hyperlink" Target="https://www.youtube.com/results?search_query=Mauryan+Empire+Drishti+IAS+BPSC" TargetMode="External"/><Relationship Id="rId17" Type="http://schemas.openxmlformats.org/officeDocument/2006/relationships/hyperlink" Target="https://www.youtube.com/results?search_query=Mauryan+Empire+BPSC+Wallah+BPSC" TargetMode="External"/><Relationship Id="rId18" Type="http://schemas.openxmlformats.org/officeDocument/2006/relationships/hyperlink" Target="https://www.youtube.com/results?search_query=Mauryan+Empire+Vision+IAS+BPSC" TargetMode="External"/><Relationship Id="rId19" Type="http://schemas.openxmlformats.org/officeDocument/2006/relationships/hyperlink" Target="https://www.youtube.com/results?search_query=Mauryan+Empire+EduTeria+BPSC" TargetMode="External"/><Relationship Id="rId20" Type="http://schemas.openxmlformats.org/officeDocument/2006/relationships/hyperlink" Target="https://www.google.com/search?q=&#2350;&#2380;&#2352;&#2381;&#2351;+&#2360;&#2366;&#2350;&#2381;&#2352;&#2366;&#2332;&#2381;&#2351;+%28site%3Adrishtiias.com+OR+site%3Avisionias.in+OR+site%3Ancert.nic.in+OR+site%3Ajagranjosh.com+OR+site%3Agktoday.in%29" TargetMode="External"/><Relationship Id="rId21" Type="http://schemas.openxmlformats.org/officeDocument/2006/relationships/hyperlink" Target="https://www.youtube.com/results?search_query=Post-Mauryan+Period+%28Shunga%2C+Kushan%2C+Satavahana%2C+Sangam%29+Drishti+IAS+BPSC" TargetMode="External"/><Relationship Id="rId22" Type="http://schemas.openxmlformats.org/officeDocument/2006/relationships/hyperlink" Target="https://www.youtube.com/results?search_query=Post-Mauryan+Period+%28Shunga%2C+Kushan%2C+Satavahana%2C+Sangam%29+BPSC+Wallah+BPSC" TargetMode="External"/><Relationship Id="rId23" Type="http://schemas.openxmlformats.org/officeDocument/2006/relationships/hyperlink" Target="https://www.youtube.com/results?search_query=Post-Mauryan+Period+%28Shunga%2C+Kushan%2C+Satavahana%2C+Sangam%29+Vision+IAS+BPSC" TargetMode="External"/><Relationship Id="rId24" Type="http://schemas.openxmlformats.org/officeDocument/2006/relationships/hyperlink" Target="https://www.youtube.com/results?search_query=Post-Mauryan+Period+%28Shunga%2C+Kushan%2C+Satavahana%2C+Sangam%29+EduTeria+BPSC" TargetMode="External"/><Relationship Id="rId25" Type="http://schemas.openxmlformats.org/officeDocument/2006/relationships/hyperlink" Target="https://www.google.com/search?q=&#2350;&#2380;&#2352;&#2381;&#2351;&#2379;&#2340;&#2381;&#2340;&#2352;+&#2325;&#2366;&#2354;+%28&#2358;&#2369;&#2306;&#2327;%2C+&#2325;&#2369;&#2359;&#2366;&#2339;%2C+&#2360;&#2366;&#2340;&#2357;&#2366;&#2361;&#2344;%2C+&#2360;&#2306;&#2327;&#2350;%29+%28site%3Adrishtiias.com+OR+site%3Avisionias.in+OR+site%3Ancert.nic.in+OR+site%3Ajagranjosh.com+OR+site%3Agktoday.in%29" TargetMode="External"/><Relationship Id="rId26" Type="http://schemas.openxmlformats.org/officeDocument/2006/relationships/hyperlink" Target="https://www.youtube.com/results?search_query=Gupta+Empire%2C+Harsha+%26+Pala+Dynasty+Drishti+IAS+BPSC" TargetMode="External"/><Relationship Id="rId27" Type="http://schemas.openxmlformats.org/officeDocument/2006/relationships/hyperlink" Target="https://www.youtube.com/results?search_query=Gupta+Empire%2C+Harsha+%26+Pala+Dynasty+BPSC+Wallah+BPSC" TargetMode="External"/><Relationship Id="rId28" Type="http://schemas.openxmlformats.org/officeDocument/2006/relationships/hyperlink" Target="https://www.youtube.com/results?search_query=Gupta+Empire%2C+Harsha+%26+Pala+Dynasty+Vision+IAS+BPSC" TargetMode="External"/><Relationship Id="rId29" Type="http://schemas.openxmlformats.org/officeDocument/2006/relationships/hyperlink" Target="https://www.youtube.com/results?search_query=Gupta+Empire%2C+Harsha+%26+Pala+Dynasty+EduTeria+BPSC" TargetMode="External"/><Relationship Id="rId30" Type="http://schemas.openxmlformats.org/officeDocument/2006/relationships/hyperlink" Target="https://www.google.com/search?q=&#2327;&#2369;&#2346;&#2381;&#2340;+&#2360;&#2366;&#2350;&#2381;&#2352;&#2366;&#2332;&#2381;&#2351;%2C+&#2361;&#2352;&#2381;&#2359;&#2357;&#2352;&#2381;&#2343;&#2344;+&#2319;&#2357;&#2306;+&#2346;&#2366;&#2354;+&#2357;&#2306;&#2358;+%28site%3Adrishtiias.com+OR+site%3Avisionias.in+OR+site%3Ancert.nic.in+OR+site%3Ajagranjosh.com+OR+site%3Agktoday.in%29" TargetMode="External"/><Relationship Id="rId31" Type="http://schemas.openxmlformats.org/officeDocument/2006/relationships/hyperlink" Target="https://www.youtube.com/results?search_query=Early+Medieval+India+%28Rajputs%2C+Cholas%2C+Chalukyas%2C+Pallavas%29+Drishti+IAS+BPSC" TargetMode="External"/><Relationship Id="rId32" Type="http://schemas.openxmlformats.org/officeDocument/2006/relationships/hyperlink" Target="https://www.youtube.com/results?search_query=Early+Medieval+India+%28Rajputs%2C+Cholas%2C+Chalukyas%2C+Pallavas%29+BPSC+Wallah+BPSC" TargetMode="External"/><Relationship Id="rId33" Type="http://schemas.openxmlformats.org/officeDocument/2006/relationships/hyperlink" Target="https://www.youtube.com/results?search_query=Early+Medieval+India+%28Rajputs%2C+Cholas%2C+Chalukyas%2C+Pallavas%29+Vision+IAS+BPSC" TargetMode="External"/><Relationship Id="rId34" Type="http://schemas.openxmlformats.org/officeDocument/2006/relationships/hyperlink" Target="https://www.youtube.com/results?search_query=Early+Medieval+India+%28Rajputs%2C+Cholas%2C+Chalukyas%2C+Pallavas%29+EduTeria+BPSC" TargetMode="External"/><Relationship Id="rId35" Type="http://schemas.openxmlformats.org/officeDocument/2006/relationships/hyperlink" Target="https://www.google.com/search?q=&#2346;&#2370;&#2352;&#2381;&#2357;+&#2350;&#2343;&#2381;&#2351;&#2325;&#2366;&#2354;&#2368;&#2344;+&#2349;&#2366;&#2352;&#2340;+%28&#2352;&#2366;&#2332;&#2346;&#2370;&#2340;%2C+&#2330;&#2379;&#2354;%2C+&#2330;&#2366;&#2354;&#2369;&#2325;&#2381;&#2351;%2C+&#2346;&#2354;&#2381;&#2354;&#2357;%29+%28site%3Adrishtiias.com+OR+site%3Avisionias.in+OR+site%3Ancert.nic.in+OR+site%3Ajagranjosh.com+OR+site%3Agktoday.in%29" TargetMode="External"/><Relationship Id="rId36" Type="http://schemas.openxmlformats.org/officeDocument/2006/relationships/hyperlink" Target="https://www.youtube.com/results?search_query=Delhi+Sultanate+Drishti+IAS+BPSC" TargetMode="External"/><Relationship Id="rId37" Type="http://schemas.openxmlformats.org/officeDocument/2006/relationships/hyperlink" Target="https://www.youtube.com/results?search_query=Delhi+Sultanate+BPSC+Wallah+BPSC" TargetMode="External"/><Relationship Id="rId38" Type="http://schemas.openxmlformats.org/officeDocument/2006/relationships/hyperlink" Target="https://www.youtube.com/results?search_query=Delhi+Sultanate+Vision+IAS+BPSC" TargetMode="External"/><Relationship Id="rId39" Type="http://schemas.openxmlformats.org/officeDocument/2006/relationships/hyperlink" Target="https://www.youtube.com/results?search_query=Delhi+Sultanate+EduTeria+BPSC" TargetMode="External"/><Relationship Id="rId40" Type="http://schemas.openxmlformats.org/officeDocument/2006/relationships/hyperlink" Target="https://www.google.com/search?q=&#2342;&#2367;&#2354;&#2381;&#2354;&#2368;+&#2360;&#2354;&#2381;&#2340;&#2344;&#2340;+%28site%3Adrishtiias.com+OR+site%3Avisionias.in+OR+site%3Ancert.nic.in+OR+site%3Ajagranjosh.com+OR+site%3Agktoday.in%29" TargetMode="External"/><Relationship Id="rId41" Type="http://schemas.openxmlformats.org/officeDocument/2006/relationships/hyperlink" Target="https://www.youtube.com/results?search_query=Bhakti+%26+Sufi+Movements+Drishti+IAS+BPSC" TargetMode="External"/><Relationship Id="rId42" Type="http://schemas.openxmlformats.org/officeDocument/2006/relationships/hyperlink" Target="https://www.youtube.com/results?search_query=Bhakti+%26+Sufi+Movements+BPSC+Wallah+BPSC" TargetMode="External"/><Relationship Id="rId43" Type="http://schemas.openxmlformats.org/officeDocument/2006/relationships/hyperlink" Target="https://www.youtube.com/results?search_query=Bhakti+%26+Sufi+Movements+Vision+IAS+BPSC" TargetMode="External"/><Relationship Id="rId44" Type="http://schemas.openxmlformats.org/officeDocument/2006/relationships/hyperlink" Target="https://www.youtube.com/results?search_query=Bhakti+%26+Sufi+Movements+EduTeria+BPSC" TargetMode="External"/><Relationship Id="rId45" Type="http://schemas.openxmlformats.org/officeDocument/2006/relationships/hyperlink" Target="https://www.google.com/search?q=&#2349;&#2325;&#2381;&#2340;&#2367;+&#2319;&#2357;&#2306;+&#2360;&#2370;&#2347;&#2368;+&#2310;&#2306;&#2342;&#2379;&#2354;&#2344;+%28site%3Adrishtiias.com+OR+site%3Avisionias.in+OR+site%3Ancert.nic.in+OR+site%3Ajagranjosh.com+OR+site%3Agktoday.in%29" TargetMode="External"/><Relationship Id="rId46" Type="http://schemas.openxmlformats.org/officeDocument/2006/relationships/hyperlink" Target="https://www.youtube.com/results?search_query=Mughal+Empire+Drishti+IAS+BPSC" TargetMode="External"/><Relationship Id="rId47" Type="http://schemas.openxmlformats.org/officeDocument/2006/relationships/hyperlink" Target="https://www.youtube.com/results?search_query=Mughal+Empire+BPSC+Wallah+BPSC" TargetMode="External"/><Relationship Id="rId48" Type="http://schemas.openxmlformats.org/officeDocument/2006/relationships/hyperlink" Target="https://www.youtube.com/results?search_query=Mughal+Empire+Vision+IAS+BPSC" TargetMode="External"/><Relationship Id="rId49" Type="http://schemas.openxmlformats.org/officeDocument/2006/relationships/hyperlink" Target="https://www.youtube.com/results?search_query=Mughal+Empire+EduTeria+BPSC" TargetMode="External"/><Relationship Id="rId50" Type="http://schemas.openxmlformats.org/officeDocument/2006/relationships/hyperlink" Target="https://www.google.com/search?q=&#2350;&#2369;&#2327;&#2354;+&#2360;&#2366;&#2350;&#2381;&#2352;&#2366;&#2332;&#2381;&#2351;+%28site%3Adrishtiias.com+OR+site%3Avisionias.in+OR+site%3Ancert.nic.in+OR+site%3Ajagranjosh.com+OR+site%3Agktoday.in%29" TargetMode="External"/><Relationship Id="rId51" Type="http://schemas.openxmlformats.org/officeDocument/2006/relationships/hyperlink" Target="https://www.youtube.com/results?search_query=Marathas+%26+Regional+Powers+%2818th+century%29+Drishti+IAS+BPSC" TargetMode="External"/><Relationship Id="rId52" Type="http://schemas.openxmlformats.org/officeDocument/2006/relationships/hyperlink" Target="https://www.youtube.com/results?search_query=Marathas+%26+Regional+Powers+%2818th+century%29+BPSC+Wallah+BPSC" TargetMode="External"/><Relationship Id="rId53" Type="http://schemas.openxmlformats.org/officeDocument/2006/relationships/hyperlink" Target="https://www.youtube.com/results?search_query=Marathas+%26+Regional+Powers+%2818th+century%29+Vision+IAS+BPSC" TargetMode="External"/><Relationship Id="rId54" Type="http://schemas.openxmlformats.org/officeDocument/2006/relationships/hyperlink" Target="https://www.youtube.com/results?search_query=Marathas+%26+Regional+Powers+%2818th+century%29+EduTeria+BPSC" TargetMode="External"/><Relationship Id="rId55" Type="http://schemas.openxmlformats.org/officeDocument/2006/relationships/hyperlink" Target="https://www.google.com/search?q=&#2350;&#2352;&#2366;&#2336;&#2366;+&#2319;&#2357;&#2306;+&#2325;&#2381;&#2359;&#2375;&#2340;&#2381;&#2352;&#2368;&#2351;+&#2358;&#2325;&#2381;&#2340;&#2367;&#2351;&#2366;&#2305;+%2818&#2357;&#2368;&#2306;+&#2358;&#2340;&#2366;&#2348;&#2381;&#2342;&#2368;%29+%28site%3Adrishtiias.com+OR+site%3Avisionias.in+OR+site%3Ancert.nic.in+OR+site%3Ajagranjosh.com+OR+site%3Agktoday.in%29" TargetMode="External"/><Relationship Id="rId56" Type="http://schemas.openxmlformats.org/officeDocument/2006/relationships/hyperlink" Target="https://www.youtube.com/results?search_query=European+Advent+%26+British+Expansion+Drishti+IAS+BPSC" TargetMode="External"/><Relationship Id="rId57" Type="http://schemas.openxmlformats.org/officeDocument/2006/relationships/hyperlink" Target="https://www.youtube.com/results?search_query=European+Advent+%26+British+Expansion+BPSC+Wallah+BPSC" TargetMode="External"/><Relationship Id="rId58" Type="http://schemas.openxmlformats.org/officeDocument/2006/relationships/hyperlink" Target="https://www.youtube.com/results?search_query=European+Advent+%26+British+Expansion+Vision+IAS+BPSC" TargetMode="External"/><Relationship Id="rId59" Type="http://schemas.openxmlformats.org/officeDocument/2006/relationships/hyperlink" Target="https://www.youtube.com/results?search_query=European+Advent+%26+British+Expansion+EduTeria+BPSC" TargetMode="External"/><Relationship Id="rId60" Type="http://schemas.openxmlformats.org/officeDocument/2006/relationships/hyperlink" Target="https://www.google.com/search?q=&#2351;&#2370;&#2352;&#2379;&#2346;&#2368;&#2351;+&#2310;&#2327;&#2350;&#2344;+&#2319;&#2357;&#2306;+&#2348;&#2381;&#2352;&#2367;&#2335;&#2367;&#2358;+&#2357;&#2367;&#2360;&#2381;&#2340;&#2366;&#2352;+%28site%3Adrishtiias.com+OR+site%3Avisionias.in+OR+site%3Ancert.nic.in+OR+site%3Ajagranjosh.com+OR+site%3Agktoday.in%29" TargetMode="External"/><Relationship Id="rId61" Type="http://schemas.openxmlformats.org/officeDocument/2006/relationships/hyperlink" Target="https://www.youtube.com/results?search_query=Revolt+of+1857+Drishti+IAS+BPSC" TargetMode="External"/><Relationship Id="rId62" Type="http://schemas.openxmlformats.org/officeDocument/2006/relationships/hyperlink" Target="https://www.youtube.com/results?search_query=Revolt+of+1857+BPSC+Wallah+BPSC" TargetMode="External"/><Relationship Id="rId63" Type="http://schemas.openxmlformats.org/officeDocument/2006/relationships/hyperlink" Target="https://www.youtube.com/results?search_query=Revolt+of+1857+Vision+IAS+BPSC" TargetMode="External"/><Relationship Id="rId64" Type="http://schemas.openxmlformats.org/officeDocument/2006/relationships/hyperlink" Target="https://www.youtube.com/results?search_query=Revolt+of+1857+EduTeria+BPSC" TargetMode="External"/><Relationship Id="rId65" Type="http://schemas.openxmlformats.org/officeDocument/2006/relationships/hyperlink" Target="https://www.google.com/search?q=1857+&#2325;&#2366;+&#2357;&#2367;&#2342;&#2381;&#2352;&#2379;&#2361;+%28site%3Adrishtiias.com+OR+site%3Avisionias.in+OR+site%3Ancert.nic.in+OR+site%3Ajagranjosh.com+OR+site%3Agktoday.in%29" TargetMode="External"/><Relationship Id="rId66" Type="http://schemas.openxmlformats.org/officeDocument/2006/relationships/hyperlink" Target="https://www.youtube.com/results?search_query=Socio-Religious+Reform+Movements+Drishti+IAS+BPSC" TargetMode="External"/><Relationship Id="rId67" Type="http://schemas.openxmlformats.org/officeDocument/2006/relationships/hyperlink" Target="https://www.youtube.com/results?search_query=Socio-Religious+Reform+Movements+BPSC+Wallah+BPSC" TargetMode="External"/><Relationship Id="rId68" Type="http://schemas.openxmlformats.org/officeDocument/2006/relationships/hyperlink" Target="https://www.youtube.com/results?search_query=Socio-Religious+Reform+Movements+Vision+IAS+BPSC" TargetMode="External"/><Relationship Id="rId69" Type="http://schemas.openxmlformats.org/officeDocument/2006/relationships/hyperlink" Target="https://www.youtube.com/results?search_query=Socio-Religious+Reform+Movements+EduTeria+BPSC" TargetMode="External"/><Relationship Id="rId70" Type="http://schemas.openxmlformats.org/officeDocument/2006/relationships/hyperlink" Target="https://www.google.com/search?q=&#2360;&#2366;&#2350;&#2366;&#2332;&#2367;&#2325;-&#2343;&#2366;&#2352;&#2381;&#2350;&#2367;&#2325;+&#2360;&#2369;&#2343;&#2366;&#2352;+&#2310;&#2306;&#2342;&#2379;&#2354;&#2344;+%28site%3Adrishtiias.com+OR+site%3Avisionias.in+OR+site%3Ancert.nic.in+OR+site%3Ajagranjosh.com+OR+site%3Agktoday.in%29" TargetMode="External"/><Relationship Id="rId71" Type="http://schemas.openxmlformats.org/officeDocument/2006/relationships/hyperlink" Target="https://www.youtube.com/results?search_query=Early+Nationalism%3A+INC%2C+Moderates%2C+Extremists%2C+Swadeshi+Drishti+IAS+BPSC" TargetMode="External"/><Relationship Id="rId72" Type="http://schemas.openxmlformats.org/officeDocument/2006/relationships/hyperlink" Target="https://www.youtube.com/results?search_query=Early+Nationalism%3A+INC%2C+Moderates%2C+Extremists%2C+Swadeshi+BPSC+Wallah+BPSC" TargetMode="External"/><Relationship Id="rId73" Type="http://schemas.openxmlformats.org/officeDocument/2006/relationships/hyperlink" Target="https://www.youtube.com/results?search_query=Early+Nationalism%3A+INC%2C+Moderates%2C+Extremists%2C+Swadeshi+Vision+IAS+BPSC" TargetMode="External"/><Relationship Id="rId74" Type="http://schemas.openxmlformats.org/officeDocument/2006/relationships/hyperlink" Target="https://www.youtube.com/results?search_query=Early+Nationalism%3A+INC%2C+Moderates%2C+Extremists%2C+Swadeshi+EduTeria+BPSC" TargetMode="External"/><Relationship Id="rId75" Type="http://schemas.openxmlformats.org/officeDocument/2006/relationships/hyperlink" Target="https://www.google.com/search?q=&#2346;&#2381;&#2352;&#2366;&#2352;&#2306;&#2349;&#2367;&#2325;+&#2352;&#2366;&#2359;&#2381;&#2335;&#2381;&#2352;&#2357;&#2366;&#2342;%3A+&#2325;&#2366;&#2306;&#2327;&#2381;&#2352;&#2375;&#2360;%2C+&#2344;&#2352;&#2350;&#2346;&#2306;&#2341;&#2368;%2C+&#2327;&#2352;&#2350;&#2346;&#2306;&#2341;&#2368;%2C+&#2360;&#2381;&#2357;&#2342;&#2375;&#2358;&#2368;+%28site%3Adrishtiias.com+OR+site%3Avisionias.in+OR+site%3Ancert.nic.in+OR+site%3Ajagranjosh.com+OR+site%3Agktoday.in%29" TargetMode="External"/><Relationship Id="rId76" Type="http://schemas.openxmlformats.org/officeDocument/2006/relationships/hyperlink" Target="https://www.youtube.com/results?search_query=Gandhian+Era%3A+Champaran+to+Quit+India+Drishti+IAS+BPSC" TargetMode="External"/><Relationship Id="rId77" Type="http://schemas.openxmlformats.org/officeDocument/2006/relationships/hyperlink" Target="https://www.youtube.com/results?search_query=Gandhian+Era%3A+Champaran+to+Quit+India+BPSC+Wallah+BPSC" TargetMode="External"/><Relationship Id="rId78" Type="http://schemas.openxmlformats.org/officeDocument/2006/relationships/hyperlink" Target="https://www.youtube.com/results?search_query=Gandhian+Era%3A+Champaran+to+Quit+India+Vision+IAS+BPSC" TargetMode="External"/><Relationship Id="rId79" Type="http://schemas.openxmlformats.org/officeDocument/2006/relationships/hyperlink" Target="https://www.youtube.com/results?search_query=Gandhian+Era%3A+Champaran+to+Quit+India+EduTeria+BPSC" TargetMode="External"/><Relationship Id="rId80" Type="http://schemas.openxmlformats.org/officeDocument/2006/relationships/hyperlink" Target="https://www.google.com/search?q=&#2327;&#2366;&#2306;&#2343;&#2368;+&#2351;&#2369;&#2327;%3A+&#2330;&#2306;&#2346;&#2366;&#2352;&#2339;+&#2360;&#2375;+&#2349;&#2366;&#2352;&#2340;+&#2331;&#2379;&#2337;&#2364;&#2379;+&#2340;&#2325;+%28site%3Adrishtiias.com+OR+site%3Avisionias.in+OR+site%3Ancert.nic.in+OR+site%3Ajagranjosh.com+OR+site%3Agktoday.in%29" TargetMode="External"/><Relationship Id="rId81" Type="http://schemas.openxmlformats.org/officeDocument/2006/relationships/hyperlink" Target="https://www.youtube.com/results?search_query=Revolutionaries%2C+Constitutional+Developments+%26+Partition+Drishti+IAS+BPSC" TargetMode="External"/><Relationship Id="rId82" Type="http://schemas.openxmlformats.org/officeDocument/2006/relationships/hyperlink" Target="https://www.youtube.com/results?search_query=Revolutionaries%2C+Constitutional+Developments+%26+Partition+BPSC+Wallah+BPSC" TargetMode="External"/><Relationship Id="rId83" Type="http://schemas.openxmlformats.org/officeDocument/2006/relationships/hyperlink" Target="https://www.youtube.com/results?search_query=Revolutionaries%2C+Constitutional+Developments+%26+Partition+Vision+IAS+BPSC" TargetMode="External"/><Relationship Id="rId84" Type="http://schemas.openxmlformats.org/officeDocument/2006/relationships/hyperlink" Target="https://www.youtube.com/results?search_query=Revolutionaries%2C+Constitutional+Developments+%26+Partition+EduTeria+BPSC" TargetMode="External"/><Relationship Id="rId85" Type="http://schemas.openxmlformats.org/officeDocument/2006/relationships/hyperlink" Target="https://www.google.com/search?q=&#2325;&#2381;&#2352;&#2366;&#2306;&#2340;&#2367;&#2325;&#2366;&#2352;&#2368;+&#2310;&#2306;&#2342;&#2379;&#2354;&#2344;%2C+&#2360;&#2306;&#2357;&#2376;&#2343;&#2366;&#2344;&#2367;&#2325;+&#2357;&#2367;&#2325;&#2366;&#2360;+&#2319;&#2357;&#2306;+&#2357;&#2367;&#2349;&#2366;&#2332;&#2344;+%28site%3Adrishtiias.com+OR+site%3Avisionias.in+OR+site%3Ancert.nic.in+OR+site%3Ajagranjosh.com+OR+site%3Agktoday.in%29" TargetMode="External"/><Relationship Id="rId86" Type="http://schemas.openxmlformats.org/officeDocument/2006/relationships/hyperlink" Target="https://www.youtube.com/results?search_query=Post-Independence+India+%281947+onwards%29+Drishti+IAS+BPSC" TargetMode="External"/><Relationship Id="rId87" Type="http://schemas.openxmlformats.org/officeDocument/2006/relationships/hyperlink" Target="https://www.youtube.com/results?search_query=Post-Independence+India+%281947+onwards%29+BPSC+Wallah+BPSC" TargetMode="External"/><Relationship Id="rId88" Type="http://schemas.openxmlformats.org/officeDocument/2006/relationships/hyperlink" Target="https://www.youtube.com/results?search_query=Post-Independence+India+%281947+onwards%29+Vision+IAS+BPSC" TargetMode="External"/><Relationship Id="rId89" Type="http://schemas.openxmlformats.org/officeDocument/2006/relationships/hyperlink" Target="https://www.youtube.com/results?search_query=Post-Independence+India+%281947+onwards%29+EduTeria+BPSC" TargetMode="External"/><Relationship Id="rId90" Type="http://schemas.openxmlformats.org/officeDocument/2006/relationships/hyperlink" Target="https://www.google.com/search?q=&#2360;&#2381;&#2357;&#2366;&#2340;&#2306;&#2340;&#2381;&#2352;&#2381;&#2351;&#2379;&#2340;&#2381;&#2340;&#2352;+&#2349;&#2366;&#2352;&#2340;+%281947+&#2325;&#2375;+&#2348;&#2366;&#2342;%29+%28site%3Adrishtiias.com+OR+site%3Avisionias.in+OR+site%3Ancert.nic.in+OR+site%3Ajagranjosh.com+OR+site%3Agktoday.in%29" TargetMode="External"/><Relationship Id="rId91" Type="http://schemas.openxmlformats.org/officeDocument/2006/relationships/hyperlink" Target="https://www.youtube.com/results?search_query=Art+%26+Architecture+of+India+Drishti+IAS+BPSC" TargetMode="External"/><Relationship Id="rId92" Type="http://schemas.openxmlformats.org/officeDocument/2006/relationships/hyperlink" Target="https://www.youtube.com/results?search_query=Art+%26+Architecture+of+India+BPSC+Wallah+BPSC" TargetMode="External"/><Relationship Id="rId93" Type="http://schemas.openxmlformats.org/officeDocument/2006/relationships/hyperlink" Target="https://www.youtube.com/results?search_query=Art+%26+Architecture+of+India+Vision+IAS+BPSC" TargetMode="External"/><Relationship Id="rId94" Type="http://schemas.openxmlformats.org/officeDocument/2006/relationships/hyperlink" Target="https://www.youtube.com/results?search_query=Art+%26+Architecture+of+India+EduTeria+BPSC" TargetMode="External"/><Relationship Id="rId95" Type="http://schemas.openxmlformats.org/officeDocument/2006/relationships/hyperlink" Target="https://www.google.com/search?q=&#2349;&#2366;&#2352;&#2340;&#2368;&#2351;+&#2325;&#2354;&#2366;+&#2319;&#2357;&#2306;+&#2360;&#2381;&#2341;&#2366;&#2346;&#2340;&#2381;&#2351;+%28site%3Adrishtiias.com+OR+site%3Avisionias.in+OR+site%3Ancert.nic.in+OR+site%3Ajagranjosh.com+OR+site%3Agktoday.in%29" TargetMode="External"/><Relationship Id="rId96" Type="http://schemas.openxmlformats.org/officeDocument/2006/relationships/hyperlink" Target="https://www.youtube.com/results?search_query=Performing+Arts%2C+Literature%2C+Festivals+%26+UNESCO+Sites+Drishti+IAS+BPSC" TargetMode="External"/><Relationship Id="rId97" Type="http://schemas.openxmlformats.org/officeDocument/2006/relationships/hyperlink" Target="https://www.youtube.com/results?search_query=Performing+Arts%2C+Literature%2C+Festivals+%26+UNESCO+Sites+BPSC+Wallah+BPSC" TargetMode="External"/><Relationship Id="rId98" Type="http://schemas.openxmlformats.org/officeDocument/2006/relationships/hyperlink" Target="https://www.youtube.com/results?search_query=Performing+Arts%2C+Literature%2C+Festivals+%26+UNESCO+Sites+Vision+IAS+BPSC" TargetMode="External"/><Relationship Id="rId99" Type="http://schemas.openxmlformats.org/officeDocument/2006/relationships/hyperlink" Target="https://www.youtube.com/results?search_query=Performing+Arts%2C+Literature%2C+Festivals+%26+UNESCO+Sites+EduTeria+BPSC" TargetMode="External"/><Relationship Id="rId100" Type="http://schemas.openxmlformats.org/officeDocument/2006/relationships/hyperlink" Target="https://www.google.com/search?q=&#2346;&#2381;&#2352;&#2342;&#2352;&#2381;&#2358;&#2344;+&#2325;&#2354;&#2366;&#2319;&#2305;%2C+&#2360;&#2366;&#2361;&#2367;&#2340;&#2381;&#2351;%2C+&#2340;&#2381;&#2351;&#2379;&#2361;&#2366;&#2352;+&#2319;&#2357;&#2306;+&#2351;&#2370;&#2344;&#2375;&#2360;&#2381;&#2325;&#2379;+&#2360;&#2381;&#2341;&#2354;+%28site%3Adrishtiias.com+OR+site%3Avisionias.in+OR+site%3Ancert.nic.in+OR+site%3Ajagranjosh.com+OR+site%3Agktoday.in%29" TargetMode="External"/><Relationship Id="rId101" Type="http://schemas.openxmlformats.org/officeDocument/2006/relationships/hyperlink" Target="https://www.youtube.com/results?search_query=Universe%2C+Solar+System+%26+Earth+Drishti+IAS+BPSC" TargetMode="External"/><Relationship Id="rId102" Type="http://schemas.openxmlformats.org/officeDocument/2006/relationships/hyperlink" Target="https://www.youtube.com/results?search_query=Universe%2C+Solar+System+%26+Earth+BPSC+Wallah+BPSC" TargetMode="External"/><Relationship Id="rId103" Type="http://schemas.openxmlformats.org/officeDocument/2006/relationships/hyperlink" Target="https://www.youtube.com/results?search_query=Universe%2C+Solar+System+%26+Earth+Vision+IAS+BPSC" TargetMode="External"/><Relationship Id="rId104" Type="http://schemas.openxmlformats.org/officeDocument/2006/relationships/hyperlink" Target="https://www.youtube.com/results?search_query=Universe%2C+Solar+System+%26+Earth+EduTeria+BPSC" TargetMode="External"/><Relationship Id="rId105" Type="http://schemas.openxmlformats.org/officeDocument/2006/relationships/hyperlink" Target="https://www.google.com/search?q=&#2348;&#2381;&#2352;&#2361;&#2381;&#2350;&#2366;&#2306;&#2337;%2C+&#2360;&#2380;&#2352;&#2350;&#2306;&#2337;&#2354;+&#2319;&#2357;&#2306;+&#2346;&#2371;&#2341;&#2381;&#2357;&#2368;+%28site%3Adrishtiias.com+OR+site%3Avisionias.in+OR+site%3Ancert.nic.in+OR+site%3Ajagranjosh.com+OR+site%3Agktoday.in%29" TargetMode="External"/><Relationship Id="rId106" Type="http://schemas.openxmlformats.org/officeDocument/2006/relationships/hyperlink" Target="https://www.youtube.com/results?search_query=Geomorphology%3A+Earth%27s+Interior%2C+Rocks+%26+Landforms+Drishti+IAS+BPSC" TargetMode="External"/><Relationship Id="rId107" Type="http://schemas.openxmlformats.org/officeDocument/2006/relationships/hyperlink" Target="https://www.youtube.com/results?search_query=Geomorphology%3A+Earth%27s+Interior%2C+Rocks+%26+Landforms+BPSC+Wallah+BPSC" TargetMode="External"/><Relationship Id="rId108" Type="http://schemas.openxmlformats.org/officeDocument/2006/relationships/hyperlink" Target="https://www.youtube.com/results?search_query=Geomorphology%3A+Earth%27s+Interior%2C+Rocks+%26+Landforms+Vision+IAS+BPSC" TargetMode="External"/><Relationship Id="rId109" Type="http://schemas.openxmlformats.org/officeDocument/2006/relationships/hyperlink" Target="https://www.youtube.com/results?search_query=Geomorphology%3A+Earth%27s+Interior%2C+Rocks+%26+Landforms+EduTeria+BPSC" TargetMode="External"/><Relationship Id="rId110" Type="http://schemas.openxmlformats.org/officeDocument/2006/relationships/hyperlink" Target="https://www.google.com/search?q=&#2349;&#2370;-&#2310;&#2325;&#2371;&#2340;&#2367;+&#2357;&#2367;&#2332;&#2381;&#2334;&#2366;&#2344;%3A+&#2346;&#2371;&#2341;&#2381;&#2357;&#2368;+&#2325;&#2366;+&#2310;&#2306;&#2340;&#2352;&#2367;&#2325;+&#2349;&#2366;&#2327;%2C+&#2330;&#2335;&#2381;&#2335;&#2366;&#2344;&#2375;&#2306;+&#2319;&#2357;&#2306;+&#2360;&#2381;&#2341;&#2354;&#2352;&#2370;&#2346;+%28site%3Adrishtiias.com+OR+site%3Avisionias.in+OR+site%3Ancert.nic.in+OR+site%3Ajagranjosh.com+OR+site%3Agktoday.in%29" TargetMode="External"/><Relationship Id="rId111" Type="http://schemas.openxmlformats.org/officeDocument/2006/relationships/hyperlink" Target="https://www.youtube.com/results?search_query=Climatology%3A+Atmosphere%2C+Winds+%26+Climate+Drishti+IAS+BPSC" TargetMode="External"/><Relationship Id="rId112" Type="http://schemas.openxmlformats.org/officeDocument/2006/relationships/hyperlink" Target="https://www.youtube.com/results?search_query=Climatology%3A+Atmosphere%2C+Winds+%26+Climate+BPSC+Wallah+BPSC" TargetMode="External"/><Relationship Id="rId113" Type="http://schemas.openxmlformats.org/officeDocument/2006/relationships/hyperlink" Target="https://www.youtube.com/results?search_query=Climatology%3A+Atmosphere%2C+Winds+%26+Climate+Vision+IAS+BPSC" TargetMode="External"/><Relationship Id="rId114" Type="http://schemas.openxmlformats.org/officeDocument/2006/relationships/hyperlink" Target="https://www.youtube.com/results?search_query=Climatology%3A+Atmosphere%2C+Winds+%26+Climate+EduTeria+BPSC" TargetMode="External"/><Relationship Id="rId115" Type="http://schemas.openxmlformats.org/officeDocument/2006/relationships/hyperlink" Target="https://www.google.com/search?q=&#2332;&#2354;&#2357;&#2366;&#2351;&#2369;+&#2357;&#2367;&#2332;&#2381;&#2334;&#2366;&#2344;%3A+&#2357;&#2366;&#2351;&#2369;&#2350;&#2306;&#2337;&#2354;%2C+&#2346;&#2357;&#2344;&#2375;&#2306;+&#2319;&#2357;&#2306;+&#2332;&#2354;&#2357;&#2366;&#2351;&#2369;+%28site%3Adrishtiias.com+OR+site%3Avisionias.in+OR+site%3Ancert.nic.in+OR+site%3Ajagranjosh.com+OR+site%3Agktoday.in%29" TargetMode="External"/><Relationship Id="rId116" Type="http://schemas.openxmlformats.org/officeDocument/2006/relationships/hyperlink" Target="https://www.youtube.com/results?search_query=Oceanography+Drishti+IAS+BPSC" TargetMode="External"/><Relationship Id="rId117" Type="http://schemas.openxmlformats.org/officeDocument/2006/relationships/hyperlink" Target="https://www.youtube.com/results?search_query=Oceanography+BPSC+Wallah+BPSC" TargetMode="External"/><Relationship Id="rId118" Type="http://schemas.openxmlformats.org/officeDocument/2006/relationships/hyperlink" Target="https://www.youtube.com/results?search_query=Oceanography+Vision+IAS+BPSC" TargetMode="External"/><Relationship Id="rId119" Type="http://schemas.openxmlformats.org/officeDocument/2006/relationships/hyperlink" Target="https://www.youtube.com/results?search_query=Oceanography+EduTeria+BPSC" TargetMode="External"/><Relationship Id="rId120" Type="http://schemas.openxmlformats.org/officeDocument/2006/relationships/hyperlink" Target="https://www.google.com/search?q=&#2360;&#2350;&#2369;&#2342;&#2381;&#2352;+&#2357;&#2367;&#2332;&#2381;&#2334;&#2366;&#2344;+%28site%3Adrishtiias.com+OR+site%3Avisionias.in+OR+site%3Ancert.nic.in+OR+site%3Ajagranjosh.com+OR+site%3Agktoday.in%29" TargetMode="External"/><Relationship Id="rId121" Type="http://schemas.openxmlformats.org/officeDocument/2006/relationships/hyperlink" Target="https://www.youtube.com/results?search_query=Indian+Physiography+Drishti+IAS+BPSC" TargetMode="External"/><Relationship Id="rId122" Type="http://schemas.openxmlformats.org/officeDocument/2006/relationships/hyperlink" Target="https://www.youtube.com/results?search_query=Indian+Physiography+BPSC+Wallah+BPSC" TargetMode="External"/><Relationship Id="rId123" Type="http://schemas.openxmlformats.org/officeDocument/2006/relationships/hyperlink" Target="https://www.youtube.com/results?search_query=Indian+Physiography+Vision+IAS+BPSC" TargetMode="External"/><Relationship Id="rId124" Type="http://schemas.openxmlformats.org/officeDocument/2006/relationships/hyperlink" Target="https://www.youtube.com/results?search_query=Indian+Physiography+EduTeria+BPSC" TargetMode="External"/><Relationship Id="rId125" Type="http://schemas.openxmlformats.org/officeDocument/2006/relationships/hyperlink" Target="https://www.google.com/search?q=&#2349;&#2366;&#2352;&#2340;+&#2325;&#2366;+&#2349;&#2380;&#2340;&#2367;&#2325;+&#2360;&#2381;&#2357;&#2352;&#2370;&#2346;+%28site%3Adrishtiias.com+OR+site%3Avisionias.in+OR+site%3Ancert.nic.in+OR+site%3Ajagranjosh.com+OR+site%3Agktoday.in%29" TargetMode="External"/><Relationship Id="rId126" Type="http://schemas.openxmlformats.org/officeDocument/2006/relationships/hyperlink" Target="https://www.youtube.com/results?search_query=Indian+Drainage+System+Drishti+IAS+BPSC" TargetMode="External"/><Relationship Id="rId127" Type="http://schemas.openxmlformats.org/officeDocument/2006/relationships/hyperlink" Target="https://www.youtube.com/results?search_query=Indian+Drainage+System+BPSC+Wallah+BPSC" TargetMode="External"/><Relationship Id="rId128" Type="http://schemas.openxmlformats.org/officeDocument/2006/relationships/hyperlink" Target="https://www.youtube.com/results?search_query=Indian+Drainage+System+Vision+IAS+BPSC" TargetMode="External"/><Relationship Id="rId129" Type="http://schemas.openxmlformats.org/officeDocument/2006/relationships/hyperlink" Target="https://www.youtube.com/results?search_query=Indian+Drainage+System+EduTeria+BPSC" TargetMode="External"/><Relationship Id="rId130" Type="http://schemas.openxmlformats.org/officeDocument/2006/relationships/hyperlink" Target="https://www.google.com/search?q=&#2349;&#2366;&#2352;&#2340;&#2368;&#2351;+&#2309;&#2346;&#2357;&#2366;&#2361;+&#2340;&#2306;&#2340;&#2381;&#2352;+%28site%3Adrishtiias.com+OR+site%3Avisionias.in+OR+site%3Ancert.nic.in+OR+site%3Ajagranjosh.com+OR+site%3Agktoday.in%29" TargetMode="External"/><Relationship Id="rId131" Type="http://schemas.openxmlformats.org/officeDocument/2006/relationships/hyperlink" Target="https://www.youtube.com/results?search_query=Indian+Climate%2C+Monsoon%2C+Soils+%26+Vegetation+Drishti+IAS+BPSC" TargetMode="External"/><Relationship Id="rId132" Type="http://schemas.openxmlformats.org/officeDocument/2006/relationships/hyperlink" Target="https://www.youtube.com/results?search_query=Indian+Climate%2C+Monsoon%2C+Soils+%26+Vegetation+BPSC+Wallah+BPSC" TargetMode="External"/><Relationship Id="rId133" Type="http://schemas.openxmlformats.org/officeDocument/2006/relationships/hyperlink" Target="https://www.youtube.com/results?search_query=Indian+Climate%2C+Monsoon%2C+Soils+%26+Vegetation+Vision+IAS+BPSC" TargetMode="External"/><Relationship Id="rId134" Type="http://schemas.openxmlformats.org/officeDocument/2006/relationships/hyperlink" Target="https://www.youtube.com/results?search_query=Indian+Climate%2C+Monsoon%2C+Soils+%26+Vegetation+EduTeria+BPSC" TargetMode="External"/><Relationship Id="rId135" Type="http://schemas.openxmlformats.org/officeDocument/2006/relationships/hyperlink" Target="https://www.google.com/search?q=&#2349;&#2366;&#2352;&#2340;+&#2325;&#2368;+&#2332;&#2354;&#2357;&#2366;&#2351;&#2369;%2C+&#2350;&#2366;&#2344;&#2360;&#2370;&#2344;%2C+&#2350;&#2371;&#2342;&#2366;+&#2319;&#2357;&#2306;+&#2357;&#2344;&#2360;&#2381;&#2346;&#2340;&#2367;+%28site%3Adrishtiias.com+OR+site%3Avisionias.in+OR+site%3Ancert.nic.in+OR+site%3Ajagranjosh.com+OR+site%3Agktoday.in%29" TargetMode="External"/><Relationship Id="rId136" Type="http://schemas.openxmlformats.org/officeDocument/2006/relationships/hyperlink" Target="https://www.youtube.com/results?search_query=Indian+Agriculture+Drishti+IAS+BPSC" TargetMode="External"/><Relationship Id="rId137" Type="http://schemas.openxmlformats.org/officeDocument/2006/relationships/hyperlink" Target="https://www.youtube.com/results?search_query=Indian+Agriculture+BPSC+Wallah+BPSC" TargetMode="External"/><Relationship Id="rId138" Type="http://schemas.openxmlformats.org/officeDocument/2006/relationships/hyperlink" Target="https://www.youtube.com/results?search_query=Indian+Agriculture+Vision+IAS+BPSC" TargetMode="External"/><Relationship Id="rId139" Type="http://schemas.openxmlformats.org/officeDocument/2006/relationships/hyperlink" Target="https://www.youtube.com/results?search_query=Indian+Agriculture+EduTeria+BPSC" TargetMode="External"/><Relationship Id="rId140" Type="http://schemas.openxmlformats.org/officeDocument/2006/relationships/hyperlink" Target="https://www.google.com/search?q=&#2349;&#2366;&#2352;&#2340;&#2368;&#2351;+&#2325;&#2371;&#2359;&#2367;+%28site%3Adrishtiias.com+OR+site%3Avisionias.in+OR+site%3Ancert.nic.in+OR+site%3Ajagranjosh.com+OR+site%3Agktoday.in%29" TargetMode="External"/><Relationship Id="rId141" Type="http://schemas.openxmlformats.org/officeDocument/2006/relationships/hyperlink" Target="https://www.youtube.com/results?search_query=Minerals%2C+Energy+%26+Industries+Drishti+IAS+BPSC" TargetMode="External"/><Relationship Id="rId142" Type="http://schemas.openxmlformats.org/officeDocument/2006/relationships/hyperlink" Target="https://www.youtube.com/results?search_query=Minerals%2C+Energy+%26+Industries+BPSC+Wallah+BPSC" TargetMode="External"/><Relationship Id="rId143" Type="http://schemas.openxmlformats.org/officeDocument/2006/relationships/hyperlink" Target="https://www.youtube.com/results?search_query=Minerals%2C+Energy+%26+Industries+Vision+IAS+BPSC" TargetMode="External"/><Relationship Id="rId144" Type="http://schemas.openxmlformats.org/officeDocument/2006/relationships/hyperlink" Target="https://www.youtube.com/results?search_query=Minerals%2C+Energy+%26+Industries+EduTeria+BPSC" TargetMode="External"/><Relationship Id="rId145" Type="http://schemas.openxmlformats.org/officeDocument/2006/relationships/hyperlink" Target="https://www.google.com/search?q=&#2326;&#2344;&#2367;&#2332;%2C+&#2314;&#2352;&#2381;&#2332;&#2366;+&#2319;&#2357;&#2306;+&#2313;&#2342;&#2381;&#2351;&#2379;&#2327;+%28site%3Adrishtiias.com+OR+site%3Avisionias.in+OR+site%3Ancert.nic.in+OR+site%3Ajagranjosh.com+OR+site%3Agktoday.in%29" TargetMode="External"/><Relationship Id="rId146" Type="http://schemas.openxmlformats.org/officeDocument/2006/relationships/hyperlink" Target="https://www.youtube.com/results?search_query=Transport%2C+Population%2C+Census+%26+Urbanisation+Drishti+IAS+BPSC" TargetMode="External"/><Relationship Id="rId147" Type="http://schemas.openxmlformats.org/officeDocument/2006/relationships/hyperlink" Target="https://www.youtube.com/results?search_query=Transport%2C+Population%2C+Census+%26+Urbanisation+BPSC+Wallah+BPSC" TargetMode="External"/><Relationship Id="rId148" Type="http://schemas.openxmlformats.org/officeDocument/2006/relationships/hyperlink" Target="https://www.youtube.com/results?search_query=Transport%2C+Population%2C+Census+%26+Urbanisation+Vision+IAS+BPSC" TargetMode="External"/><Relationship Id="rId149" Type="http://schemas.openxmlformats.org/officeDocument/2006/relationships/hyperlink" Target="https://www.youtube.com/results?search_query=Transport%2C+Population%2C+Census+%26+Urbanisation+EduTeria+BPSC" TargetMode="External"/><Relationship Id="rId150" Type="http://schemas.openxmlformats.org/officeDocument/2006/relationships/hyperlink" Target="https://www.google.com/search?q=&#2346;&#2352;&#2367;&#2357;&#2361;&#2344;%2C+&#2332;&#2344;&#2360;&#2306;&#2326;&#2381;&#2351;&#2366;%2C+&#2332;&#2344;&#2327;&#2339;&#2344;&#2366;+&#2319;&#2357;&#2306;+&#2344;&#2327;&#2352;&#2368;&#2325;&#2352;&#2339;+%28site%3Adrishtiias.com+OR+site%3Avisionias.in+OR+site%3Ancert.nic.in+OR+site%3Ajagranjosh.com+OR+site%3Agktoday.in%29" TargetMode="External"/><Relationship Id="rId151" Type="http://schemas.openxmlformats.org/officeDocument/2006/relationships/hyperlink" Target="https://www.youtube.com/results?search_query=World+Geography+Drishti+IAS+BPSC" TargetMode="External"/><Relationship Id="rId152" Type="http://schemas.openxmlformats.org/officeDocument/2006/relationships/hyperlink" Target="https://www.youtube.com/results?search_query=World+Geography+BPSC+Wallah+BPSC" TargetMode="External"/><Relationship Id="rId153" Type="http://schemas.openxmlformats.org/officeDocument/2006/relationships/hyperlink" Target="https://www.youtube.com/results?search_query=World+Geography+Vision+IAS+BPSC" TargetMode="External"/><Relationship Id="rId154" Type="http://schemas.openxmlformats.org/officeDocument/2006/relationships/hyperlink" Target="https://www.youtube.com/results?search_query=World+Geography+EduTeria+BPSC" TargetMode="External"/><Relationship Id="rId155" Type="http://schemas.openxmlformats.org/officeDocument/2006/relationships/hyperlink" Target="https://www.google.com/search?q=&#2357;&#2367;&#2358;&#2381;&#2357;+&#2349;&#2370;&#2327;&#2379;&#2354;+%28site%3Adrishtiias.com+OR+site%3Avisionias.in+OR+site%3Ancert.nic.in+OR+site%3Ajagranjosh.com+OR+site%3Agktoday.in%29" TargetMode="External"/><Relationship Id="rId156" Type="http://schemas.openxmlformats.org/officeDocument/2006/relationships/hyperlink" Target="https://www.youtube.com/results?search_query=Constitution+Making%2C+Preamble+%26+Features+Drishti+IAS+BPSC" TargetMode="External"/><Relationship Id="rId157" Type="http://schemas.openxmlformats.org/officeDocument/2006/relationships/hyperlink" Target="https://www.youtube.com/results?search_query=Constitution+Making%2C+Preamble+%26+Features+BPSC+Wallah+BPSC" TargetMode="External"/><Relationship Id="rId158" Type="http://schemas.openxmlformats.org/officeDocument/2006/relationships/hyperlink" Target="https://www.youtube.com/results?search_query=Constitution+Making%2C+Preamble+%26+Features+Vision+IAS+BPSC" TargetMode="External"/><Relationship Id="rId159" Type="http://schemas.openxmlformats.org/officeDocument/2006/relationships/hyperlink" Target="https://www.youtube.com/results?search_query=Constitution+Making%2C+Preamble+%26+Features+EduTeria+BPSC" TargetMode="External"/><Relationship Id="rId160" Type="http://schemas.openxmlformats.org/officeDocument/2006/relationships/hyperlink" Target="https://www.google.com/search?q=&#2360;&#2306;&#2357;&#2367;&#2343;&#2366;&#2344;+&#2344;&#2367;&#2352;&#2381;&#2350;&#2366;&#2339;%2C+&#2346;&#2381;&#2352;&#2360;&#2381;&#2340;&#2366;&#2357;&#2344;&#2366;+&#2319;&#2357;&#2306;+&#2357;&#2367;&#2358;&#2375;&#2359;&#2340;&#2366;&#2319;&#2305;+%28site%3Adrishtiias.com+OR+site%3Avisionias.in+OR+site%3Ancert.nic.in+OR+site%3Ajagranjosh.com+OR+site%3Agktoday.in%29" TargetMode="External"/><Relationship Id="rId161" Type="http://schemas.openxmlformats.org/officeDocument/2006/relationships/hyperlink" Target="https://www.youtube.com/results?search_query=Union%2C+Citizenship+%26+Fundamental+Rights+Drishti+IAS+BPSC" TargetMode="External"/><Relationship Id="rId162" Type="http://schemas.openxmlformats.org/officeDocument/2006/relationships/hyperlink" Target="https://www.youtube.com/results?search_query=Union%2C+Citizenship+%26+Fundamental+Rights+BPSC+Wallah+BPSC" TargetMode="External"/><Relationship Id="rId163" Type="http://schemas.openxmlformats.org/officeDocument/2006/relationships/hyperlink" Target="https://www.youtube.com/results?search_query=Union%2C+Citizenship+%26+Fundamental+Rights+Vision+IAS+BPSC" TargetMode="External"/><Relationship Id="rId164" Type="http://schemas.openxmlformats.org/officeDocument/2006/relationships/hyperlink" Target="https://www.youtube.com/results?search_query=Union%2C+Citizenship+%26+Fundamental+Rights+EduTeria+BPSC" TargetMode="External"/><Relationship Id="rId165" Type="http://schemas.openxmlformats.org/officeDocument/2006/relationships/hyperlink" Target="https://www.google.com/search?q=&#2360;&#2306;&#2328;%2C+&#2344;&#2366;&#2327;&#2352;&#2367;&#2325;&#2340;&#2366;+&#2319;&#2357;&#2306;+&#2350;&#2380;&#2354;&#2367;&#2325;+&#2309;&#2343;&#2367;&#2325;&#2366;&#2352;+%28site%3Adrishtiias.com+OR+site%3Avisionias.in+OR+site%3Ancert.nic.in+OR+site%3Ajagranjosh.com+OR+site%3Agktoday.in%29" TargetMode="External"/><Relationship Id="rId166" Type="http://schemas.openxmlformats.org/officeDocument/2006/relationships/hyperlink" Target="https://www.youtube.com/results?search_query=DPSP%2C+Fundamental+Duties+%26+Constitutional+Amendments+Drishti+IAS+BPSC" TargetMode="External"/><Relationship Id="rId167" Type="http://schemas.openxmlformats.org/officeDocument/2006/relationships/hyperlink" Target="https://www.youtube.com/results?search_query=DPSP%2C+Fundamental+Duties+%26+Constitutional+Amendments+BPSC+Wallah+BPSC" TargetMode="External"/><Relationship Id="rId168" Type="http://schemas.openxmlformats.org/officeDocument/2006/relationships/hyperlink" Target="https://www.youtube.com/results?search_query=DPSP%2C+Fundamental+Duties+%26+Constitutional+Amendments+Vision+IAS+BPSC" TargetMode="External"/><Relationship Id="rId169" Type="http://schemas.openxmlformats.org/officeDocument/2006/relationships/hyperlink" Target="https://www.youtube.com/results?search_query=DPSP%2C+Fundamental+Duties+%26+Constitutional+Amendments+EduTeria+BPSC" TargetMode="External"/><Relationship Id="rId170" Type="http://schemas.openxmlformats.org/officeDocument/2006/relationships/hyperlink" Target="https://www.google.com/search?q=&#2344;&#2368;&#2340;&#2367;+&#2344;&#2367;&#2342;&#2375;&#2358;&#2325;+&#2340;&#2340;&#2381;&#2357;%2C+&#2350;&#2380;&#2354;&#2367;&#2325;+&#2325;&#2352;&#2381;&#2340;&#2357;&#2381;&#2351;+&#2319;&#2357;&#2306;+&#2360;&#2306;&#2357;&#2367;&#2343;&#2366;&#2344;+&#2360;&#2306;&#2358;&#2379;&#2343;&#2344;+%28site%3Adrishtiias.com+OR+site%3Avisionias.in+OR+site%3Ancert.nic.in+OR+site%3Ajagranjosh.com+OR+site%3Agktoday.in%29" TargetMode="External"/><Relationship Id="rId171" Type="http://schemas.openxmlformats.org/officeDocument/2006/relationships/hyperlink" Target="https://www.youtube.com/results?search_query=Union+Executive+Drishti+IAS+BPSC" TargetMode="External"/><Relationship Id="rId172" Type="http://schemas.openxmlformats.org/officeDocument/2006/relationships/hyperlink" Target="https://www.youtube.com/results?search_query=Union+Executive+BPSC+Wallah+BPSC" TargetMode="External"/><Relationship Id="rId173" Type="http://schemas.openxmlformats.org/officeDocument/2006/relationships/hyperlink" Target="https://www.youtube.com/results?search_query=Union+Executive+Vision+IAS+BPSC" TargetMode="External"/><Relationship Id="rId174" Type="http://schemas.openxmlformats.org/officeDocument/2006/relationships/hyperlink" Target="https://www.youtube.com/results?search_query=Union+Executive+EduTeria+BPSC" TargetMode="External"/><Relationship Id="rId175" Type="http://schemas.openxmlformats.org/officeDocument/2006/relationships/hyperlink" Target="https://www.google.com/search?q=&#2360;&#2306;&#2328;+&#2325;&#2368;+&#2325;&#2366;&#2352;&#2381;&#2351;&#2346;&#2366;&#2354;&#2367;&#2325;&#2366;+%28site%3Adrishtiias.com+OR+site%3Avisionias.in+OR+site%3Ancert.nic.in+OR+site%3Ajagranjosh.com+OR+site%3Agktoday.in%29" TargetMode="External"/><Relationship Id="rId176" Type="http://schemas.openxmlformats.org/officeDocument/2006/relationships/hyperlink" Target="https://www.youtube.com/results?search_query=Parliament+Drishti+IAS+BPSC" TargetMode="External"/><Relationship Id="rId177" Type="http://schemas.openxmlformats.org/officeDocument/2006/relationships/hyperlink" Target="https://www.youtube.com/results?search_query=Parliament+BPSC+Wallah+BPSC" TargetMode="External"/><Relationship Id="rId178" Type="http://schemas.openxmlformats.org/officeDocument/2006/relationships/hyperlink" Target="https://www.youtube.com/results?search_query=Parliament+Vision+IAS+BPSC" TargetMode="External"/><Relationship Id="rId179" Type="http://schemas.openxmlformats.org/officeDocument/2006/relationships/hyperlink" Target="https://www.youtube.com/results?search_query=Parliament+EduTeria+BPSC" TargetMode="External"/><Relationship Id="rId180" Type="http://schemas.openxmlformats.org/officeDocument/2006/relationships/hyperlink" Target="https://www.google.com/search?q=&#2360;&#2306;&#2360;&#2342;+%28site%3Adrishtiias.com+OR+site%3Avisionias.in+OR+site%3Ancert.nic.in+OR+site%3Ajagranjosh.com+OR+site%3Agktoday.in%29" TargetMode="External"/><Relationship Id="rId181" Type="http://schemas.openxmlformats.org/officeDocument/2006/relationships/hyperlink" Target="https://www.youtube.com/results?search_query=Judiciary+Drishti+IAS+BPSC" TargetMode="External"/><Relationship Id="rId182" Type="http://schemas.openxmlformats.org/officeDocument/2006/relationships/hyperlink" Target="https://www.youtube.com/results?search_query=Judiciary+BPSC+Wallah+BPSC" TargetMode="External"/><Relationship Id="rId183" Type="http://schemas.openxmlformats.org/officeDocument/2006/relationships/hyperlink" Target="https://www.youtube.com/results?search_query=Judiciary+Vision+IAS+BPSC" TargetMode="External"/><Relationship Id="rId184" Type="http://schemas.openxmlformats.org/officeDocument/2006/relationships/hyperlink" Target="https://www.youtube.com/results?search_query=Judiciary+EduTeria+BPSC" TargetMode="External"/><Relationship Id="rId185" Type="http://schemas.openxmlformats.org/officeDocument/2006/relationships/hyperlink" Target="https://www.google.com/search?q=&#2344;&#2381;&#2351;&#2366;&#2351;&#2346;&#2366;&#2354;&#2367;&#2325;&#2366;+%28site%3Adrishtiias.com+OR+site%3Avisionias.in+OR+site%3Ancert.nic.in+OR+site%3Ajagranjosh.com+OR+site%3Agktoday.in%29" TargetMode="External"/><Relationship Id="rId186" Type="http://schemas.openxmlformats.org/officeDocument/2006/relationships/hyperlink" Target="https://www.youtube.com/results?search_query=Federalism%3A+Centre&#8211;State+Relations+%26+Emergency+Drishti+IAS+BPSC" TargetMode="External"/><Relationship Id="rId187" Type="http://schemas.openxmlformats.org/officeDocument/2006/relationships/hyperlink" Target="https://www.youtube.com/results?search_query=Federalism%3A+Centre&#8211;State+Relations+%26+Emergency+BPSC+Wallah+BPSC" TargetMode="External"/><Relationship Id="rId188" Type="http://schemas.openxmlformats.org/officeDocument/2006/relationships/hyperlink" Target="https://www.youtube.com/results?search_query=Federalism%3A+Centre&#8211;State+Relations+%26+Emergency+Vision+IAS+BPSC" TargetMode="External"/><Relationship Id="rId189" Type="http://schemas.openxmlformats.org/officeDocument/2006/relationships/hyperlink" Target="https://www.youtube.com/results?search_query=Federalism%3A+Centre&#8211;State+Relations+%26+Emergency+EduTeria+BPSC" TargetMode="External"/><Relationship Id="rId190" Type="http://schemas.openxmlformats.org/officeDocument/2006/relationships/hyperlink" Target="https://www.google.com/search?q=&#2360;&#2306;&#2328;&#2357;&#2366;&#2342;%3A+&#2325;&#2375;&#2306;&#2342;&#2381;&#2352;&#8211;&#2352;&#2366;&#2332;&#2381;&#2351;+&#2360;&#2306;&#2348;&#2306;&#2343;+&#2319;&#2357;&#2306;+&#2310;&#2346;&#2366;&#2340;&#2325;&#2366;&#2354;+%28site%3Adrishtiias.com+OR+site%3Avisionias.in+OR+site%3Ancert.nic.in+OR+site%3Ajagranjosh.com+OR+site%3Agktoday.in%29" TargetMode="External"/><Relationship Id="rId191" Type="http://schemas.openxmlformats.org/officeDocument/2006/relationships/hyperlink" Target="https://www.youtube.com/results?search_query=State+Government%2C+Panchayati+Raj+%26+Municipalities+Drishti+IAS+BPSC" TargetMode="External"/><Relationship Id="rId192" Type="http://schemas.openxmlformats.org/officeDocument/2006/relationships/hyperlink" Target="https://www.youtube.com/results?search_query=State+Government%2C+Panchayati+Raj+%26+Municipalities+BPSC+Wallah+BPSC" TargetMode="External"/><Relationship Id="rId193" Type="http://schemas.openxmlformats.org/officeDocument/2006/relationships/hyperlink" Target="https://www.youtube.com/results?search_query=State+Government%2C+Panchayati+Raj+%26+Municipalities+Vision+IAS+BPSC" TargetMode="External"/><Relationship Id="rId194" Type="http://schemas.openxmlformats.org/officeDocument/2006/relationships/hyperlink" Target="https://www.youtube.com/results?search_query=State+Government%2C+Panchayati+Raj+%26+Municipalities+EduTeria+BPSC" TargetMode="External"/><Relationship Id="rId195" Type="http://schemas.openxmlformats.org/officeDocument/2006/relationships/hyperlink" Target="https://www.google.com/search?q=&#2352;&#2366;&#2332;&#2381;&#2351;+&#2360;&#2352;&#2325;&#2366;&#2352;%2C+&#2346;&#2306;&#2330;&#2366;&#2351;&#2340;&#2368;+&#2352;&#2366;&#2332;+&#2319;&#2357;&#2306;+&#2344;&#2327;&#2352;&#2346;&#2366;&#2354;&#2367;&#2325;&#2366;&#2319;&#2305;+%28site%3Adrishtiias.com+OR+site%3Avisionias.in+OR+site%3Ancert.nic.in+OR+site%3Ajagranjosh.com+OR+site%3Agktoday.in%29" TargetMode="External"/><Relationship Id="rId196" Type="http://schemas.openxmlformats.org/officeDocument/2006/relationships/hyperlink" Target="https://www.youtube.com/results?search_query=Constitutional+%26+Non-Constitutional+Bodies+Drishti+IAS+BPSC" TargetMode="External"/><Relationship Id="rId197" Type="http://schemas.openxmlformats.org/officeDocument/2006/relationships/hyperlink" Target="https://www.youtube.com/results?search_query=Constitutional+%26+Non-Constitutional+Bodies+BPSC+Wallah+BPSC" TargetMode="External"/><Relationship Id="rId198" Type="http://schemas.openxmlformats.org/officeDocument/2006/relationships/hyperlink" Target="https://www.youtube.com/results?search_query=Constitutional+%26+Non-Constitutional+Bodies+Vision+IAS+BPSC" TargetMode="External"/><Relationship Id="rId199" Type="http://schemas.openxmlformats.org/officeDocument/2006/relationships/hyperlink" Target="https://www.youtube.com/results?search_query=Constitutional+%26+Non-Constitutional+Bodies+EduTeria+BPSC" TargetMode="External"/><Relationship Id="rId200" Type="http://schemas.openxmlformats.org/officeDocument/2006/relationships/hyperlink" Target="https://www.google.com/search?q=&#2360;&#2306;&#2357;&#2376;&#2343;&#2366;&#2344;&#2367;&#2325;+&#2319;&#2357;&#2306;+&#2327;&#2376;&#2352;-&#2360;&#2306;&#2357;&#2376;&#2343;&#2366;&#2344;&#2367;&#2325;+&#2344;&#2367;&#2325;&#2366;&#2351;+%28site%3Adrishtiias.com+OR+site%3Avisionias.in+OR+site%3Ancert.nic.in+OR+site%3Ajagranjosh.com+OR+site%3Agktoday.in%29" TargetMode="External"/><Relationship Id="rId201" Type="http://schemas.openxmlformats.org/officeDocument/2006/relationships/hyperlink" Target="https://www.youtube.com/results?search_query=Governance%2C+Rights+%26+Social+Justice+Drishti+IAS+BPSC" TargetMode="External"/><Relationship Id="rId202" Type="http://schemas.openxmlformats.org/officeDocument/2006/relationships/hyperlink" Target="https://www.youtube.com/results?search_query=Governance%2C+Rights+%26+Social+Justice+BPSC+Wallah+BPSC" TargetMode="External"/><Relationship Id="rId203" Type="http://schemas.openxmlformats.org/officeDocument/2006/relationships/hyperlink" Target="https://www.youtube.com/results?search_query=Governance%2C+Rights+%26+Social+Justice+Vision+IAS+BPSC" TargetMode="External"/><Relationship Id="rId204" Type="http://schemas.openxmlformats.org/officeDocument/2006/relationships/hyperlink" Target="https://www.youtube.com/results?search_query=Governance%2C+Rights+%26+Social+Justice+EduTeria+BPSC" TargetMode="External"/><Relationship Id="rId205" Type="http://schemas.openxmlformats.org/officeDocument/2006/relationships/hyperlink" Target="https://www.google.com/search?q=&#2358;&#2366;&#2360;&#2344;%2C+&#2309;&#2343;&#2367;&#2325;&#2366;&#2352;+&#2319;&#2357;&#2306;+&#2360;&#2366;&#2350;&#2366;&#2332;&#2367;&#2325;+&#2344;&#2381;&#2351;&#2366;&#2351;+%28site%3Adrishtiias.com+OR+site%3Avisionias.in+OR+site%3Ancert.nic.in+OR+site%3Ajagranjosh.com+OR+site%3Agktoday.in%29" TargetMode="External"/><Relationship Id="rId206" Type="http://schemas.openxmlformats.org/officeDocument/2006/relationships/hyperlink" Target="https://www.youtube.com/results?search_query=Basic+Concepts%2C+National+Income+%26+Inflation+Drishti+IAS+BPSC" TargetMode="External"/><Relationship Id="rId207" Type="http://schemas.openxmlformats.org/officeDocument/2006/relationships/hyperlink" Target="https://www.youtube.com/results?search_query=Basic+Concepts%2C+National+Income+%26+Inflation+BPSC+Wallah+BPSC" TargetMode="External"/><Relationship Id="rId208" Type="http://schemas.openxmlformats.org/officeDocument/2006/relationships/hyperlink" Target="https://www.youtube.com/results?search_query=Basic+Concepts%2C+National+Income+%26+Inflation+Vision+IAS+BPSC" TargetMode="External"/><Relationship Id="rId209" Type="http://schemas.openxmlformats.org/officeDocument/2006/relationships/hyperlink" Target="https://www.youtube.com/results?search_query=Basic+Concepts%2C+National+Income+%26+Inflation+EduTeria+BPSC" TargetMode="External"/><Relationship Id="rId210" Type="http://schemas.openxmlformats.org/officeDocument/2006/relationships/hyperlink" Target="https://www.google.com/search?q=&#2350;&#2370;&#2354;+&#2309;&#2357;&#2343;&#2366;&#2352;&#2339;&#2366;&#2319;&#2305;%2C+&#2352;&#2366;&#2359;&#2381;&#2335;&#2381;&#2352;&#2368;&#2351;+&#2310;&#2351;+&#2319;&#2357;&#2306;+&#2350;&#2369;&#2342;&#2381;&#2352;&#2366;&#2360;&#2381;&#2347;&#2368;&#2340;&#2367;+%28site%3Adrishtiias.com+OR+site%3Avisionias.in+OR+site%3Ancert.nic.in+OR+site%3Ajagranjosh.com+OR+site%3Agktoday.in%29" TargetMode="External"/><Relationship Id="rId211" Type="http://schemas.openxmlformats.org/officeDocument/2006/relationships/hyperlink" Target="https://www.youtube.com/results?search_query=Planning%2C+Poverty+%26+Unemployment+Drishti+IAS+BPSC" TargetMode="External"/><Relationship Id="rId212" Type="http://schemas.openxmlformats.org/officeDocument/2006/relationships/hyperlink" Target="https://www.youtube.com/results?search_query=Planning%2C+Poverty+%26+Unemployment+BPSC+Wallah+BPSC" TargetMode="External"/><Relationship Id="rId213" Type="http://schemas.openxmlformats.org/officeDocument/2006/relationships/hyperlink" Target="https://www.youtube.com/results?search_query=Planning%2C+Poverty+%26+Unemployment+Vision+IAS+BPSC" TargetMode="External"/><Relationship Id="rId214" Type="http://schemas.openxmlformats.org/officeDocument/2006/relationships/hyperlink" Target="https://www.youtube.com/results?search_query=Planning%2C+Poverty+%26+Unemployment+EduTeria+BPSC" TargetMode="External"/><Relationship Id="rId215" Type="http://schemas.openxmlformats.org/officeDocument/2006/relationships/hyperlink" Target="https://www.google.com/search?q=&#2344;&#2367;&#2351;&#2379;&#2332;&#2344;%2C+&#2327;&#2352;&#2368;&#2348;&#2368;+&#2319;&#2357;&#2306;+&#2348;&#2375;&#2352;&#2379;&#2332;&#2364;&#2327;&#2366;&#2352;&#2368;+%28site%3Adrishtiias.com+OR+site%3Avisionias.in+OR+site%3Ancert.nic.in+OR+site%3Ajagranjosh.com+OR+site%3Agktoday.in%29" TargetMode="External"/><Relationship Id="rId216" Type="http://schemas.openxmlformats.org/officeDocument/2006/relationships/hyperlink" Target="https://www.youtube.com/results?search_query=Money%2C+Banking+%26+Monetary+Policy+Drishti+IAS+BPSC" TargetMode="External"/><Relationship Id="rId217" Type="http://schemas.openxmlformats.org/officeDocument/2006/relationships/hyperlink" Target="https://www.youtube.com/results?search_query=Money%2C+Banking+%26+Monetary+Policy+BPSC+Wallah+BPSC" TargetMode="External"/><Relationship Id="rId218" Type="http://schemas.openxmlformats.org/officeDocument/2006/relationships/hyperlink" Target="https://www.youtube.com/results?search_query=Money%2C+Banking+%26+Monetary+Policy+Vision+IAS+BPSC" TargetMode="External"/><Relationship Id="rId219" Type="http://schemas.openxmlformats.org/officeDocument/2006/relationships/hyperlink" Target="https://www.youtube.com/results?search_query=Money%2C+Banking+%26+Monetary+Policy+EduTeria+BPSC" TargetMode="External"/><Relationship Id="rId220" Type="http://schemas.openxmlformats.org/officeDocument/2006/relationships/hyperlink" Target="https://www.google.com/search?q=&#2350;&#2369;&#2342;&#2381;&#2352;&#2366;%2C+&#2348;&#2376;&#2306;&#2325;&#2367;&#2306;&#2327;+&#2319;&#2357;&#2306;+&#2350;&#2380;&#2342;&#2381;&#2352;&#2367;&#2325;+&#2344;&#2368;&#2340;&#2367;+%28site%3Adrishtiias.com+OR+site%3Avisionias.in+OR+site%3Ancert.nic.in+OR+site%3Ajagranjosh.com+OR+site%3Agktoday.in%29" TargetMode="External"/><Relationship Id="rId221" Type="http://schemas.openxmlformats.org/officeDocument/2006/relationships/hyperlink" Target="https://www.youtube.com/results?search_query=Public+Finance%3A+Budget%2C+Taxation+%26+GST+Drishti+IAS+BPSC" TargetMode="External"/><Relationship Id="rId222" Type="http://schemas.openxmlformats.org/officeDocument/2006/relationships/hyperlink" Target="https://www.youtube.com/results?search_query=Public+Finance%3A+Budget%2C+Taxation+%26+GST+BPSC+Wallah+BPSC" TargetMode="External"/><Relationship Id="rId223" Type="http://schemas.openxmlformats.org/officeDocument/2006/relationships/hyperlink" Target="https://www.youtube.com/results?search_query=Public+Finance%3A+Budget%2C+Taxation+%26+GST+Vision+IAS+BPSC" TargetMode="External"/><Relationship Id="rId224" Type="http://schemas.openxmlformats.org/officeDocument/2006/relationships/hyperlink" Target="https://www.youtube.com/results?search_query=Public+Finance%3A+Budget%2C+Taxation+%26+GST+EduTeria+BPSC" TargetMode="External"/><Relationship Id="rId225" Type="http://schemas.openxmlformats.org/officeDocument/2006/relationships/hyperlink" Target="https://www.google.com/search?q=&#2360;&#2366;&#2352;&#2381;&#2357;&#2332;&#2344;&#2367;&#2325;+&#2357;&#2367;&#2340;&#2381;&#2340;%3A+&#2348;&#2332;&#2335;%2C+&#2325;&#2352;&#2366;&#2343;&#2366;&#2344;+&#2319;&#2357;&#2306;+GST+%28site%3Adrishtiias.com+OR+site%3Avisionias.in+OR+site%3Ancert.nic.in+OR+site%3Ajagranjosh.com+OR+site%3Agktoday.in%29" TargetMode="External"/><Relationship Id="rId226" Type="http://schemas.openxmlformats.org/officeDocument/2006/relationships/hyperlink" Target="https://www.youtube.com/results?search_query=Agricultural+Economy+Drishti+IAS+BPSC" TargetMode="External"/><Relationship Id="rId227" Type="http://schemas.openxmlformats.org/officeDocument/2006/relationships/hyperlink" Target="https://www.youtube.com/results?search_query=Agricultural+Economy+BPSC+Wallah+BPSC" TargetMode="External"/><Relationship Id="rId228" Type="http://schemas.openxmlformats.org/officeDocument/2006/relationships/hyperlink" Target="https://www.youtube.com/results?search_query=Agricultural+Economy+Vision+IAS+BPSC" TargetMode="External"/><Relationship Id="rId229" Type="http://schemas.openxmlformats.org/officeDocument/2006/relationships/hyperlink" Target="https://www.youtube.com/results?search_query=Agricultural+Economy+EduTeria+BPSC" TargetMode="External"/><Relationship Id="rId230" Type="http://schemas.openxmlformats.org/officeDocument/2006/relationships/hyperlink" Target="https://www.google.com/search?q=&#2325;&#2371;&#2359;&#2367;+&#2309;&#2352;&#2381;&#2341;&#2357;&#2381;&#2351;&#2357;&#2360;&#2381;&#2341;&#2366;+%28site%3Adrishtiias.com+OR+site%3Avisionias.in+OR+site%3Ancert.nic.in+OR+site%3Ajagranjosh.com+OR+site%3Agktoday.in%29" TargetMode="External"/><Relationship Id="rId231" Type="http://schemas.openxmlformats.org/officeDocument/2006/relationships/hyperlink" Target="https://www.youtube.com/results?search_query=Industry%2C+Services+%26+Infrastructure+Drishti+IAS+BPSC" TargetMode="External"/><Relationship Id="rId232" Type="http://schemas.openxmlformats.org/officeDocument/2006/relationships/hyperlink" Target="https://www.youtube.com/results?search_query=Industry%2C+Services+%26+Infrastructure+BPSC+Wallah+BPSC" TargetMode="External"/><Relationship Id="rId233" Type="http://schemas.openxmlformats.org/officeDocument/2006/relationships/hyperlink" Target="https://www.youtube.com/results?search_query=Industry%2C+Services+%26+Infrastructure+Vision+IAS+BPSC" TargetMode="External"/><Relationship Id="rId234" Type="http://schemas.openxmlformats.org/officeDocument/2006/relationships/hyperlink" Target="https://www.youtube.com/results?search_query=Industry%2C+Services+%26+Infrastructure+EduTeria+BPSC" TargetMode="External"/><Relationship Id="rId235" Type="http://schemas.openxmlformats.org/officeDocument/2006/relationships/hyperlink" Target="https://www.google.com/search?q=&#2313;&#2342;&#2381;&#2351;&#2379;&#2327;%2C+&#2360;&#2375;&#2357;&#2366;&#2319;&#2305;+&#2319;&#2357;&#2306;+&#2309;&#2357;&#2360;&#2306;&#2352;&#2330;&#2344;&#2366;+%28site%3Adrishtiias.com+OR+site%3Avisionias.in+OR+site%3Ancert.nic.in+OR+site%3Ajagranjosh.com+OR+site%3Agktoday.in%29" TargetMode="External"/><Relationship Id="rId236" Type="http://schemas.openxmlformats.org/officeDocument/2006/relationships/hyperlink" Target="https://www.youtube.com/results?search_query=External+Sector+%26+International+Institutions+Drishti+IAS+BPSC" TargetMode="External"/><Relationship Id="rId237" Type="http://schemas.openxmlformats.org/officeDocument/2006/relationships/hyperlink" Target="https://www.youtube.com/results?search_query=External+Sector+%26+International+Institutions+BPSC+Wallah+BPSC" TargetMode="External"/><Relationship Id="rId238" Type="http://schemas.openxmlformats.org/officeDocument/2006/relationships/hyperlink" Target="https://www.youtube.com/results?search_query=External+Sector+%26+International+Institutions+Vision+IAS+BPSC" TargetMode="External"/><Relationship Id="rId239" Type="http://schemas.openxmlformats.org/officeDocument/2006/relationships/hyperlink" Target="https://www.youtube.com/results?search_query=External+Sector+%26+International+Institutions+EduTeria+BPSC" TargetMode="External"/><Relationship Id="rId240" Type="http://schemas.openxmlformats.org/officeDocument/2006/relationships/hyperlink" Target="https://www.google.com/search?q=&#2348;&#2366;&#2361;&#2381;&#2351;+&#2325;&#2381;&#2359;&#2375;&#2340;&#2381;&#2352;+&#2319;&#2357;&#2306;+&#2309;&#2306;&#2340;&#2352;&#2381;&#2352;&#2366;&#2359;&#2381;&#2335;&#2381;&#2352;&#2368;&#2351;+&#2360;&#2306;&#2360;&#2381;&#2341;&#2366;&#2319;&#2305;+%28site%3Adrishtiias.com+OR+site%3Avisionias.in+OR+site%3Ancert.nic.in+OR+site%3Ajagranjosh.com+OR+site%3Agktoday.in%29" TargetMode="External"/><Relationship Id="rId241" Type="http://schemas.openxmlformats.org/officeDocument/2006/relationships/hyperlink" Target="https://www.youtube.com/results?search_query=Capital+Market%2C+Insurance%2C+Economic+Survey+%26+Budget+Drishti+IAS+BPSC" TargetMode="External"/><Relationship Id="rId242" Type="http://schemas.openxmlformats.org/officeDocument/2006/relationships/hyperlink" Target="https://www.youtube.com/results?search_query=Capital+Market%2C+Insurance%2C+Economic+Survey+%26+Budget+BPSC+Wallah+BPSC" TargetMode="External"/><Relationship Id="rId243" Type="http://schemas.openxmlformats.org/officeDocument/2006/relationships/hyperlink" Target="https://www.youtube.com/results?search_query=Capital+Market%2C+Insurance%2C+Economic+Survey+%26+Budget+Vision+IAS+BPSC" TargetMode="External"/><Relationship Id="rId244" Type="http://schemas.openxmlformats.org/officeDocument/2006/relationships/hyperlink" Target="https://www.youtube.com/results?search_query=Capital+Market%2C+Insurance%2C+Economic+Survey+%26+Budget+EduTeria+BPSC" TargetMode="External"/><Relationship Id="rId245" Type="http://schemas.openxmlformats.org/officeDocument/2006/relationships/hyperlink" Target="https://www.google.com/search?q=&#2346;&#2370;&#2305;&#2332;&#2368;+&#2348;&#2366;&#2332;&#2364;&#2366;&#2352;%2C+&#2348;&#2368;&#2350;&#2366;%2C+&#2310;&#2352;&#2381;&#2341;&#2367;&#2325;+&#2360;&#2352;&#2381;&#2357;&#2375;&#2325;&#2381;&#2359;&#2339;+&#2319;&#2357;&#2306;+&#2348;&#2332;&#2335;+%28site%3Adrishtiias.com+OR+site%3Avisionias.in+OR+site%3Ancert.nic.in+OR+site%3Ajagranjosh.com+OR+site%3Agktoday.in%29" TargetMode="External"/><Relationship Id="rId246" Type="http://schemas.openxmlformats.org/officeDocument/2006/relationships/hyperlink" Target="https://www.youtube.com/results?search_query=Ecology+%26+Ecosystems+Drishti+IAS+BPSC" TargetMode="External"/><Relationship Id="rId247" Type="http://schemas.openxmlformats.org/officeDocument/2006/relationships/hyperlink" Target="https://www.youtube.com/results?search_query=Ecology+%26+Ecosystems+BPSC+Wallah+BPSC" TargetMode="External"/><Relationship Id="rId248" Type="http://schemas.openxmlformats.org/officeDocument/2006/relationships/hyperlink" Target="https://www.youtube.com/results?search_query=Ecology+%26+Ecosystems+Vision+IAS+BPSC" TargetMode="External"/><Relationship Id="rId249" Type="http://schemas.openxmlformats.org/officeDocument/2006/relationships/hyperlink" Target="https://www.youtube.com/results?search_query=Ecology+%26+Ecosystems+EduTeria+BPSC" TargetMode="External"/><Relationship Id="rId250" Type="http://schemas.openxmlformats.org/officeDocument/2006/relationships/hyperlink" Target="https://www.google.com/search?q=&#2346;&#2366;&#2352;&#2367;&#2360;&#2381;&#2341;&#2367;&#2340;&#2367;&#2325;&#2368;+&#2319;&#2357;&#2306;+&#2346;&#2366;&#2352;&#2367;&#2340;&#2306;&#2340;&#2381;&#2352;+%28site%3Adrishtiias.com+OR+site%3Avisionias.in+OR+site%3Ancert.nic.in+OR+site%3Ajagranjosh.com+OR+site%3Agktoday.in%29" TargetMode="External"/><Relationship Id="rId251" Type="http://schemas.openxmlformats.org/officeDocument/2006/relationships/hyperlink" Target="https://www.youtube.com/results?search_query=Biodiversity+%26+Conservation+Drishti+IAS+BPSC" TargetMode="External"/><Relationship Id="rId252" Type="http://schemas.openxmlformats.org/officeDocument/2006/relationships/hyperlink" Target="https://www.youtube.com/results?search_query=Biodiversity+%26+Conservation+BPSC+Wallah+BPSC" TargetMode="External"/><Relationship Id="rId253" Type="http://schemas.openxmlformats.org/officeDocument/2006/relationships/hyperlink" Target="https://www.youtube.com/results?search_query=Biodiversity+%26+Conservation+Vision+IAS+BPSC" TargetMode="External"/><Relationship Id="rId254" Type="http://schemas.openxmlformats.org/officeDocument/2006/relationships/hyperlink" Target="https://www.youtube.com/results?search_query=Biodiversity+%26+Conservation+EduTeria+BPSC" TargetMode="External"/><Relationship Id="rId255" Type="http://schemas.openxmlformats.org/officeDocument/2006/relationships/hyperlink" Target="https://www.google.com/search?q=&#2332;&#2376;&#2357;+&#2357;&#2367;&#2357;&#2367;&#2343;&#2340;&#2366;+&#2319;&#2357;&#2306;+&#2360;&#2306;&#2352;&#2325;&#2381;&#2359;&#2339;+%28site%3Adrishtiias.com+OR+site%3Avisionias.in+OR+site%3Ancert.nic.in+OR+site%3Ajagranjosh.com+OR+site%3Agktoday.in%29" TargetMode="External"/><Relationship Id="rId256" Type="http://schemas.openxmlformats.org/officeDocument/2006/relationships/hyperlink" Target="https://www.youtube.com/results?search_query=Climate+Change%2C+Pollution+%26+Environmental+Laws+Drishti+IAS+BPSC" TargetMode="External"/><Relationship Id="rId257" Type="http://schemas.openxmlformats.org/officeDocument/2006/relationships/hyperlink" Target="https://www.youtube.com/results?search_query=Climate+Change%2C+Pollution+%26+Environmental+Laws+BPSC+Wallah+BPSC" TargetMode="External"/><Relationship Id="rId258" Type="http://schemas.openxmlformats.org/officeDocument/2006/relationships/hyperlink" Target="https://www.youtube.com/results?search_query=Climate+Change%2C+Pollution+%26+Environmental+Laws+Vision+IAS+BPSC" TargetMode="External"/><Relationship Id="rId259" Type="http://schemas.openxmlformats.org/officeDocument/2006/relationships/hyperlink" Target="https://www.youtube.com/results?search_query=Climate+Change%2C+Pollution+%26+Environmental+Laws+EduTeria+BPSC" TargetMode="External"/><Relationship Id="rId260" Type="http://schemas.openxmlformats.org/officeDocument/2006/relationships/hyperlink" Target="https://www.google.com/search?q=&#2332;&#2354;&#2357;&#2366;&#2351;&#2369;+&#2346;&#2352;&#2367;&#2357;&#2352;&#2381;&#2340;&#2344;%2C+&#2346;&#2381;&#2352;&#2342;&#2370;&#2359;&#2339;+&#2319;&#2357;&#2306;+&#2346;&#2352;&#2381;&#2351;&#2366;&#2357;&#2352;&#2339;+&#2325;&#2366;&#2344;&#2370;&#2344;+%28site%3Adrishtiias.com+OR+site%3Avisionias.in+OR+site%3Ancert.nic.in+OR+site%3Ajagranjosh.com+OR+site%3Agktoday.in%29" TargetMode="External"/><Relationship Id="rId261" Type="http://schemas.openxmlformats.org/officeDocument/2006/relationships/hyperlink" Target="https://www.youtube.com/results?search_query=Bihar+&#8211;+Ancient+History+Drishti+IAS+BPSC" TargetMode="External"/><Relationship Id="rId262" Type="http://schemas.openxmlformats.org/officeDocument/2006/relationships/hyperlink" Target="https://www.youtube.com/results?search_query=Bihar+&#8211;+Ancient+History+BPSC+Wallah+BPSC" TargetMode="External"/><Relationship Id="rId263" Type="http://schemas.openxmlformats.org/officeDocument/2006/relationships/hyperlink" Target="https://www.youtube.com/results?search_query=Bihar+&#8211;+Ancient+History+Vision+IAS+BPSC" TargetMode="External"/><Relationship Id="rId264" Type="http://schemas.openxmlformats.org/officeDocument/2006/relationships/hyperlink" Target="https://www.youtube.com/results?search_query=Bihar+&#8211;+Ancient+History+EduTeria+BPSC" TargetMode="External"/><Relationship Id="rId265" Type="http://schemas.openxmlformats.org/officeDocument/2006/relationships/hyperlink" Target="https://www.google.com/search?q=&#2348;&#2367;&#2361;&#2366;&#2352;+&#8211;+&#2346;&#2381;&#2352;&#2366;&#2330;&#2368;&#2344;+&#2311;&#2340;&#2367;&#2361;&#2366;&#2360;+%28site%3Adrishtiias.com+OR+site%3Ajagranjosh.com+OR+site%3Agktoday.in+OR+site%3Atestbook.com+OR+site%3Abiharbhumi.bihar.gov.in%29" TargetMode="External"/><Relationship Id="rId266" Type="http://schemas.openxmlformats.org/officeDocument/2006/relationships/hyperlink" Target="https://www.youtube.com/results?search_query=Bihar+&#8211;+Medieval+%26+Colonial+History+Drishti+IAS+BPSC" TargetMode="External"/><Relationship Id="rId267" Type="http://schemas.openxmlformats.org/officeDocument/2006/relationships/hyperlink" Target="https://www.youtube.com/results?search_query=Bihar+&#8211;+Medieval+%26+Colonial+History+BPSC+Wallah+BPSC" TargetMode="External"/><Relationship Id="rId268" Type="http://schemas.openxmlformats.org/officeDocument/2006/relationships/hyperlink" Target="https://www.youtube.com/results?search_query=Bihar+&#8211;+Medieval+%26+Colonial+History+Vision+IAS+BPSC" TargetMode="External"/><Relationship Id="rId269" Type="http://schemas.openxmlformats.org/officeDocument/2006/relationships/hyperlink" Target="https://www.youtube.com/results?search_query=Bihar+&#8211;+Medieval+%26+Colonial+History+EduTeria+BPSC" TargetMode="External"/><Relationship Id="rId270" Type="http://schemas.openxmlformats.org/officeDocument/2006/relationships/hyperlink" Target="https://www.google.com/search?q=&#2348;&#2367;&#2361;&#2366;&#2352;+&#8211;+&#2350;&#2343;&#2381;&#2351;&#2325;&#2366;&#2354;&#2368;&#2344;+&#2319;&#2357;&#2306;+&#2324;&#2346;&#2344;&#2367;&#2357;&#2375;&#2358;&#2367;&#2325;+&#2311;&#2340;&#2367;&#2361;&#2366;&#2360;+%28site%3Adrishtiias.com+OR+site%3Ajagranjosh.com+OR+site%3Agktoday.in+OR+site%3Atestbook.com+OR+site%3Abiharbhumi.bihar.gov.in%29" TargetMode="External"/><Relationship Id="rId271" Type="http://schemas.openxmlformats.org/officeDocument/2006/relationships/hyperlink" Target="https://www.youtube.com/results?search_query=Bihar+&#8211;+Freedom+Struggle+%26+Modern+Politics+Drishti+IAS+BPSC" TargetMode="External"/><Relationship Id="rId272" Type="http://schemas.openxmlformats.org/officeDocument/2006/relationships/hyperlink" Target="https://www.youtube.com/results?search_query=Bihar+&#8211;+Freedom+Struggle+%26+Modern+Politics+BPSC+Wallah+BPSC" TargetMode="External"/><Relationship Id="rId273" Type="http://schemas.openxmlformats.org/officeDocument/2006/relationships/hyperlink" Target="https://www.youtube.com/results?search_query=Bihar+&#8211;+Freedom+Struggle+%26+Modern+Politics+Vision+IAS+BPSC" TargetMode="External"/><Relationship Id="rId274" Type="http://schemas.openxmlformats.org/officeDocument/2006/relationships/hyperlink" Target="https://www.youtube.com/results?search_query=Bihar+&#8211;+Freedom+Struggle+%26+Modern+Politics+EduTeria+BPSC" TargetMode="External"/><Relationship Id="rId275" Type="http://schemas.openxmlformats.org/officeDocument/2006/relationships/hyperlink" Target="https://www.google.com/search?q=&#2348;&#2367;&#2361;&#2366;&#2352;+&#8211;+&#2360;&#2381;&#2357;&#2340;&#2306;&#2340;&#2381;&#2352;&#2340;&#2366;+&#2360;&#2306;&#2327;&#2381;&#2352;&#2366;&#2350;+&#2319;&#2357;&#2306;+&#2310;&#2343;&#2369;&#2344;&#2367;&#2325;+&#2352;&#2366;&#2332;&#2344;&#2368;&#2340;&#2367;+%28site%3Adrishtiias.com+OR+site%3Ajagranjosh.com+OR+site%3Agktoday.in+OR+site%3Atestbook.com+OR+site%3Abiharbhumi.bihar.gov.in%29" TargetMode="External"/><Relationship Id="rId276" Type="http://schemas.openxmlformats.org/officeDocument/2006/relationships/hyperlink" Target="https://www.youtube.com/results?search_query=Bihar+&#8211;+Geography%3A+Physiography%2C+Rivers+%26+Climate+Drishti+IAS+BPSC" TargetMode="External"/><Relationship Id="rId277" Type="http://schemas.openxmlformats.org/officeDocument/2006/relationships/hyperlink" Target="https://www.youtube.com/results?search_query=Bihar+&#8211;+Geography%3A+Physiography%2C+Rivers+%26+Climate+BPSC+Wallah+BPSC" TargetMode="External"/><Relationship Id="rId278" Type="http://schemas.openxmlformats.org/officeDocument/2006/relationships/hyperlink" Target="https://www.youtube.com/results?search_query=Bihar+&#8211;+Geography%3A+Physiography%2C+Rivers+%26+Climate+Vision+IAS+BPSC" TargetMode="External"/><Relationship Id="rId279" Type="http://schemas.openxmlformats.org/officeDocument/2006/relationships/hyperlink" Target="https://www.youtube.com/results?search_query=Bihar+&#8211;+Geography%3A+Physiography%2C+Rivers+%26+Climate+EduTeria+BPSC" TargetMode="External"/><Relationship Id="rId280" Type="http://schemas.openxmlformats.org/officeDocument/2006/relationships/hyperlink" Target="https://www.google.com/search?q=&#2348;&#2367;&#2361;&#2366;&#2352;+&#8211;+&#2349;&#2370;&#2327;&#2379;&#2354;%3A+&#2349;&#2380;&#2340;&#2367;&#2325;+&#2360;&#2381;&#2357;&#2352;&#2370;&#2346;%2C+&#2344;&#2342;&#2367;&#2351;&#2366;&#2305;+&#2319;&#2357;&#2306;+&#2332;&#2354;&#2357;&#2366;&#2351;&#2369;+%28site%3Adrishtiias.com+OR+site%3Ajagranjosh.com+OR+site%3Agktoday.in+OR+site%3Atestbook.com+OR+site%3Abiharbhumi.bihar.gov.in%29" TargetMode="External"/><Relationship Id="rId281" Type="http://schemas.openxmlformats.org/officeDocument/2006/relationships/hyperlink" Target="https://www.youtube.com/results?search_query=Bihar+&#8211;+Agriculture%2C+Irrigation+%26+Industries+Drishti+IAS+BPSC" TargetMode="External"/><Relationship Id="rId282" Type="http://schemas.openxmlformats.org/officeDocument/2006/relationships/hyperlink" Target="https://www.youtube.com/results?search_query=Bihar+&#8211;+Agriculture%2C+Irrigation+%26+Industries+BPSC+Wallah+BPSC" TargetMode="External"/><Relationship Id="rId283" Type="http://schemas.openxmlformats.org/officeDocument/2006/relationships/hyperlink" Target="https://www.youtube.com/results?search_query=Bihar+&#8211;+Agriculture%2C+Irrigation+%26+Industries+Vision+IAS+BPSC" TargetMode="External"/><Relationship Id="rId284" Type="http://schemas.openxmlformats.org/officeDocument/2006/relationships/hyperlink" Target="https://www.youtube.com/results?search_query=Bihar+&#8211;+Agriculture%2C+Irrigation+%26+Industries+EduTeria+BPSC" TargetMode="External"/><Relationship Id="rId285" Type="http://schemas.openxmlformats.org/officeDocument/2006/relationships/hyperlink" Target="https://www.google.com/search?q=&#2348;&#2367;&#2361;&#2366;&#2352;+&#8211;+&#2325;&#2371;&#2359;&#2367;%2C+&#2360;&#2367;&#2306;&#2330;&#2366;&#2312;+&#2319;&#2357;&#2306;+&#2313;&#2342;&#2381;&#2351;&#2379;&#2327;+%28site%3Adrishtiias.com+OR+site%3Ajagranjosh.com+OR+site%3Agktoday.in+OR+site%3Atestbook.com+OR+site%3Abiharbhumi.bihar.gov.in%29" TargetMode="External"/><Relationship Id="rId286" Type="http://schemas.openxmlformats.org/officeDocument/2006/relationships/hyperlink" Target="https://www.youtube.com/results?search_query=Bihar+&#8211;+Economy%2C+Budget+%26+Government+Schemes+Drishti+IAS+BPSC" TargetMode="External"/><Relationship Id="rId287" Type="http://schemas.openxmlformats.org/officeDocument/2006/relationships/hyperlink" Target="https://www.youtube.com/results?search_query=Bihar+&#8211;+Economy%2C+Budget+%26+Government+Schemes+BPSC+Wallah+BPSC" TargetMode="External"/><Relationship Id="rId288" Type="http://schemas.openxmlformats.org/officeDocument/2006/relationships/hyperlink" Target="https://www.youtube.com/results?search_query=Bihar+&#8211;+Economy%2C+Budget+%26+Government+Schemes+Vision+IAS+BPSC" TargetMode="External"/><Relationship Id="rId289" Type="http://schemas.openxmlformats.org/officeDocument/2006/relationships/hyperlink" Target="https://www.youtube.com/results?search_query=Bihar+&#8211;+Economy%2C+Budget+%26+Government+Schemes+EduTeria+BPSC" TargetMode="External"/><Relationship Id="rId290" Type="http://schemas.openxmlformats.org/officeDocument/2006/relationships/hyperlink" Target="https://www.google.com/search?q=&#2348;&#2367;&#2361;&#2366;&#2352;+&#8211;+&#2309;&#2352;&#2381;&#2341;&#2357;&#2381;&#2351;&#2357;&#2360;&#2381;&#2341;&#2366;%2C+&#2348;&#2332;&#2335;+&#2319;&#2357;&#2306;+&#2360;&#2352;&#2325;&#2366;&#2352;&#2368;+&#2351;&#2379;&#2332;&#2344;&#2366;&#2319;&#2305;+%28site%3Adrishtiias.com+OR+site%3Ajagranjosh.com+OR+site%3Agktoday.in+OR+site%3Atestbook.com+OR+site%3Abiharbhumi.bihar.gov.in%29" TargetMode="External"/><Relationship Id="rId291" Type="http://schemas.openxmlformats.org/officeDocument/2006/relationships/hyperlink" Target="https://www.youtube.com/results?search_query=Bihar+&#8211;+Polity+%26+Administration+Drishti+IAS+BPSC" TargetMode="External"/><Relationship Id="rId292" Type="http://schemas.openxmlformats.org/officeDocument/2006/relationships/hyperlink" Target="https://www.youtube.com/results?search_query=Bihar+&#8211;+Polity+%26+Administration+BPSC+Wallah+BPSC" TargetMode="External"/><Relationship Id="rId293" Type="http://schemas.openxmlformats.org/officeDocument/2006/relationships/hyperlink" Target="https://www.youtube.com/results?search_query=Bihar+&#8211;+Polity+%26+Administration+Vision+IAS+BPSC" TargetMode="External"/><Relationship Id="rId294" Type="http://schemas.openxmlformats.org/officeDocument/2006/relationships/hyperlink" Target="https://www.youtube.com/results?search_query=Bihar+&#8211;+Polity+%26+Administration+EduTeria+BPSC" TargetMode="External"/><Relationship Id="rId295" Type="http://schemas.openxmlformats.org/officeDocument/2006/relationships/hyperlink" Target="https://www.google.com/search?q=&#2348;&#2367;&#2361;&#2366;&#2352;+&#8211;+&#2352;&#2366;&#2332;&#2357;&#2381;&#2351;&#2357;&#2360;&#2381;&#2341;&#2366;+&#2319;&#2357;&#2306;+&#2346;&#2381;&#2352;&#2358;&#2366;&#2360;&#2344;+%28site%3Adrishtiias.com+OR+site%3Ajagranjosh.com+OR+site%3Agktoday.in+OR+site%3Atestbook.com+OR+site%3Abiharbhumi.bihar.gov.in%29" TargetMode="External"/><Relationship Id="rId296" Type="http://schemas.openxmlformats.org/officeDocument/2006/relationships/hyperlink" Target="https://www.youtube.com/results?search_query=Bihar+&#8211;+Art%2C+Culture%2C+Literature+%26+Tourism+Drishti+IAS+BPSC" TargetMode="External"/><Relationship Id="rId297" Type="http://schemas.openxmlformats.org/officeDocument/2006/relationships/hyperlink" Target="https://www.youtube.com/results?search_query=Bihar+&#8211;+Art%2C+Culture%2C+Literature+%26+Tourism+BPSC+Wallah+BPSC" TargetMode="External"/><Relationship Id="rId298" Type="http://schemas.openxmlformats.org/officeDocument/2006/relationships/hyperlink" Target="https://www.youtube.com/results?search_query=Bihar+&#8211;+Art%2C+Culture%2C+Literature+%26+Tourism+Vision+IAS+BPSC" TargetMode="External"/><Relationship Id="rId299" Type="http://schemas.openxmlformats.org/officeDocument/2006/relationships/hyperlink" Target="https://www.youtube.com/results?search_query=Bihar+&#8211;+Art%2C+Culture%2C+Literature+%26+Tourism+EduTeria+BPSC" TargetMode="External"/><Relationship Id="rId300" Type="http://schemas.openxmlformats.org/officeDocument/2006/relationships/hyperlink" Target="https://www.google.com/search?q=&#2348;&#2367;&#2361;&#2366;&#2352;+&#8211;+&#2325;&#2354;&#2366;%2C+&#2360;&#2306;&#2360;&#2381;&#2325;&#2371;&#2340;&#2367;%2C+&#2360;&#2366;&#2361;&#2367;&#2340;&#2381;&#2351;+&#2319;&#2357;&#2306;+&#2346;&#2352;&#2381;&#2351;&#2335;&#2344;+%28site%3Adrishtiias.com+OR+site%3Ajagranjosh.com+OR+site%3Agktoday.in+OR+site%3Atestbook.com+OR+site%3Abiharbhumi.bihar.gov.in%29" TargetMode="External"/><Relationship Id="rId301" Type="http://schemas.openxmlformats.org/officeDocument/2006/relationships/hyperlink" Target="https://www.youtube.com/results?search_query=Bihar+&#8211;+Demography%2C+Education+%26+Health+Drishti+IAS+BPSC" TargetMode="External"/><Relationship Id="rId302" Type="http://schemas.openxmlformats.org/officeDocument/2006/relationships/hyperlink" Target="https://www.youtube.com/results?search_query=Bihar+&#8211;+Demography%2C+Education+%26+Health+BPSC+Wallah+BPSC" TargetMode="External"/><Relationship Id="rId303" Type="http://schemas.openxmlformats.org/officeDocument/2006/relationships/hyperlink" Target="https://www.youtube.com/results?search_query=Bihar+&#8211;+Demography%2C+Education+%26+Health+Vision+IAS+BPSC" TargetMode="External"/><Relationship Id="rId304" Type="http://schemas.openxmlformats.org/officeDocument/2006/relationships/hyperlink" Target="https://www.youtube.com/results?search_query=Bihar+&#8211;+Demography%2C+Education+%26+Health+EduTeria+BPSC" TargetMode="External"/><Relationship Id="rId305" Type="http://schemas.openxmlformats.org/officeDocument/2006/relationships/hyperlink" Target="https://www.google.com/search?q=&#2348;&#2367;&#2361;&#2366;&#2352;+&#8211;+&#2332;&#2344;&#2360;&#2366;&#2306;&#2326;&#2381;&#2351;&#2367;&#2325;&#2368;%2C+&#2358;&#2367;&#2325;&#2381;&#2359;&#2366;+&#2319;&#2357;&#2306;+&#2360;&#2381;&#2357;&#2366;&#2360;&#2381;&#2341;&#2381;&#2351;+%28site%3Adrishtiias.com+OR+site%3Ajagranjosh.com+OR+site%3Agktoday.in+OR+site%3Atestbook.com+OR+site%3Abiharbhumi.bihar.gov.in%29" TargetMode="External"/><Relationship Id="rId306" Type="http://schemas.openxmlformats.org/officeDocument/2006/relationships/hyperlink" Target="https://www.youtube.com/results?search_query=Physics+I%3A+Motion%2C+Force%2C+Work+%26+Gravitation+Drishti+IAS+BPSC" TargetMode="External"/><Relationship Id="rId307" Type="http://schemas.openxmlformats.org/officeDocument/2006/relationships/hyperlink" Target="https://www.youtube.com/results?search_query=Physics+I%3A+Motion%2C+Force%2C+Work+%26+Gravitation+BPSC+Wallah+BPSC" TargetMode="External"/><Relationship Id="rId308" Type="http://schemas.openxmlformats.org/officeDocument/2006/relationships/hyperlink" Target="https://www.youtube.com/results?search_query=Physics+I%3A+Motion%2C+Force%2C+Work+%26+Gravitation+Vision+IAS+BPSC" TargetMode="External"/><Relationship Id="rId309" Type="http://schemas.openxmlformats.org/officeDocument/2006/relationships/hyperlink" Target="https://www.youtube.com/results?search_query=Physics+I%3A+Motion%2C+Force%2C+Work+%26+Gravitation+EduTeria+BPSC" TargetMode="External"/><Relationship Id="rId310" Type="http://schemas.openxmlformats.org/officeDocument/2006/relationships/hyperlink" Target="https://www.google.com/search?q=&#2349;&#2380;&#2340;&#2367;&#2325;&#2368;+I%3A+&#2327;&#2340;&#2367;%2C+&#2348;&#2354;%2C+&#2325;&#2366;&#2352;&#2381;&#2351;+&#2319;&#2357;&#2306;+&#2327;&#2369;&#2352;&#2369;&#2340;&#2381;&#2357;&#2366;&#2325;&#2352;&#2381;&#2359;&#2339;+%28site%3Adrishtiias.com+OR+site%3Avisionias.in+OR+site%3Ancert.nic.in+OR+site%3Ajagranjosh.com+OR+site%3Agktoday.in%29" TargetMode="External"/><Relationship Id="rId311" Type="http://schemas.openxmlformats.org/officeDocument/2006/relationships/hyperlink" Target="https://www.youtube.com/results?search_query=Physics+II%3A+Heat%2C+Light%2C+Sound%2C+Electricity+%26+Modern+Physics+Drishti+IAS+BPSC" TargetMode="External"/><Relationship Id="rId312" Type="http://schemas.openxmlformats.org/officeDocument/2006/relationships/hyperlink" Target="https://www.youtube.com/results?search_query=Physics+II%3A+Heat%2C+Light%2C+Sound%2C+Electricity+%26+Modern+Physics+BPSC+Wallah+BPSC" TargetMode="External"/><Relationship Id="rId313" Type="http://schemas.openxmlformats.org/officeDocument/2006/relationships/hyperlink" Target="https://www.youtube.com/results?search_query=Physics+II%3A+Heat%2C+Light%2C+Sound%2C+Electricity+%26+Modern+Physics+Vision+IAS+BPSC" TargetMode="External"/><Relationship Id="rId314" Type="http://schemas.openxmlformats.org/officeDocument/2006/relationships/hyperlink" Target="https://www.youtube.com/results?search_query=Physics+II%3A+Heat%2C+Light%2C+Sound%2C+Electricity+%26+Modern+Physics+EduTeria+BPSC" TargetMode="External"/><Relationship Id="rId315" Type="http://schemas.openxmlformats.org/officeDocument/2006/relationships/hyperlink" Target="https://www.google.com/search?q=&#2349;&#2380;&#2340;&#2367;&#2325;&#2368;+II%3A+&#2314;&#2359;&#2381;&#2350;&#2366;%2C+&#2346;&#2381;&#2352;&#2325;&#2366;&#2358;%2C+&#2343;&#2381;&#2357;&#2344;&#2367;%2C+&#2357;&#2367;&#2342;&#2381;&#2351;&#2369;&#2340;+&#2319;&#2357;&#2306;+&#2310;&#2343;&#2369;&#2344;&#2367;&#2325;+&#2349;&#2380;&#2340;&#2367;&#2325;&#2368;+%28site%3Adrishtiias.com+OR+site%3Avisionias.in+OR+site%3Ancert.nic.in+OR+site%3Ajagranjosh.com+OR+site%3Agktoday.in%29" TargetMode="External"/><Relationship Id="rId316" Type="http://schemas.openxmlformats.org/officeDocument/2006/relationships/hyperlink" Target="https://www.youtube.com/results?search_query=Chemistry+I%3A+Matter%2C+Atom%2C+Periodic+Table+%26+Acids-Bases+Drishti+IAS+BPSC" TargetMode="External"/><Relationship Id="rId317" Type="http://schemas.openxmlformats.org/officeDocument/2006/relationships/hyperlink" Target="https://www.youtube.com/results?search_query=Chemistry+I%3A+Matter%2C+Atom%2C+Periodic+Table+%26+Acids-Bases+BPSC+Wallah+BPSC" TargetMode="External"/><Relationship Id="rId318" Type="http://schemas.openxmlformats.org/officeDocument/2006/relationships/hyperlink" Target="https://www.youtube.com/results?search_query=Chemistry+I%3A+Matter%2C+Atom%2C+Periodic+Table+%26+Acids-Bases+Vision+IAS+BPSC" TargetMode="External"/><Relationship Id="rId319" Type="http://schemas.openxmlformats.org/officeDocument/2006/relationships/hyperlink" Target="https://www.youtube.com/results?search_query=Chemistry+I%3A+Matter%2C+Atom%2C+Periodic+Table+%26+Acids-Bases+EduTeria+BPSC" TargetMode="External"/><Relationship Id="rId320" Type="http://schemas.openxmlformats.org/officeDocument/2006/relationships/hyperlink" Target="https://www.google.com/search?q=&#2352;&#2360;&#2366;&#2351;&#2344;+I%3A+&#2346;&#2342;&#2366;&#2352;&#2381;&#2341;%2C+&#2346;&#2352;&#2350;&#2366;&#2339;&#2369;%2C+&#2310;&#2357;&#2352;&#2381;&#2340;+&#2360;&#2366;&#2352;&#2339;&#2368;+&#2319;&#2357;&#2306;+&#2309;&#2350;&#2381;&#2354;-&#2325;&#2381;&#2359;&#2366;&#2352;+%28site%3Adrishtiias.com+OR+site%3Avisionias.in+OR+site%3Ancert.nic.in+OR+site%3Ajagranjosh.com+OR+site%3Agktoday.in%29" TargetMode="External"/><Relationship Id="rId321" Type="http://schemas.openxmlformats.org/officeDocument/2006/relationships/hyperlink" Target="https://www.youtube.com/results?search_query=Chemistry+II%3A+Metals%2C+Carbon+Compounds+%26+Everyday+Chemistry+Drishti+IAS+BPSC" TargetMode="External"/><Relationship Id="rId322" Type="http://schemas.openxmlformats.org/officeDocument/2006/relationships/hyperlink" Target="https://www.youtube.com/results?search_query=Chemistry+II%3A+Metals%2C+Carbon+Compounds+%26+Everyday+Chemistry+BPSC+Wallah+BPSC" TargetMode="External"/><Relationship Id="rId323" Type="http://schemas.openxmlformats.org/officeDocument/2006/relationships/hyperlink" Target="https://www.youtube.com/results?search_query=Chemistry+II%3A+Metals%2C+Carbon+Compounds+%26+Everyday+Chemistry+Vision+IAS+BPSC" TargetMode="External"/><Relationship Id="rId324" Type="http://schemas.openxmlformats.org/officeDocument/2006/relationships/hyperlink" Target="https://www.youtube.com/results?search_query=Chemistry+II%3A+Metals%2C+Carbon+Compounds+%26+Everyday+Chemistry+EduTeria+BPSC" TargetMode="External"/><Relationship Id="rId325" Type="http://schemas.openxmlformats.org/officeDocument/2006/relationships/hyperlink" Target="https://www.google.com/search?q=&#2352;&#2360;&#2366;&#2351;&#2344;+II%3A+&#2343;&#2366;&#2340;&#2369;%2C+&#2325;&#2366;&#2352;&#2381;&#2348;&#2344;+&#2351;&#2380;&#2327;&#2367;&#2325;+&#2319;&#2357;&#2306;+&#2342;&#2376;&#2344;&#2367;&#2325;+&#2332;&#2368;&#2357;&#2344;+&#2350;&#2375;&#2306;+&#2352;&#2360;&#2366;&#2351;&#2344;+%28site%3Adrishtiias.com+OR+site%3Avisionias.in+OR+site%3Ancert.nic.in+OR+site%3Ajagranjosh.com+OR+site%3Agktoday.in%29" TargetMode="External"/><Relationship Id="rId326" Type="http://schemas.openxmlformats.org/officeDocument/2006/relationships/hyperlink" Target="https://www.youtube.com/results?search_query=Biology+I%3A+Cell%2C+Plant+%26+Animal+Kingdom+Drishti+IAS+BPSC" TargetMode="External"/><Relationship Id="rId327" Type="http://schemas.openxmlformats.org/officeDocument/2006/relationships/hyperlink" Target="https://www.youtube.com/results?search_query=Biology+I%3A+Cell%2C+Plant+%26+Animal+Kingdom+BPSC+Wallah+BPSC" TargetMode="External"/><Relationship Id="rId328" Type="http://schemas.openxmlformats.org/officeDocument/2006/relationships/hyperlink" Target="https://www.youtube.com/results?search_query=Biology+I%3A+Cell%2C+Plant+%26+Animal+Kingdom+Vision+IAS+BPSC" TargetMode="External"/><Relationship Id="rId329" Type="http://schemas.openxmlformats.org/officeDocument/2006/relationships/hyperlink" Target="https://www.youtube.com/results?search_query=Biology+I%3A+Cell%2C+Plant+%26+Animal+Kingdom+EduTeria+BPSC" TargetMode="External"/><Relationship Id="rId330" Type="http://schemas.openxmlformats.org/officeDocument/2006/relationships/hyperlink" Target="https://www.google.com/search?q=&#2332;&#2368;&#2357;+&#2357;&#2367;&#2332;&#2381;&#2334;&#2366;&#2344;+I%3A+&#2325;&#2379;&#2358;&#2367;&#2325;&#2366;%2C+&#2346;&#2366;&#2342;&#2346;+&#2319;&#2357;&#2306;+&#2332;&#2306;&#2340;&#2369;+&#2332;&#2327;&#2340;+%28site%3Adrishtiias.com+OR+site%3Avisionias.in+OR+site%3Ancert.nic.in+OR+site%3Ajagranjosh.com+OR+site%3Agktoday.in%29" TargetMode="External"/><Relationship Id="rId331" Type="http://schemas.openxmlformats.org/officeDocument/2006/relationships/hyperlink" Target="https://www.youtube.com/results?search_query=Biology+II%3A+Human+Body%2C+Nutrition+%26+Diseases+Drishti+IAS+BPSC" TargetMode="External"/><Relationship Id="rId332" Type="http://schemas.openxmlformats.org/officeDocument/2006/relationships/hyperlink" Target="https://www.youtube.com/results?search_query=Biology+II%3A+Human+Body%2C+Nutrition+%26+Diseases+BPSC+Wallah+BPSC" TargetMode="External"/><Relationship Id="rId333" Type="http://schemas.openxmlformats.org/officeDocument/2006/relationships/hyperlink" Target="https://www.youtube.com/results?search_query=Biology+II%3A+Human+Body%2C+Nutrition+%26+Diseases+Vision+IAS+BPSC" TargetMode="External"/><Relationship Id="rId334" Type="http://schemas.openxmlformats.org/officeDocument/2006/relationships/hyperlink" Target="https://www.youtube.com/results?search_query=Biology+II%3A+Human+Body%2C+Nutrition+%26+Diseases+EduTeria+BPSC" TargetMode="External"/><Relationship Id="rId335" Type="http://schemas.openxmlformats.org/officeDocument/2006/relationships/hyperlink" Target="https://www.google.com/search?q=&#2332;&#2368;&#2357;+&#2357;&#2367;&#2332;&#2381;&#2334;&#2366;&#2344;+II%3A+&#2350;&#2366;&#2344;&#2357;+&#2358;&#2352;&#2368;&#2352;%2C+&#2346;&#2379;&#2359;&#2339;+&#2319;&#2357;&#2306;+&#2352;&#2379;&#2327;+%28site%3Adrishtiias.com+OR+site%3Avisionias.in+OR+site%3Ancert.nic.in+OR+site%3Ajagranjosh.com+OR+site%3Agktoday.in%29" TargetMode="External"/><Relationship Id="rId336" Type="http://schemas.openxmlformats.org/officeDocument/2006/relationships/hyperlink" Target="https://www.youtube.com/results?search_query=Science+%26+Technology%3A+Space%2C+Defence%2C+IT+%26+Emerging+Tech+Drishti+IAS+BPSC" TargetMode="External"/><Relationship Id="rId337" Type="http://schemas.openxmlformats.org/officeDocument/2006/relationships/hyperlink" Target="https://www.youtube.com/results?search_query=Science+%26+Technology%3A+Space%2C+Defence%2C+IT+%26+Emerging+Tech+BPSC+Wallah+BPSC" TargetMode="External"/><Relationship Id="rId338" Type="http://schemas.openxmlformats.org/officeDocument/2006/relationships/hyperlink" Target="https://www.youtube.com/results?search_query=Science+%26+Technology%3A+Space%2C+Defence%2C+IT+%26+Emerging+Tech+Vision+IAS+BPSC" TargetMode="External"/><Relationship Id="rId339" Type="http://schemas.openxmlformats.org/officeDocument/2006/relationships/hyperlink" Target="https://www.youtube.com/results?search_query=Science+%26+Technology%3A+Space%2C+Defence%2C+IT+%26+Emerging+Tech+EduTeria+BPSC" TargetMode="External"/><Relationship Id="rId340" Type="http://schemas.openxmlformats.org/officeDocument/2006/relationships/hyperlink" Target="https://www.google.com/search?q=&#2357;&#2367;&#2332;&#2381;&#2334;&#2366;&#2344;+&#2319;&#2357;&#2306;+&#2346;&#2381;&#2352;&#2380;&#2342;&#2381;&#2351;&#2379;&#2327;&#2367;&#2325;&#2368;%3A+&#2309;&#2306;&#2340;&#2352;&#2367;&#2325;&#2381;&#2359;%2C+&#2352;&#2325;&#2381;&#2359;&#2366;%2C+IT+&#2319;&#2357;&#2306;+&#2313;&#2349;&#2352;&#2340;&#2368;+&#2340;&#2325;&#2344;&#2368;&#2325;&#2375;&#2306;+%28site%3Adrishtiias.com+OR+site%3Avisionias.in+OR+site%3Ancert.nic.in+OR+site%3Ajagranjosh.com+OR+site%3Agktoday.in%29" TargetMode="External"/><Relationship Id="rId341" Type="http://schemas.openxmlformats.org/officeDocument/2006/relationships/hyperlink" Target="https://www.youtube.com/results?search_query=Maths+I%3A+Number+System%2C+HCF-LCM+%26+Simplification+Drishti+IAS+BPSC" TargetMode="External"/><Relationship Id="rId342" Type="http://schemas.openxmlformats.org/officeDocument/2006/relationships/hyperlink" Target="https://www.youtube.com/results?search_query=Maths+I%3A+Number+System%2C+HCF-LCM+%26+Simplification+BPSC+Wallah+BPSC" TargetMode="External"/><Relationship Id="rId343" Type="http://schemas.openxmlformats.org/officeDocument/2006/relationships/hyperlink" Target="https://www.youtube.com/results?search_query=Maths+I%3A+Number+System%2C+HCF-LCM+%26+Simplification+Vision+IAS+BPSC" TargetMode="External"/><Relationship Id="rId344" Type="http://schemas.openxmlformats.org/officeDocument/2006/relationships/hyperlink" Target="https://www.youtube.com/results?search_query=Maths+I%3A+Number+System%2C+HCF-LCM+%26+Simplification+EduTeria+BPSC" TargetMode="External"/><Relationship Id="rId345" Type="http://schemas.openxmlformats.org/officeDocument/2006/relationships/hyperlink" Target="https://www.google.com/search?q=&#2327;&#2339;&#2367;&#2340;+I%3A+&#2360;&#2306;&#2326;&#2381;&#2351;&#2366;+&#2346;&#2342;&#2381;&#2343;&#2340;&#2367;%2C+&#2350;.&#2360;.-&#2354;.&#2360;.+&#2319;&#2357;&#2306;+&#2360;&#2352;&#2354;&#2368;&#2325;&#2352;&#2339;+%28site%3Abyjus.com+OR+site%3Atestbook.com+OR+site%3Aadda247.com+OR+site%3Ajagranjosh.com%29" TargetMode="External"/><Relationship Id="rId346" Type="http://schemas.openxmlformats.org/officeDocument/2006/relationships/hyperlink" Target="https://www.youtube.com/results?search_query=Maths+II%3A+Percentage%2C+Profit-Loss%2C+Ratio+%26+Average+Drishti+IAS+BPSC" TargetMode="External"/><Relationship Id="rId347" Type="http://schemas.openxmlformats.org/officeDocument/2006/relationships/hyperlink" Target="https://www.youtube.com/results?search_query=Maths+II%3A+Percentage%2C+Profit-Loss%2C+Ratio+%26+Average+BPSC+Wallah+BPSC" TargetMode="External"/><Relationship Id="rId348" Type="http://schemas.openxmlformats.org/officeDocument/2006/relationships/hyperlink" Target="https://www.youtube.com/results?search_query=Maths+II%3A+Percentage%2C+Profit-Loss%2C+Ratio+%26+Average+Vision+IAS+BPSC" TargetMode="External"/><Relationship Id="rId349" Type="http://schemas.openxmlformats.org/officeDocument/2006/relationships/hyperlink" Target="https://www.youtube.com/results?search_query=Maths+II%3A+Percentage%2C+Profit-Loss%2C+Ratio+%26+Average+EduTeria+BPSC" TargetMode="External"/><Relationship Id="rId350" Type="http://schemas.openxmlformats.org/officeDocument/2006/relationships/hyperlink" Target="https://www.google.com/search?q=&#2327;&#2339;&#2367;&#2340;+II%3A+&#2346;&#2381;&#2352;&#2340;&#2367;&#2358;&#2340;%2C+&#2354;&#2366;&#2349;-&#2361;&#2366;&#2344;&#2367;%2C+&#2309;&#2344;&#2369;&#2346;&#2366;&#2340;+&#2319;&#2357;&#2306;+&#2324;&#2360;&#2340;+%28site%3Abyjus.com+OR+site%3Atestbook.com+OR+site%3Aadda247.com+OR+site%3Ajagranjosh.com%29" TargetMode="External"/><Relationship Id="rId351" Type="http://schemas.openxmlformats.org/officeDocument/2006/relationships/hyperlink" Target="https://www.youtube.com/results?search_query=Maths+III%3A+Time-Work%2C+Time-Speed-Distance+%26+Interest+Drishti+IAS+BPSC" TargetMode="External"/><Relationship Id="rId352" Type="http://schemas.openxmlformats.org/officeDocument/2006/relationships/hyperlink" Target="https://www.youtube.com/results?search_query=Maths+III%3A+Time-Work%2C+Time-Speed-Distance+%26+Interest+BPSC+Wallah+BPSC" TargetMode="External"/><Relationship Id="rId353" Type="http://schemas.openxmlformats.org/officeDocument/2006/relationships/hyperlink" Target="https://www.youtube.com/results?search_query=Maths+III%3A+Time-Work%2C+Time-Speed-Distance+%26+Interest+Vision+IAS+BPSC" TargetMode="External"/><Relationship Id="rId354" Type="http://schemas.openxmlformats.org/officeDocument/2006/relationships/hyperlink" Target="https://www.youtube.com/results?search_query=Maths+III%3A+Time-Work%2C+Time-Speed-Distance+%26+Interest+EduTeria+BPSC" TargetMode="External"/><Relationship Id="rId355" Type="http://schemas.openxmlformats.org/officeDocument/2006/relationships/hyperlink" Target="https://www.google.com/search?q=&#2327;&#2339;&#2367;&#2340;+III%3A+&#2360;&#2350;&#2351;-&#2325;&#2366;&#2352;&#2381;&#2351;%2C+&#2360;&#2350;&#2351;-&#2330;&#2366;&#2354;-&#2342;&#2370;&#2352;&#2368;+&#2319;&#2357;&#2306;+&#2348;&#2381;&#2351;&#2366;&#2332;+%28site%3Abyjus.com+OR+site%3Atestbook.com+OR+site%3Aadda247.com+OR+site%3Ajagranjosh.com%29" TargetMode="External"/><Relationship Id="rId356" Type="http://schemas.openxmlformats.org/officeDocument/2006/relationships/hyperlink" Target="https://www.youtube.com/results?search_query=Maths+IV%3A+Algebra%2C+Geometry%2C+Mensuration+%26+Trigonometry+Drishti+IAS+BPSC" TargetMode="External"/><Relationship Id="rId357" Type="http://schemas.openxmlformats.org/officeDocument/2006/relationships/hyperlink" Target="https://www.youtube.com/results?search_query=Maths+IV%3A+Algebra%2C+Geometry%2C+Mensuration+%26+Trigonometry+BPSC+Wallah+BPSC" TargetMode="External"/><Relationship Id="rId358" Type="http://schemas.openxmlformats.org/officeDocument/2006/relationships/hyperlink" Target="https://www.youtube.com/results?search_query=Maths+IV%3A+Algebra%2C+Geometry%2C+Mensuration+%26+Trigonometry+Vision+IAS+BPSC" TargetMode="External"/><Relationship Id="rId359" Type="http://schemas.openxmlformats.org/officeDocument/2006/relationships/hyperlink" Target="https://www.youtube.com/results?search_query=Maths+IV%3A+Algebra%2C+Geometry%2C+Mensuration+%26+Trigonometry+EduTeria+BPSC" TargetMode="External"/><Relationship Id="rId360" Type="http://schemas.openxmlformats.org/officeDocument/2006/relationships/hyperlink" Target="https://www.google.com/search?q=&#2327;&#2339;&#2367;&#2340;+IV%3A+&#2348;&#2368;&#2332;&#2327;&#2339;&#2367;&#2340;%2C+&#2332;&#2381;&#2351;&#2366;&#2350;&#2367;&#2340;&#2367;%2C+&#2325;&#2381;&#2359;&#2375;&#2340;&#2381;&#2352;&#2350;&#2367;&#2340;&#2367;+&#2319;&#2357;&#2306;+&#2340;&#2381;&#2352;&#2367;&#2325;&#2379;&#2339;&#2350;&#2367;&#2340;&#2367;+%28site%3Abyjus.com+OR+site%3Atestbook.com+OR+site%3Aadda247.com+OR+site%3Ajagranjosh.com%29" TargetMode="External"/><Relationship Id="rId361" Type="http://schemas.openxmlformats.org/officeDocument/2006/relationships/hyperlink" Target="https://www.youtube.com/results?search_query=Maths+V%3A+Data+Interpretation+%26+Statistics+Drishti+IAS+BPSC" TargetMode="External"/><Relationship Id="rId362" Type="http://schemas.openxmlformats.org/officeDocument/2006/relationships/hyperlink" Target="https://www.youtube.com/results?search_query=Maths+V%3A+Data+Interpretation+%26+Statistics+BPSC+Wallah+BPSC" TargetMode="External"/><Relationship Id="rId363" Type="http://schemas.openxmlformats.org/officeDocument/2006/relationships/hyperlink" Target="https://www.youtube.com/results?search_query=Maths+V%3A+Data+Interpretation+%26+Statistics+Vision+IAS+BPSC" TargetMode="External"/><Relationship Id="rId364" Type="http://schemas.openxmlformats.org/officeDocument/2006/relationships/hyperlink" Target="https://www.youtube.com/results?search_query=Maths+V%3A+Data+Interpretation+%26+Statistics+EduTeria+BPSC" TargetMode="External"/><Relationship Id="rId365" Type="http://schemas.openxmlformats.org/officeDocument/2006/relationships/hyperlink" Target="https://www.google.com/search?q=&#2327;&#2339;&#2367;&#2340;+V%3A+&#2310;&#2305;&#2325;&#2337;&#2364;&#2366;+&#2357;&#2381;&#2351;&#2366;&#2326;&#2381;&#2351;&#2366;+&#2319;&#2357;&#2306;+&#2360;&#2366;&#2306;&#2326;&#2381;&#2351;&#2367;&#2325;&#2368;+%28site%3Abyjus.com+OR+site%3Atestbook.com+OR+site%3Aadda247.com+OR+site%3Ajagranjosh.com%29" TargetMode="External"/><Relationship Id="rId366" Type="http://schemas.openxmlformats.org/officeDocument/2006/relationships/hyperlink" Target="https://www.youtube.com/results?search_query=Reasoning+I%3A+Series%2C+Coding-Decoding+%26+Analogy+Drishti+IAS+BPSC" TargetMode="External"/><Relationship Id="rId367" Type="http://schemas.openxmlformats.org/officeDocument/2006/relationships/hyperlink" Target="https://www.youtube.com/results?search_query=Reasoning+I%3A+Series%2C+Coding-Decoding+%26+Analogy+BPSC+Wallah+BPSC" TargetMode="External"/><Relationship Id="rId368" Type="http://schemas.openxmlformats.org/officeDocument/2006/relationships/hyperlink" Target="https://www.youtube.com/results?search_query=Reasoning+I%3A+Series%2C+Coding-Decoding+%26+Analogy+Vision+IAS+BPSC" TargetMode="External"/><Relationship Id="rId369" Type="http://schemas.openxmlformats.org/officeDocument/2006/relationships/hyperlink" Target="https://www.youtube.com/results?search_query=Reasoning+I%3A+Series%2C+Coding-Decoding+%26+Analogy+EduTeria+BPSC" TargetMode="External"/><Relationship Id="rId370" Type="http://schemas.openxmlformats.org/officeDocument/2006/relationships/hyperlink" Target="https://www.google.com/search?q=&#2340;&#2352;&#2381;&#2325;&#2358;&#2325;&#2381;&#2340;&#2367;+I%3A+&#2358;&#2381;&#2352;&#2375;&#2339;&#2368;%2C+&#2325;&#2379;&#2337;&#2367;&#2306;&#2327;-&#2337;&#2367;&#2325;&#2379;&#2337;&#2367;&#2306;&#2327;+&#2319;&#2357;&#2306;+&#2360;&#2366;&#2342;&#2371;&#2358;&#2381;&#2351;+%28site%3Abyjus.com+OR+site%3Atestbook.com+OR+site%3Aadda247.com+OR+site%3Ajagranjosh.com%29" TargetMode="External"/><Relationship Id="rId371" Type="http://schemas.openxmlformats.org/officeDocument/2006/relationships/hyperlink" Target="https://www.youtube.com/results?search_query=Reasoning+II%3A+Direction%2C+Blood+Relation%2C+Syllogism+%26+Puzzles+Drishti+IAS+BPSC" TargetMode="External"/><Relationship Id="rId372" Type="http://schemas.openxmlformats.org/officeDocument/2006/relationships/hyperlink" Target="https://www.youtube.com/results?search_query=Reasoning+II%3A+Direction%2C+Blood+Relation%2C+Syllogism+%26+Puzzles+BPSC+Wallah+BPSC" TargetMode="External"/><Relationship Id="rId373" Type="http://schemas.openxmlformats.org/officeDocument/2006/relationships/hyperlink" Target="https://www.youtube.com/results?search_query=Reasoning+II%3A+Direction%2C+Blood+Relation%2C+Syllogism+%26+Puzzles+Vision+IAS+BPSC" TargetMode="External"/><Relationship Id="rId374" Type="http://schemas.openxmlformats.org/officeDocument/2006/relationships/hyperlink" Target="https://www.youtube.com/results?search_query=Reasoning+II%3A+Direction%2C+Blood+Relation%2C+Syllogism+%26+Puzzles+EduTeria+BPSC" TargetMode="External"/><Relationship Id="rId375" Type="http://schemas.openxmlformats.org/officeDocument/2006/relationships/hyperlink" Target="https://www.google.com/search?q=&#2340;&#2352;&#2381;&#2325;&#2358;&#2325;&#2381;&#2340;&#2367;+II%3A+&#2342;&#2367;&#2358;&#2366;%2C+&#2352;&#2325;&#2381;&#2340;+&#2360;&#2306;&#2348;&#2306;&#2343;%2C+&#2344;&#2381;&#2351;&#2366;&#2351;&#2357;&#2366;&#2325;&#2381;&#2351;+&#2319;&#2357;&#2306;+&#2346;&#2361;&#2375;&#2354;&#2367;&#2351;&#2366;&#2305;+%28site%3Abyjus.com+OR+site%3Atestbook.com+OR+site%3Aadda247.com+OR+site%3Ajagranjosh.com%29" TargetMode="External"/><Relationship Id="rId376" Type="http://schemas.openxmlformats.org/officeDocument/2006/relationships/hyperlink" Target="https://www.youtube.com/results?search_query=Hindi+Grammar+I%3A+Varna%2C+Sandhi%2C+Samas%2C+Upsarg-Pratyay+Drishti+IAS+BPSC" TargetMode="External"/><Relationship Id="rId377" Type="http://schemas.openxmlformats.org/officeDocument/2006/relationships/hyperlink" Target="https://www.youtube.com/results?search_query=Hindi+Grammar+I%3A+Varna%2C+Sandhi%2C+Samas%2C+Upsarg-Pratyay+BPSC+Wallah+BPSC" TargetMode="External"/><Relationship Id="rId378" Type="http://schemas.openxmlformats.org/officeDocument/2006/relationships/hyperlink" Target="https://www.youtube.com/results?search_query=Hindi+Grammar+I%3A+Varna%2C+Sandhi%2C+Samas%2C+Upsarg-Pratyay+Vision+IAS+BPSC" TargetMode="External"/><Relationship Id="rId379" Type="http://schemas.openxmlformats.org/officeDocument/2006/relationships/hyperlink" Target="https://www.youtube.com/results?search_query=Hindi+Grammar+I%3A+Varna%2C+Sandhi%2C+Samas%2C+Upsarg-Pratyay+EduTeria+BPSC" TargetMode="External"/><Relationship Id="rId380" Type="http://schemas.openxmlformats.org/officeDocument/2006/relationships/hyperlink" Target="https://www.google.com/search?q=&#2361;&#2367;&#2306;&#2342;&#2368;+&#2357;&#2381;&#2351;&#2366;&#2325;&#2352;&#2339;+I%3A+&#2357;&#2352;&#2381;&#2339;%2C+&#2360;&#2306;&#2343;&#2367;%2C+&#2360;&#2350;&#2366;&#2360;%2C+&#2313;&#2346;&#2360;&#2352;&#2381;&#2327;-&#2346;&#2381;&#2352;&#2340;&#2381;&#2351;&#2351;+%28site%3Ajagranjosh.com+OR+site%3Ahindigrammar.in+OR+site%3Atestbook.com+OR+site%3Aadda247.com%29" TargetMode="External"/><Relationship Id="rId381" Type="http://schemas.openxmlformats.org/officeDocument/2006/relationships/hyperlink" Target="https://www.youtube.com/results?search_query=Hindi+Grammar+II%3A+Vakya+Shuddhi%2C+Muhavare%2C+Paryayvachi+Drishti+IAS+BPSC" TargetMode="External"/><Relationship Id="rId382" Type="http://schemas.openxmlformats.org/officeDocument/2006/relationships/hyperlink" Target="https://www.youtube.com/results?search_query=Hindi+Grammar+II%3A+Vakya+Shuddhi%2C+Muhavare%2C+Paryayvachi+BPSC+Wallah+BPSC" TargetMode="External"/><Relationship Id="rId383" Type="http://schemas.openxmlformats.org/officeDocument/2006/relationships/hyperlink" Target="https://www.youtube.com/results?search_query=Hindi+Grammar+II%3A+Vakya+Shuddhi%2C+Muhavare%2C+Paryayvachi+Vision+IAS+BPSC" TargetMode="External"/><Relationship Id="rId384" Type="http://schemas.openxmlformats.org/officeDocument/2006/relationships/hyperlink" Target="https://www.youtube.com/results?search_query=Hindi+Grammar+II%3A+Vakya+Shuddhi%2C+Muhavare%2C+Paryayvachi+EduTeria+BPSC" TargetMode="External"/><Relationship Id="rId385" Type="http://schemas.openxmlformats.org/officeDocument/2006/relationships/hyperlink" Target="https://www.google.com/search?q=&#2361;&#2367;&#2306;&#2342;&#2368;+&#2357;&#2381;&#2351;&#2366;&#2325;&#2352;&#2339;+II%3A+&#2357;&#2366;&#2325;&#2381;&#2351;+&#2358;&#2369;&#2342;&#2381;&#2343;&#2367;%2C+&#2350;&#2369;&#2361;&#2366;&#2357;&#2352;&#2375;%2C+&#2346;&#2352;&#2381;&#2351;&#2366;&#2351;&#2357;&#2366;&#2330;&#2368;+%28site%3Ajagranjosh.com+OR+site%3Ahindigrammar.in+OR+site%3Atestbook.com+OR+site%3Aadda247.com%29" TargetMode="External"/><Relationship Id="rId386" Type="http://schemas.openxmlformats.org/officeDocument/2006/relationships/hyperlink" Target="https://www.youtube.com/results?search_query=Hindi+Writing%3A+Gadyansh%2C+Patra%2C+Nibandh+%26+Anuvad+Drishti+IAS+BPSC" TargetMode="External"/><Relationship Id="rId387" Type="http://schemas.openxmlformats.org/officeDocument/2006/relationships/hyperlink" Target="https://www.youtube.com/results?search_query=Hindi+Writing%3A+Gadyansh%2C+Patra%2C+Nibandh+%26+Anuvad+BPSC+Wallah+BPSC" TargetMode="External"/><Relationship Id="rId388" Type="http://schemas.openxmlformats.org/officeDocument/2006/relationships/hyperlink" Target="https://www.youtube.com/results?search_query=Hindi+Writing%3A+Gadyansh%2C+Patra%2C+Nibandh+%26+Anuvad+Vision+IAS+BPSC" TargetMode="External"/><Relationship Id="rId389" Type="http://schemas.openxmlformats.org/officeDocument/2006/relationships/hyperlink" Target="https://www.youtube.com/results?search_query=Hindi+Writing%3A+Gadyansh%2C+Patra%2C+Nibandh+%26+Anuvad+EduTeria+BPSC" TargetMode="External"/><Relationship Id="rId390" Type="http://schemas.openxmlformats.org/officeDocument/2006/relationships/hyperlink" Target="https://www.google.com/search?q=&#2361;&#2367;&#2306;&#2342;&#2368;+&#2354;&#2375;&#2326;&#2344;%3A+&#2327;&#2342;&#2381;&#2351;&#2366;&#2306;&#2358;%2C+&#2346;&#2340;&#2381;&#2352;%2C+&#2344;&#2367;&#2348;&#2306;&#2343;+&#2319;&#2357;&#2306;+&#2309;&#2344;&#2369;&#2357;&#2366;&#2342;+%28site%3Ajagranjosh.com+OR+site%3Ahindigrammar.in+OR+site%3Atestbook.com+OR+site%3Aadda247.com%29" TargetMode="External"/><Relationship Id="rId391" Type="http://schemas.openxmlformats.org/officeDocument/2006/relationships/hyperlink" Target="https://www.youtube.com/results?search_query=Answer+Writing+Basics%3A+Structure%2C+Intro-Body-Conclusion+Drishti+IAS+BPSC" TargetMode="External"/><Relationship Id="rId392" Type="http://schemas.openxmlformats.org/officeDocument/2006/relationships/hyperlink" Target="https://www.youtube.com/results?search_query=Answer+Writing+Basics%3A+Structure%2C+Intro-Body-Conclusion+BPSC+Wallah+BPSC" TargetMode="External"/><Relationship Id="rId393" Type="http://schemas.openxmlformats.org/officeDocument/2006/relationships/hyperlink" Target="https://www.youtube.com/results?search_query=Answer+Writing+Basics%3A+Structure%2C+Intro-Body-Conclusion+Vision+IAS+BPSC" TargetMode="External"/><Relationship Id="rId394" Type="http://schemas.openxmlformats.org/officeDocument/2006/relationships/hyperlink" Target="https://www.youtube.com/results?search_query=Answer+Writing+Basics%3A+Structure%2C+Intro-Body-Conclusion+EduTeria+BPSC" TargetMode="External"/><Relationship Id="rId395" Type="http://schemas.openxmlformats.org/officeDocument/2006/relationships/hyperlink" Target="https://www.google.com/search?q=&#2313;&#2340;&#2381;&#2340;&#2352;+&#2354;&#2375;&#2326;&#2344;+&#2325;&#2368;+&#2350;&#2370;&#2354;+&#2348;&#2366;&#2340;&#2375;&#2306;%3A+&#2360;&#2306;&#2352;&#2330;&#2344;&#2366;%2C+&#2349;&#2370;&#2350;&#2367;&#2325;&#2366;-&#2350;&#2369;&#2326;&#2381;&#2351;+&#2349;&#2366;&#2327;-&#2344;&#2367;&#2359;&#2381;&#2325;&#2352;&#2381;&#2359;+%28site%3Adrishtiias.com+OR+site%3Avisionias.in+OR+site%3Ajagranjosh.com+OR+site%3Ainsightsonindia.com%29" TargetMode="External"/><Relationship Id="rId396" Type="http://schemas.openxmlformats.org/officeDocument/2006/relationships/hyperlink" Target="https://www.youtube.com/results?search_query=Answer+Writing+&#8211;+History+%26+Culture+Drishti+IAS+BPSC" TargetMode="External"/><Relationship Id="rId397" Type="http://schemas.openxmlformats.org/officeDocument/2006/relationships/hyperlink" Target="https://www.youtube.com/results?search_query=Answer+Writing+&#8211;+History+%26+Culture+BPSC+Wallah+BPSC" TargetMode="External"/><Relationship Id="rId398" Type="http://schemas.openxmlformats.org/officeDocument/2006/relationships/hyperlink" Target="https://www.youtube.com/results?search_query=Answer+Writing+&#8211;+History+%26+Culture+Vision+IAS+BPSC" TargetMode="External"/><Relationship Id="rId399" Type="http://schemas.openxmlformats.org/officeDocument/2006/relationships/hyperlink" Target="https://www.youtube.com/results?search_query=Answer+Writing+&#8211;+History+%26+Culture+EduTeria+BPSC" TargetMode="External"/><Relationship Id="rId400" Type="http://schemas.openxmlformats.org/officeDocument/2006/relationships/hyperlink" Target="https://www.google.com/search?q=&#2313;&#2340;&#2381;&#2340;&#2352;+&#2354;&#2375;&#2326;&#2344;+&#8211;+&#2311;&#2340;&#2367;&#2361;&#2366;&#2360;+&#2319;&#2357;&#2306;+&#2360;&#2306;&#2360;&#2381;&#2325;&#2371;&#2340;&#2367;+%28site%3Adrishtiias.com+OR+site%3Avisionias.in+OR+site%3Ajagranjosh.com+OR+site%3Ainsightsonindia.com%29" TargetMode="External"/><Relationship Id="rId401" Type="http://schemas.openxmlformats.org/officeDocument/2006/relationships/hyperlink" Target="https://www.youtube.com/results?search_query=Answer+Writing+&#8211;+Geography+%26+Disaster+Management+Drishti+IAS+BPSC" TargetMode="External"/><Relationship Id="rId402" Type="http://schemas.openxmlformats.org/officeDocument/2006/relationships/hyperlink" Target="https://www.youtube.com/results?search_query=Answer+Writing+&#8211;+Geography+%26+Disaster+Management+BPSC+Wallah+BPSC" TargetMode="External"/><Relationship Id="rId403" Type="http://schemas.openxmlformats.org/officeDocument/2006/relationships/hyperlink" Target="https://www.youtube.com/results?search_query=Answer+Writing+&#8211;+Geography+%26+Disaster+Management+Vision+IAS+BPSC" TargetMode="External"/><Relationship Id="rId404" Type="http://schemas.openxmlformats.org/officeDocument/2006/relationships/hyperlink" Target="https://www.youtube.com/results?search_query=Answer+Writing+&#8211;+Geography+%26+Disaster+Management+EduTeria+BPSC" TargetMode="External"/><Relationship Id="rId405" Type="http://schemas.openxmlformats.org/officeDocument/2006/relationships/hyperlink" Target="https://www.google.com/search?q=&#2313;&#2340;&#2381;&#2340;&#2352;+&#2354;&#2375;&#2326;&#2344;+&#8211;+&#2349;&#2370;&#2327;&#2379;&#2354;+&#2319;&#2357;&#2306;+&#2310;&#2346;&#2342;&#2366;+&#2346;&#2381;&#2352;&#2348;&#2306;&#2343;&#2344;+%28site%3Adrishtiias.com+OR+site%3Avisionias.in+OR+site%3Ajagranjosh.com+OR+site%3Ainsightsonindia.com%29" TargetMode="External"/><Relationship Id="rId406" Type="http://schemas.openxmlformats.org/officeDocument/2006/relationships/hyperlink" Target="https://www.youtube.com/results?search_query=Answer+Writing+&#8211;+Polity%2C+Governance+%26+Social+Justice+Drishti+IAS+BPSC" TargetMode="External"/><Relationship Id="rId407" Type="http://schemas.openxmlformats.org/officeDocument/2006/relationships/hyperlink" Target="https://www.youtube.com/results?search_query=Answer+Writing+&#8211;+Polity%2C+Governance+%26+Social+Justice+BPSC+Wallah+BPSC" TargetMode="External"/><Relationship Id="rId408" Type="http://schemas.openxmlformats.org/officeDocument/2006/relationships/hyperlink" Target="https://www.youtube.com/results?search_query=Answer+Writing+&#8211;+Polity%2C+Governance+%26+Social+Justice+Vision+IAS+BPSC" TargetMode="External"/><Relationship Id="rId409" Type="http://schemas.openxmlformats.org/officeDocument/2006/relationships/hyperlink" Target="https://www.youtube.com/results?search_query=Answer+Writing+&#8211;+Polity%2C+Governance+%26+Social+Justice+EduTeria+BPSC" TargetMode="External"/><Relationship Id="rId410" Type="http://schemas.openxmlformats.org/officeDocument/2006/relationships/hyperlink" Target="https://www.google.com/search?q=&#2313;&#2340;&#2381;&#2340;&#2352;+&#2354;&#2375;&#2326;&#2344;+&#8211;+&#2352;&#2366;&#2332;&#2357;&#2381;&#2351;&#2357;&#2360;&#2381;&#2341;&#2366;%2C+&#2358;&#2366;&#2360;&#2344;+&#2319;&#2357;&#2306;+&#2360;&#2366;&#2350;&#2366;&#2332;&#2367;&#2325;+&#2344;&#2381;&#2351;&#2366;&#2351;+%28site%3Adrishtiias.com+OR+site%3Avisionias.in+OR+site%3Ajagranjosh.com+OR+site%3Ainsightsonindia.com%29" TargetMode="External"/><Relationship Id="rId411" Type="http://schemas.openxmlformats.org/officeDocument/2006/relationships/hyperlink" Target="https://www.youtube.com/results?search_query=Answer+Writing+&#8211;+Economy+%26+Bihar+Economy+Drishti+IAS+BPSC" TargetMode="External"/><Relationship Id="rId412" Type="http://schemas.openxmlformats.org/officeDocument/2006/relationships/hyperlink" Target="https://www.youtube.com/results?search_query=Answer+Writing+&#8211;+Economy+%26+Bihar+Economy+BPSC+Wallah+BPSC" TargetMode="External"/><Relationship Id="rId413" Type="http://schemas.openxmlformats.org/officeDocument/2006/relationships/hyperlink" Target="https://www.youtube.com/results?search_query=Answer+Writing+&#8211;+Economy+%26+Bihar+Economy+Vision+IAS+BPSC" TargetMode="External"/><Relationship Id="rId414" Type="http://schemas.openxmlformats.org/officeDocument/2006/relationships/hyperlink" Target="https://www.youtube.com/results?search_query=Answer+Writing+&#8211;+Economy+%26+Bihar+Economy+EduTeria+BPSC" TargetMode="External"/><Relationship Id="rId415" Type="http://schemas.openxmlformats.org/officeDocument/2006/relationships/hyperlink" Target="https://www.google.com/search?q=&#2313;&#2340;&#2381;&#2340;&#2352;+&#2354;&#2375;&#2326;&#2344;+&#8211;+&#2309;&#2352;&#2381;&#2341;&#2357;&#2381;&#2351;&#2357;&#2360;&#2381;&#2341;&#2366;+&#2319;&#2357;&#2306;+&#2348;&#2367;&#2361;&#2366;&#2352;+&#2325;&#2368;+&#2309;&#2352;&#2381;&#2341;&#2357;&#2381;&#2351;&#2357;&#2360;&#2381;&#2341;&#2366;+%28site%3Adrishtiias.com+OR+site%3Avisionias.in+OR+site%3Ajagranjosh.com+OR+site%3Ainsightsonindia.com%29" TargetMode="External"/><Relationship Id="rId416" Type="http://schemas.openxmlformats.org/officeDocument/2006/relationships/hyperlink" Target="https://www.youtube.com/results?search_query=Answer+Writing+&#8211;+Science%2C+Technology+%26+Environment+Drishti+IAS+BPSC" TargetMode="External"/><Relationship Id="rId417" Type="http://schemas.openxmlformats.org/officeDocument/2006/relationships/hyperlink" Target="https://www.youtube.com/results?search_query=Answer+Writing+&#8211;+Science%2C+Technology+%26+Environment+BPSC+Wallah+BPSC" TargetMode="External"/><Relationship Id="rId418" Type="http://schemas.openxmlformats.org/officeDocument/2006/relationships/hyperlink" Target="https://www.youtube.com/results?search_query=Answer+Writing+&#8211;+Science%2C+Technology+%26+Environment+Vision+IAS+BPSC" TargetMode="External"/><Relationship Id="rId419" Type="http://schemas.openxmlformats.org/officeDocument/2006/relationships/hyperlink" Target="https://www.youtube.com/results?search_query=Answer+Writing+&#8211;+Science%2C+Technology+%26+Environment+EduTeria+BPSC" TargetMode="External"/><Relationship Id="rId420" Type="http://schemas.openxmlformats.org/officeDocument/2006/relationships/hyperlink" Target="https://www.google.com/search?q=&#2313;&#2340;&#2381;&#2340;&#2352;+&#2354;&#2375;&#2326;&#2344;+&#8211;+&#2357;&#2367;&#2332;&#2381;&#2334;&#2366;&#2344;%2C+&#2346;&#2381;&#2352;&#2380;&#2342;&#2381;&#2351;&#2379;&#2327;&#2367;&#2325;&#2368;+&#2319;&#2357;&#2306;+&#2346;&#2352;&#2381;&#2351;&#2366;&#2357;&#2352;&#2339;+%28site%3Adrishtiias.com+OR+site%3Avisionias.in+OR+site%3Ajagranjosh.com+OR+site%3Ainsightsonindia.com%29" TargetMode="External"/><Relationship Id="rId421" Type="http://schemas.openxmlformats.org/officeDocument/2006/relationships/hyperlink" Target="https://www.youtube.com/results?search_query=Bihar+Current+Issues%3A+Floods%2C+Migration%2C+Education%2C+Health%2C+Industrialisation+Drishti+IAS+BPSC" TargetMode="External"/><Relationship Id="rId422" Type="http://schemas.openxmlformats.org/officeDocument/2006/relationships/hyperlink" Target="https://www.youtube.com/results?search_query=Bihar+Current+Issues%3A+Floods%2C+Migration%2C+Education%2C+Health%2C+Industrialisation+BPSC+Wallah+BPSC" TargetMode="External"/><Relationship Id="rId423" Type="http://schemas.openxmlformats.org/officeDocument/2006/relationships/hyperlink" Target="https://www.youtube.com/results?search_query=Bihar+Current+Issues%3A+Floods%2C+Migration%2C+Education%2C+Health%2C+Industrialisation+Vision+IAS+BPSC" TargetMode="External"/><Relationship Id="rId424" Type="http://schemas.openxmlformats.org/officeDocument/2006/relationships/hyperlink" Target="https://www.youtube.com/results?search_query=Bihar+Current+Issues%3A+Floods%2C+Migration%2C+Education%2C+Health%2C+Industrialisation+EduTeria+BPSC" TargetMode="External"/><Relationship Id="rId425" Type="http://schemas.openxmlformats.org/officeDocument/2006/relationships/hyperlink" Target="https://www.google.com/search?q=&#2348;&#2367;&#2361;&#2366;&#2352;+&#2325;&#2375;+&#2360;&#2350;&#2360;&#2366;&#2350;&#2351;&#2367;&#2325;+&#2350;&#2369;&#2342;&#2381;&#2342;&#2375;%3A+&#2348;&#2366;&#2338;&#2364;%2C+&#2346;&#2381;&#2352;&#2357;&#2366;&#2360;&#2344;%2C+&#2358;&#2367;&#2325;&#2381;&#2359;&#2366;%2C+&#2360;&#2381;&#2357;&#2366;&#2360;&#2381;&#2341;&#2381;&#2351;%2C+&#2324;&#2342;&#2381;&#2351;&#2379;&#2327;&#2368;&#2325;&#2352;&#2339;+%28site%3Adrishtiias.com+OR+site%3Avisionias.in+OR+site%3Ajagranjosh.com+OR+site%3Ainsightsonindia.com%29" TargetMode="External"/><Relationship Id="rId426" Type="http://schemas.openxmlformats.org/officeDocument/2006/relationships/hyperlink" Target="https://www.youtube.com/results?search_query=Social+Issues+%26+Contemporary+Topics+Drishti+IAS+BPSC" TargetMode="External"/><Relationship Id="rId427" Type="http://schemas.openxmlformats.org/officeDocument/2006/relationships/hyperlink" Target="https://www.youtube.com/results?search_query=Social+Issues+%26+Contemporary+Topics+BPSC+Wallah+BPSC" TargetMode="External"/><Relationship Id="rId428" Type="http://schemas.openxmlformats.org/officeDocument/2006/relationships/hyperlink" Target="https://www.youtube.com/results?search_query=Social+Issues+%26+Contemporary+Topics+Vision+IAS+BPSC" TargetMode="External"/><Relationship Id="rId429" Type="http://schemas.openxmlformats.org/officeDocument/2006/relationships/hyperlink" Target="https://www.youtube.com/results?search_query=Social+Issues+%26+Contemporary+Topics+EduTeria+BPSC" TargetMode="External"/><Relationship Id="rId430" Type="http://schemas.openxmlformats.org/officeDocument/2006/relationships/hyperlink" Target="https://www.google.com/search?q=&#2360;&#2366;&#2350;&#2366;&#2332;&#2367;&#2325;+&#2350;&#2369;&#2342;&#2381;&#2342;&#2375;+&#2319;&#2357;&#2306;+&#2360;&#2350;&#2360;&#2366;&#2350;&#2351;&#2367;&#2325;+&#2357;&#2367;&#2359;&#2351;+%28site%3Adrishtiias.com+OR+site%3Avisionias.in+OR+site%3Ajagranjosh.com+OR+site%3Ainsightsonindia.com%29" TargetMode="External"/><Relationship Id="rId431" Type="http://schemas.openxmlformats.org/officeDocument/2006/relationships/hyperlink" Target="https://www.youtube.com/results?search_query=International+Relations+%26+Internal+Security+Drishti+IAS+BPSC" TargetMode="External"/><Relationship Id="rId432" Type="http://schemas.openxmlformats.org/officeDocument/2006/relationships/hyperlink" Target="https://www.youtube.com/results?search_query=International+Relations+%26+Internal+Security+BPSC+Wallah+BPSC" TargetMode="External"/><Relationship Id="rId433" Type="http://schemas.openxmlformats.org/officeDocument/2006/relationships/hyperlink" Target="https://www.youtube.com/results?search_query=International+Relations+%26+Internal+Security+Vision+IAS+BPSC" TargetMode="External"/><Relationship Id="rId434" Type="http://schemas.openxmlformats.org/officeDocument/2006/relationships/hyperlink" Target="https://www.youtube.com/results?search_query=International+Relations+%26+Internal+Security+EduTeria+BPSC" TargetMode="External"/><Relationship Id="rId435" Type="http://schemas.openxmlformats.org/officeDocument/2006/relationships/hyperlink" Target="https://www.google.com/search?q=&#2309;&#2306;&#2340;&#2352;&#2381;&#2352;&#2366;&#2359;&#2381;&#2335;&#2381;&#2352;&#2368;&#2351;+&#2360;&#2306;&#2348;&#2306;&#2343;+&#2319;&#2357;&#2306;+&#2310;&#2306;&#2340;&#2352;&#2367;&#2325;+&#2360;&#2369;&#2352;&#2325;&#2381;&#2359;&#2366;+%28site%3Adrishtiias.com+OR+site%3Avisionias.in+OR+site%3Ajagranjosh.com+OR+site%3Ainsightsonindia.com%29" TargetMode="External"/><Relationship Id="rId436" Type="http://schemas.openxmlformats.org/officeDocument/2006/relationships/hyperlink" Target="https://www.youtube.com/results?search_query=Essay+Writing+Practice+%28Hindi%2FEnglish%29+Drishti+IAS+BPSC" TargetMode="External"/><Relationship Id="rId437" Type="http://schemas.openxmlformats.org/officeDocument/2006/relationships/hyperlink" Target="https://www.youtube.com/results?search_query=Essay+Writing+Practice+%28Hindi%2FEnglish%29+BPSC+Wallah+BPSC" TargetMode="External"/><Relationship Id="rId438" Type="http://schemas.openxmlformats.org/officeDocument/2006/relationships/hyperlink" Target="https://www.youtube.com/results?search_query=Essay+Writing+Practice+%28Hindi%2FEnglish%29+Vision+IAS+BPSC" TargetMode="External"/><Relationship Id="rId439" Type="http://schemas.openxmlformats.org/officeDocument/2006/relationships/hyperlink" Target="https://www.youtube.com/results?search_query=Essay+Writing+Practice+%28Hindi%2FEnglish%29+EduTeria+BPSC" TargetMode="External"/><Relationship Id="rId440" Type="http://schemas.openxmlformats.org/officeDocument/2006/relationships/hyperlink" Target="https://www.google.com/search?q=&#2344;&#2367;&#2348;&#2306;&#2343;+&#2354;&#2375;&#2326;&#2344;+&#2309;&#2349;&#2381;&#2351;&#2366;&#2360;+%28&#2361;&#2367;&#2306;&#2342;&#2368;%2F&#2309;&#2306;&#2327;&#2381;&#2352;&#2375;&#2332;&#2364;&#2368;%29+%28site%3Adrishtiias.com+OR+site%3Avisionias.in+OR+site%3Ajagranjosh.com+OR+site%3Ainsightsonindia.com%29" TargetMode="External"/><Relationship Id="rId441" Type="http://schemas.openxmlformats.org/officeDocument/2006/relationships/hyperlink" Target="https://www.youtube.com/results?search_query=Hindi+Mains%3A+Sankshepan%2C+Patra%2C+Anuvad+%26+Vyakaran+Drishti+IAS+BPSC" TargetMode="External"/><Relationship Id="rId442" Type="http://schemas.openxmlformats.org/officeDocument/2006/relationships/hyperlink" Target="https://www.youtube.com/results?search_query=Hindi+Mains%3A+Sankshepan%2C+Patra%2C+Anuvad+%26+Vyakaran+BPSC+Wallah+BPSC" TargetMode="External"/><Relationship Id="rId443" Type="http://schemas.openxmlformats.org/officeDocument/2006/relationships/hyperlink" Target="https://www.youtube.com/results?search_query=Hindi+Mains%3A+Sankshepan%2C+Patra%2C+Anuvad+%26+Vyakaran+Vision+IAS+BPSC" TargetMode="External"/><Relationship Id="rId444" Type="http://schemas.openxmlformats.org/officeDocument/2006/relationships/hyperlink" Target="https://www.youtube.com/results?search_query=Hindi+Mains%3A+Sankshepan%2C+Patra%2C+Anuvad+%26+Vyakaran+EduTeria+BPSC" TargetMode="External"/><Relationship Id="rId445" Type="http://schemas.openxmlformats.org/officeDocument/2006/relationships/hyperlink" Target="https://www.google.com/search?q=&#2361;&#2367;&#2306;&#2342;&#2368;+&#2350;&#2369;&#2326;&#2381;&#2351;+&#2346;&#2352;&#2368;&#2325;&#2381;&#2359;&#2366;%3A+&#2360;&#2306;&#2325;&#2381;&#2359;&#2375;&#2346;&#2339;%2C+&#2346;&#2340;&#2381;&#2352;%2C+&#2309;&#2344;&#2369;&#2357;&#2366;&#2342;+&#2319;&#2357;&#2306;+&#2357;&#2381;&#2351;&#2366;&#2325;&#2352;&#2339;+%28site%3Adrishtiias.com+OR+site%3Avisionias.in+OR+site%3Ajagranjosh.com+OR+site%3Ainsightsonindia.com%29" TargetMode="External"/><Relationship Id="rId446" Type="http://schemas.openxmlformats.org/officeDocument/2006/relationships/hyperlink" Target="https://www.youtube.com/results?search_query=Case+Studies%2C+Ethics+%26+Probity+Basics+Drishti+IAS+BPSC" TargetMode="External"/><Relationship Id="rId447" Type="http://schemas.openxmlformats.org/officeDocument/2006/relationships/hyperlink" Target="https://www.youtube.com/results?search_query=Case+Studies%2C+Ethics+%26+Probity+Basics+BPSC+Wallah+BPSC" TargetMode="External"/><Relationship Id="rId448" Type="http://schemas.openxmlformats.org/officeDocument/2006/relationships/hyperlink" Target="https://www.youtube.com/results?search_query=Case+Studies%2C+Ethics+%26+Probity+Basics+Vision+IAS+BPSC" TargetMode="External"/><Relationship Id="rId449" Type="http://schemas.openxmlformats.org/officeDocument/2006/relationships/hyperlink" Target="https://www.youtube.com/results?search_query=Case+Studies%2C+Ethics+%26+Probity+Basics+EduTeria+BPSC" TargetMode="External"/><Relationship Id="rId450" Type="http://schemas.openxmlformats.org/officeDocument/2006/relationships/hyperlink" Target="https://www.google.com/search?q=&#2325;&#2375;&#2360;+&#2360;&#2381;&#2335;&#2337;&#2368;%2C+&#2344;&#2376;&#2340;&#2367;&#2325;&#2340;&#2366;+&#2319;&#2357;&#2306;+&#2312;&#2350;&#2366;&#2344;&#2342;&#2366;&#2352;&#2368;+&#2325;&#2368;+&#2350;&#2370;&#2354;+&#2348;&#2366;&#2340;&#2375;&#2306;+%28site%3Adrishtiias.com+OR+site%3Avisionias.in+OR+site%3Ajagranjosh.com+OR+site%3Ainsightsonindia.com%29" TargetMode="External"/><Relationship Id="rId45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bpsc.bihar.gov.in/" TargetMode="External"/><Relationship Id="rId2" Type="http://schemas.openxmlformats.org/officeDocument/2006/relationships/hyperlink" Target="https://www.drishtiias.com/" TargetMode="External"/><Relationship Id="rId3" Type="http://schemas.openxmlformats.org/officeDocument/2006/relationships/hyperlink" Target="https://www.youtube.com/results?search_query=Drishti+IAS+BPSC" TargetMode="External"/><Relationship Id="rId4" Type="http://schemas.openxmlformats.org/officeDocument/2006/relationships/hyperlink" Target="https://visionias.in/" TargetMode="External"/><Relationship Id="rId5" Type="http://schemas.openxmlformats.org/officeDocument/2006/relationships/hyperlink" Target="https://www.youtube.com/results?search_query=Vision+IAS+BPSC" TargetMode="External"/><Relationship Id="rId6" Type="http://schemas.openxmlformats.org/officeDocument/2006/relationships/hyperlink" Target="https://www.youtube.com/results?search_query=BPSC+Wallah+BPSC" TargetMode="External"/><Relationship Id="rId7" Type="http://schemas.openxmlformats.org/officeDocument/2006/relationships/hyperlink" Target="https://www.youtube.com/results?search_query=EduTeria+BPSC" TargetMode="External"/><Relationship Id="rId8" Type="http://schemas.openxmlformats.org/officeDocument/2006/relationships/hyperlink" Target="https://ncert.nic.in/textbook.php" TargetMode="External"/><Relationship Id="rId9" Type="http://schemas.openxmlformats.org/officeDocument/2006/relationships/hyperlink" Target="https://pib.gov.in/" TargetMode="External"/><Relationship Id="rId10" Type="http://schemas.openxmlformats.org/officeDocument/2006/relationships/hyperlink" Target="https://prsindia.org/" TargetMode="External"/><Relationship Id="rId11" Type="http://schemas.openxmlformats.org/officeDocument/2006/relationships/hyperlink" Target="https://www.indiabudget.gov.in/" TargetMode="External"/><Relationship Id="rId12" Type="http://schemas.openxmlformats.org/officeDocument/2006/relationships/hyperlink" Target="https://www.rbi.org.in/" TargetMode="External"/><Relationship Id="rId13" Type="http://schemas.openxmlformats.org/officeDocument/2006/relationships/hyperlink" Target="https://www.isro.gov.in/" TargetMode="External"/><Relationship Id="rId14" Type="http://schemas.openxmlformats.org/officeDocument/2006/relationships/hyperlink" Target="https://state.bihar.gov.in/" TargetMode="External"/><Relationship Id="rId15" Type="http://schemas.openxmlformats.org/officeDocument/2006/relationships/hyperlink" Target="https://www.google.com/search?q=Bihar+Economic+Survey+latest+pdf" TargetMode="External"/><Relationship Id="rId16" Type="http://schemas.openxmlformats.org/officeDocument/2006/relationships/hyperlink" Target="https://www.google.com/search?q=BPSC+previous+year+question+paper+prelims+pdf" TargetMode="External"/><Relationship Id="rId17" Type="http://schemas.openxmlformats.org/officeDocument/2006/relationships/hyperlink" Target="https://www.thehindu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1"/>
    <col collapsed="false" customWidth="true" hidden="false" outlineLevel="0" max="2" min="2" style="1" width="14"/>
    <col collapsed="false" customWidth="true" hidden="false" outlineLevel="0" max="4" min="3" style="1" width="17"/>
    <col collapsed="false" customWidth="true" hidden="false" outlineLevel="0" max="7" min="5" style="1" width="15"/>
  </cols>
  <sheetData>
    <row r="1" customFormat="false" ht="39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25.5" hidden="false" customHeight="true" outlineLevel="0" collapsed="false">
      <c r="A2" s="4" t="s">
        <v>1</v>
      </c>
      <c r="B2" s="5"/>
      <c r="C2" s="5"/>
      <c r="D2" s="5"/>
      <c r="E2" s="5"/>
      <c r="F2" s="5"/>
      <c r="G2" s="5"/>
    </row>
    <row r="4" customFormat="false" ht="15" hidden="false" customHeight="true" outlineLevel="0" collapsed="false">
      <c r="A4" s="6" t="s">
        <v>2</v>
      </c>
      <c r="B4" s="7" t="n">
        <v>46341</v>
      </c>
      <c r="E4" s="8" t="s">
        <v>3</v>
      </c>
    </row>
    <row r="5" customFormat="false" ht="15" hidden="false" customHeight="true" outlineLevel="0" collapsed="false">
      <c r="A5" s="6" t="s">
        <v>4</v>
      </c>
      <c r="B5" s="9" t="n">
        <f aca="false">B4+546</f>
        <v>46887</v>
      </c>
    </row>
    <row r="6" customFormat="false" ht="15" hidden="false" customHeight="true" outlineLevel="0" collapsed="false">
      <c r="A6" s="6" t="s">
        <v>5</v>
      </c>
      <c r="B6" s="10" t="n">
        <f aca="false">B5-B4+1</f>
        <v>547</v>
      </c>
      <c r="C6" s="10" t="n">
        <f aca="false">ROUNDDOWN((B6-1)/7,0)</f>
        <v>78</v>
      </c>
      <c r="D6" s="10" t="n">
        <v>18</v>
      </c>
    </row>
    <row r="8" customFormat="false" ht="15.75" hidden="false" customHeight="true" outlineLevel="0" collapsed="false">
      <c r="A8" s="11" t="s">
        <v>6</v>
      </c>
    </row>
    <row r="9" customFormat="false" ht="39.75" hidden="false" customHeight="true" outlineLevel="0" collapsed="false">
      <c r="A9" s="12" t="s">
        <v>7</v>
      </c>
      <c r="B9" s="12" t="s">
        <v>8</v>
      </c>
      <c r="C9" s="12" t="s">
        <v>9</v>
      </c>
      <c r="D9" s="12" t="s">
        <v>10</v>
      </c>
      <c r="E9" s="12" t="s">
        <v>11</v>
      </c>
      <c r="F9" s="12" t="s">
        <v>12</v>
      </c>
      <c r="G9" s="12" t="s">
        <v>13</v>
      </c>
    </row>
    <row r="10" customFormat="false" ht="15" hidden="false" customHeight="true" outlineLevel="0" collapsed="false">
      <c r="A10" s="13" t="s">
        <v>14</v>
      </c>
      <c r="B10" s="14" t="s">
        <v>15</v>
      </c>
      <c r="C10" s="15" t="n">
        <f aca="false">$B$4</f>
        <v>46341</v>
      </c>
      <c r="D10" s="15" t="n">
        <f aca="false">$B$4</f>
        <v>46341</v>
      </c>
      <c r="E10" s="14" t="n">
        <f aca="false">COUNTIF('दैनिक योजना'!$F$6:$F$552,A10)</f>
        <v>1</v>
      </c>
      <c r="F10" s="14" t="n">
        <f aca="false">COUNTIFS('दैनिक योजना'!$F$6:$F$552,A10,'दैनिक योजना'!$W$6:$W$552,"पूर्ण")+COUNTIFS('दैनिक योजना'!$F$6:$F$552,A10,'दैनिक योजना'!$W$6:$W$552,"दोहराया")</f>
        <v>0</v>
      </c>
      <c r="G10" s="16" t="n">
        <f aca="false">IFERROR(F10/E10,0)</f>
        <v>0</v>
      </c>
    </row>
    <row r="11" customFormat="false" ht="15" hidden="false" customHeight="true" outlineLevel="0" collapsed="false">
      <c r="A11" s="17" t="s">
        <v>16</v>
      </c>
      <c r="B11" s="14" t="s">
        <v>17</v>
      </c>
      <c r="C11" s="15" t="n">
        <f aca="false">$B$4+1+7*0</f>
        <v>46342</v>
      </c>
      <c r="D11" s="15" t="n">
        <f aca="false">$B$4+7*26</f>
        <v>46523</v>
      </c>
      <c r="E11" s="14" t="n">
        <f aca="false">COUNTIF('दैनिक योजना'!$F$6:$F$552,A11)</f>
        <v>182</v>
      </c>
      <c r="F11" s="14" t="n">
        <f aca="false">COUNTIFS('दैनिक योजना'!$F$6:$F$552,A11,'दैनिक योजना'!$W$6:$W$552,"पूर्ण")+COUNTIFS('दैनिक योजना'!$F$6:$F$552,A11,'दैनिक योजना'!$W$6:$W$552,"दोहराया")</f>
        <v>0</v>
      </c>
      <c r="G11" s="16" t="n">
        <f aca="false">IFERROR(F11/E11,0)</f>
        <v>0</v>
      </c>
    </row>
    <row r="12" customFormat="false" ht="15" hidden="false" customHeight="true" outlineLevel="0" collapsed="false">
      <c r="A12" s="18" t="s">
        <v>18</v>
      </c>
      <c r="B12" s="14" t="s">
        <v>19</v>
      </c>
      <c r="C12" s="15" t="n">
        <f aca="false">$B$4+1+7*26</f>
        <v>46524</v>
      </c>
      <c r="D12" s="15" t="n">
        <f aca="false">$B$4+7*52</f>
        <v>46705</v>
      </c>
      <c r="E12" s="14" t="n">
        <f aca="false">COUNTIF('दैनिक योजना'!$F$6:$F$552,A12)</f>
        <v>182</v>
      </c>
      <c r="F12" s="14" t="n">
        <f aca="false">COUNTIFS('दैनिक योजना'!$F$6:$F$552,A12,'दैनिक योजना'!$W$6:$W$552,"पूर्ण")+COUNTIFS('दैनिक योजना'!$F$6:$F$552,A12,'दैनिक योजना'!$W$6:$W$552,"दोहराया")</f>
        <v>0</v>
      </c>
      <c r="G12" s="16" t="n">
        <f aca="false">IFERROR(F12/E12,0)</f>
        <v>0</v>
      </c>
    </row>
    <row r="13" customFormat="false" ht="15" hidden="false" customHeight="true" outlineLevel="0" collapsed="false">
      <c r="A13" s="19" t="s">
        <v>20</v>
      </c>
      <c r="B13" s="14" t="s">
        <v>21</v>
      </c>
      <c r="C13" s="15" t="n">
        <f aca="false">$B$4+1+7*52</f>
        <v>46706</v>
      </c>
      <c r="D13" s="15" t="n">
        <f aca="false">$B$4+7*66</f>
        <v>46803</v>
      </c>
      <c r="E13" s="14" t="n">
        <f aca="false">COUNTIF('दैनिक योजना'!$F$6:$F$552,A13)</f>
        <v>98</v>
      </c>
      <c r="F13" s="14" t="n">
        <f aca="false">COUNTIFS('दैनिक योजना'!$F$6:$F$552,A13,'दैनिक योजना'!$W$6:$W$552,"पूर्ण")+COUNTIFS('दैनिक योजना'!$F$6:$F$552,A13,'दैनिक योजना'!$W$6:$W$552,"दोहराया")</f>
        <v>0</v>
      </c>
      <c r="G13" s="16" t="n">
        <f aca="false">IFERROR(F13/E13,0)</f>
        <v>0</v>
      </c>
    </row>
    <row r="14" customFormat="false" ht="15" hidden="false" customHeight="true" outlineLevel="0" collapsed="false">
      <c r="A14" s="20" t="s">
        <v>22</v>
      </c>
      <c r="B14" s="14" t="s">
        <v>23</v>
      </c>
      <c r="C14" s="15" t="n">
        <f aca="false">$B$4+1+7*66</f>
        <v>46804</v>
      </c>
      <c r="D14" s="15" t="n">
        <f aca="false">$B$4+7*74</f>
        <v>46859</v>
      </c>
      <c r="E14" s="14" t="n">
        <f aca="false">COUNTIF('दैनिक योजना'!$F$6:$F$552,A14)</f>
        <v>56</v>
      </c>
      <c r="F14" s="14" t="n">
        <f aca="false">COUNTIFS('दैनिक योजना'!$F$6:$F$552,A14,'दैनिक योजना'!$W$6:$W$552,"पूर्ण")+COUNTIFS('दैनिक योजना'!$F$6:$F$552,A14,'दैनिक योजना'!$W$6:$W$552,"दोहराया")</f>
        <v>0</v>
      </c>
      <c r="G14" s="16" t="n">
        <f aca="false">IFERROR(F14/E14,0)</f>
        <v>0</v>
      </c>
    </row>
    <row r="15" customFormat="false" ht="15" hidden="false" customHeight="true" outlineLevel="0" collapsed="false">
      <c r="A15" s="21" t="s">
        <v>24</v>
      </c>
      <c r="B15" s="14" t="s">
        <v>25</v>
      </c>
      <c r="C15" s="15" t="n">
        <f aca="false">$B$4+1+7*74</f>
        <v>46860</v>
      </c>
      <c r="D15" s="15" t="n">
        <f aca="false">$B$4+7*78</f>
        <v>46887</v>
      </c>
      <c r="E15" s="14" t="n">
        <f aca="false">COUNTIF('दैनिक योजना'!$F$6:$F$552,A15)</f>
        <v>28</v>
      </c>
      <c r="F15" s="14" t="n">
        <f aca="false">COUNTIFS('दैनिक योजना'!$F$6:$F$552,A15,'दैनिक योजना'!$W$6:$W$552,"पूर्ण")+COUNTIFS('दैनिक योजना'!$F$6:$F$552,A15,'दैनिक योजना'!$W$6:$W$552,"दोहराया")</f>
        <v>0</v>
      </c>
      <c r="G15" s="16" t="n">
        <f aca="false">IFERROR(F15/E15,0)</f>
        <v>0</v>
      </c>
    </row>
    <row r="16" customFormat="false" ht="15" hidden="false" customHeight="true" outlineLevel="0" collapsed="false">
      <c r="A16" s="22" t="s">
        <v>26</v>
      </c>
      <c r="B16" s="23"/>
      <c r="C16" s="23"/>
      <c r="D16" s="23"/>
      <c r="E16" s="23" t="n">
        <f aca="false">SUM(E10:E15)</f>
        <v>547</v>
      </c>
      <c r="F16" s="23" t="n">
        <f aca="false">SUM(F10:F15)</f>
        <v>0</v>
      </c>
      <c r="G16" s="24" t="n">
        <f aca="false">IFERROR(F16/E16,0)</f>
        <v>0</v>
      </c>
    </row>
    <row r="18" customFormat="false" ht="15" hidden="false" customHeight="true" outlineLevel="0" collapsed="false">
      <c r="A18" s="6" t="s">
        <v>27</v>
      </c>
      <c r="B18" s="10" t="n">
        <f aca="true">MAX(0,MIN(TODAY()-B4+1,B6))</f>
        <v>0</v>
      </c>
    </row>
    <row r="19" customFormat="false" ht="15" hidden="false" customHeight="true" outlineLevel="0" collapsed="false">
      <c r="A19" s="6" t="s">
        <v>28</v>
      </c>
      <c r="B19" s="25" t="n">
        <f aca="false">IFERROR(B18/B6,0)</f>
        <v>0</v>
      </c>
    </row>
    <row r="20" customFormat="false" ht="15" hidden="false" customHeight="true" outlineLevel="0" collapsed="false">
      <c r="A20" s="6" t="s">
        <v>29</v>
      </c>
      <c r="B20" s="25" t="n">
        <f aca="false">G16</f>
        <v>0</v>
      </c>
    </row>
    <row r="21" customFormat="false" ht="15" hidden="false" customHeight="true" outlineLevel="0" collapsed="false">
      <c r="A21" s="6" t="s">
        <v>30</v>
      </c>
      <c r="B21" s="10" t="n">
        <f aca="false">F16-B18</f>
        <v>0</v>
      </c>
    </row>
    <row r="23" customFormat="false" ht="15.75" hidden="false" customHeight="true" outlineLevel="0" collapsed="false">
      <c r="A23" s="11" t="s">
        <v>31</v>
      </c>
    </row>
    <row r="24" customFormat="false" ht="58.5" hidden="false" customHeight="true" outlineLevel="0" collapsed="false">
      <c r="A24" s="26" t="s">
        <v>32</v>
      </c>
      <c r="B24" s="26"/>
      <c r="C24" s="26"/>
      <c r="D24" s="26"/>
      <c r="E24" s="26"/>
      <c r="F24" s="26"/>
      <c r="G24" s="26"/>
    </row>
    <row r="25" customFormat="false" ht="42" hidden="false" customHeight="true" outlineLevel="0" collapsed="false">
      <c r="A25" s="26" t="s">
        <v>33</v>
      </c>
      <c r="B25" s="26"/>
      <c r="C25" s="26"/>
      <c r="D25" s="26"/>
      <c r="E25" s="26"/>
      <c r="F25" s="26"/>
      <c r="G25" s="26"/>
    </row>
    <row r="26" customFormat="false" ht="58.5" hidden="false" customHeight="true" outlineLevel="0" collapsed="false">
      <c r="A26" s="26" t="s">
        <v>34</v>
      </c>
      <c r="B26" s="26"/>
      <c r="C26" s="26"/>
      <c r="D26" s="26"/>
      <c r="E26" s="26"/>
      <c r="F26" s="26"/>
      <c r="G26" s="26"/>
    </row>
    <row r="27" customFormat="false" ht="42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</row>
    <row r="28" customFormat="false" ht="42" hidden="false" customHeight="true" outlineLevel="0" collapsed="false">
      <c r="A28" s="26" t="s">
        <v>36</v>
      </c>
      <c r="B28" s="26"/>
      <c r="C28" s="26"/>
      <c r="D28" s="26"/>
      <c r="E28" s="26"/>
      <c r="F28" s="26"/>
      <c r="G28" s="26"/>
    </row>
    <row r="30" customFormat="false" ht="15.75" hidden="false" customHeight="true" outlineLevel="0" collapsed="false">
      <c r="A30" s="27" t="s">
        <v>37</v>
      </c>
    </row>
    <row r="31" customFormat="false" ht="75.75" hidden="false" customHeight="true" outlineLevel="0" collapsed="false">
      <c r="A31" s="26" t="s">
        <v>38</v>
      </c>
      <c r="B31" s="26"/>
      <c r="C31" s="26"/>
      <c r="D31" s="26"/>
      <c r="E31" s="26"/>
      <c r="F31" s="26"/>
      <c r="G31" s="26"/>
    </row>
    <row r="32" customFormat="false" ht="42" hidden="false" customHeight="true" outlineLevel="0" collapsed="false">
      <c r="A32" s="26" t="s">
        <v>39</v>
      </c>
      <c r="B32" s="26"/>
      <c r="C32" s="26"/>
      <c r="D32" s="26"/>
      <c r="E32" s="26"/>
      <c r="F32" s="26"/>
      <c r="G32" s="26"/>
    </row>
    <row r="33" customFormat="false" ht="58.5" hidden="false" customHeight="true" outlineLevel="0" collapsed="false">
      <c r="A33" s="26" t="s">
        <v>40</v>
      </c>
      <c r="B33" s="26"/>
      <c r="C33" s="26"/>
      <c r="D33" s="26"/>
      <c r="E33" s="26"/>
      <c r="F33" s="26"/>
      <c r="G33" s="26"/>
    </row>
    <row r="34" customFormat="false" ht="58.5" hidden="false" customHeight="true" outlineLevel="0" collapsed="false">
      <c r="A34" s="26" t="s">
        <v>41</v>
      </c>
      <c r="B34" s="26"/>
      <c r="C34" s="26"/>
      <c r="D34" s="26"/>
      <c r="E34" s="26"/>
      <c r="F34" s="26"/>
      <c r="G34" s="26"/>
    </row>
    <row r="35" customFormat="false" ht="42" hidden="false" customHeight="true" outlineLevel="0" collapsed="false">
      <c r="A35" s="26" t="s">
        <v>42</v>
      </c>
      <c r="B35" s="26"/>
      <c r="C35" s="26"/>
      <c r="D35" s="26"/>
      <c r="E35" s="26"/>
      <c r="F35" s="26"/>
      <c r="G35" s="26"/>
    </row>
    <row r="37" customFormat="false" ht="15" hidden="false" customHeight="true" outlineLevel="0" collapsed="false">
      <c r="A37" s="28" t="s">
        <v>43</v>
      </c>
    </row>
  </sheetData>
  <mergeCells count="10">
    <mergeCell ref="A24:G24"/>
    <mergeCell ref="A25:G25"/>
    <mergeCell ref="A26:G26"/>
    <mergeCell ref="A27:G27"/>
    <mergeCell ref="A28:G28"/>
    <mergeCell ref="A31:G31"/>
    <mergeCell ref="A32:G32"/>
    <mergeCell ref="A33:G33"/>
    <mergeCell ref="A34:G34"/>
    <mergeCell ref="A35:G35"/>
  </mergeCells>
  <conditionalFormatting sqref="G10:G16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{89E343BA-E290-427E-A475-BA37CD29FE10}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E343BA-E290-427E-A475-BA37CD29FE1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G10:G16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394"/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5"/>
    <col collapsed="false" customWidth="true" hidden="false" outlineLevel="0" max="4" min="4" style="1" width="32"/>
    <col collapsed="false" customWidth="true" hidden="false" outlineLevel="0" max="5" min="5" style="1" width="80"/>
    <col collapsed="false" customWidth="true" hidden="false" outlineLevel="0" max="6" min="6" style="1" width="69"/>
    <col collapsed="false" customWidth="true" hidden="false" outlineLevel="0" max="7" min="7" style="1" width="55"/>
    <col collapsed="false" customWidth="true" hidden="false" outlineLevel="0" max="8" min="8" style="1" width="32"/>
    <col collapsed="false" customWidth="true" hidden="false" outlineLevel="0" max="10" min="9" style="1" width="10"/>
    <col collapsed="false" customWidth="true" hidden="false" outlineLevel="0" max="11" min="11" style="1" width="13"/>
  </cols>
  <sheetData>
    <row r="1" customFormat="false" ht="39.75" hidden="false" customHeight="true" outlineLevel="0" collapsed="false">
      <c r="A1" s="2" t="s">
        <v>44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25.5" hidden="false" customHeight="true" outlineLevel="0" collapsed="false">
      <c r="A2" s="4" t="s">
        <v>45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5" customFormat="false" ht="39.75" hidden="false" customHeight="true" outlineLevel="0" collapsed="false">
      <c r="A5" s="12" t="s">
        <v>46</v>
      </c>
      <c r="B5" s="12" t="s">
        <v>47</v>
      </c>
      <c r="C5" s="12" t="s">
        <v>48</v>
      </c>
      <c r="D5" s="12" t="s">
        <v>7</v>
      </c>
      <c r="E5" s="12" t="s">
        <v>49</v>
      </c>
      <c r="F5" s="12" t="s">
        <v>50</v>
      </c>
      <c r="G5" s="12" t="s">
        <v>51</v>
      </c>
      <c r="H5" s="12" t="s">
        <v>52</v>
      </c>
      <c r="I5" s="12" t="s">
        <v>11</v>
      </c>
      <c r="J5" s="12" t="s">
        <v>12</v>
      </c>
      <c r="K5" s="12" t="s">
        <v>13</v>
      </c>
    </row>
    <row r="6" customFormat="false" ht="109.5" hidden="false" customHeight="true" outlineLevel="0" collapsed="false">
      <c r="A6" s="29" t="n">
        <v>1</v>
      </c>
      <c r="B6" s="30" t="n">
        <f aca="false">EDATE(सारांश!$B$4,A6-1)</f>
        <v>46341</v>
      </c>
      <c r="C6" s="30" t="n">
        <f aca="false">EDATE(सारांश!$B$4,A6)-1</f>
        <v>46370</v>
      </c>
      <c r="D6" s="31" t="s">
        <v>53</v>
      </c>
      <c r="E6" s="32" t="s">
        <v>54</v>
      </c>
      <c r="F6" s="32" t="s">
        <v>55</v>
      </c>
      <c r="G6" s="32" t="s">
        <v>56</v>
      </c>
      <c r="H6" s="32" t="s">
        <v>57</v>
      </c>
      <c r="I6" s="14" t="n">
        <f aca="false">COUNTIF('दैनिक योजना'!$E$6:$E$552,A6)</f>
        <v>30</v>
      </c>
      <c r="J6" s="14" t="n">
        <f aca="false">COUNTIFS('दैनिक योजना'!$E$6:$E$552,A6,'दैनिक योजना'!$W$6:$W$552,"पूर्ण")+COUNTIFS('दैनिक योजना'!$E$6:$E$552,A6,'दैनिक योजना'!$W$6:$W$552,"दोहराया")</f>
        <v>0</v>
      </c>
      <c r="K6" s="16" t="n">
        <f aca="false">IFERROR(J6/I6,0)</f>
        <v>0</v>
      </c>
    </row>
    <row r="7" customFormat="false" ht="126.75" hidden="false" customHeight="true" outlineLevel="0" collapsed="false">
      <c r="A7" s="29" t="n">
        <v>2</v>
      </c>
      <c r="B7" s="30" t="n">
        <f aca="false">EDATE(सारांश!$B$4,A7-1)</f>
        <v>46371</v>
      </c>
      <c r="C7" s="30" t="n">
        <f aca="false">EDATE(सारांश!$B$4,A7)-1</f>
        <v>46401</v>
      </c>
      <c r="D7" s="31" t="s">
        <v>16</v>
      </c>
      <c r="E7" s="32" t="s">
        <v>58</v>
      </c>
      <c r="F7" s="32" t="s">
        <v>59</v>
      </c>
      <c r="G7" s="32" t="s">
        <v>60</v>
      </c>
      <c r="H7" s="32" t="s">
        <v>57</v>
      </c>
      <c r="I7" s="14" t="n">
        <f aca="false">COUNTIF('दैनिक योजना'!$E$6:$E$552,A7)</f>
        <v>31</v>
      </c>
      <c r="J7" s="14" t="n">
        <f aca="false">COUNTIFS('दैनिक योजना'!$E$6:$E$552,A7,'दैनिक योजना'!$W$6:$W$552,"पूर्ण")+COUNTIFS('दैनिक योजना'!$E$6:$E$552,A7,'दैनिक योजना'!$W$6:$W$552,"दोहराया")</f>
        <v>0</v>
      </c>
      <c r="K7" s="16" t="n">
        <f aca="false">IFERROR(J7/I7,0)</f>
        <v>0</v>
      </c>
    </row>
    <row r="8" customFormat="false" ht="93" hidden="false" customHeight="true" outlineLevel="0" collapsed="false">
      <c r="A8" s="29" t="n">
        <v>3</v>
      </c>
      <c r="B8" s="30" t="n">
        <f aca="false">EDATE(सारांश!$B$4,A8-1)</f>
        <v>46402</v>
      </c>
      <c r="C8" s="30" t="n">
        <f aca="false">EDATE(सारांश!$B$4,A8)-1</f>
        <v>46432</v>
      </c>
      <c r="D8" s="31" t="s">
        <v>16</v>
      </c>
      <c r="E8" s="32" t="s">
        <v>61</v>
      </c>
      <c r="F8" s="32" t="s">
        <v>62</v>
      </c>
      <c r="G8" s="32" t="s">
        <v>63</v>
      </c>
      <c r="H8" s="32" t="s">
        <v>57</v>
      </c>
      <c r="I8" s="14" t="n">
        <f aca="false">COUNTIF('दैनिक योजना'!$E$6:$E$552,A8)</f>
        <v>31</v>
      </c>
      <c r="J8" s="14" t="n">
        <f aca="false">COUNTIFS('दैनिक योजना'!$E$6:$E$552,A8,'दैनिक योजना'!$W$6:$W$552,"पूर्ण")+COUNTIFS('दैनिक योजना'!$E$6:$E$552,A8,'दैनिक योजना'!$W$6:$W$552,"दोहराया")</f>
        <v>0</v>
      </c>
      <c r="K8" s="16" t="n">
        <f aca="false">IFERROR(J8/I8,0)</f>
        <v>0</v>
      </c>
    </row>
    <row r="9" customFormat="false" ht="75.75" hidden="false" customHeight="true" outlineLevel="0" collapsed="false">
      <c r="A9" s="29" t="n">
        <v>4</v>
      </c>
      <c r="B9" s="30" t="n">
        <f aca="false">EDATE(सारांश!$B$4,A9-1)</f>
        <v>46433</v>
      </c>
      <c r="C9" s="30" t="n">
        <f aca="false">EDATE(सारांश!$B$4,A9)-1</f>
        <v>46460</v>
      </c>
      <c r="D9" s="31" t="s">
        <v>16</v>
      </c>
      <c r="E9" s="32" t="s">
        <v>64</v>
      </c>
      <c r="F9" s="32" t="s">
        <v>65</v>
      </c>
      <c r="G9" s="32" t="s">
        <v>66</v>
      </c>
      <c r="H9" s="32" t="s">
        <v>57</v>
      </c>
      <c r="I9" s="14" t="n">
        <f aca="false">COUNTIF('दैनिक योजना'!$E$6:$E$552,A9)</f>
        <v>28</v>
      </c>
      <c r="J9" s="14" t="n">
        <f aca="false">COUNTIFS('दैनिक योजना'!$E$6:$E$552,A9,'दैनिक योजना'!$W$6:$W$552,"पूर्ण")+COUNTIFS('दैनिक योजना'!$E$6:$E$552,A9,'दैनिक योजना'!$W$6:$W$552,"दोहराया")</f>
        <v>0</v>
      </c>
      <c r="K9" s="16" t="n">
        <f aca="false">IFERROR(J9/I9,0)</f>
        <v>0</v>
      </c>
    </row>
    <row r="10" customFormat="false" ht="93" hidden="false" customHeight="true" outlineLevel="0" collapsed="false">
      <c r="A10" s="29" t="n">
        <v>5</v>
      </c>
      <c r="B10" s="30" t="n">
        <f aca="false">EDATE(सारांश!$B$4,A10-1)</f>
        <v>46461</v>
      </c>
      <c r="C10" s="30" t="n">
        <f aca="false">EDATE(सारांश!$B$4,A10)-1</f>
        <v>46491</v>
      </c>
      <c r="D10" s="31" t="s">
        <v>16</v>
      </c>
      <c r="E10" s="32" t="s">
        <v>67</v>
      </c>
      <c r="F10" s="32" t="s">
        <v>68</v>
      </c>
      <c r="G10" s="32" t="s">
        <v>69</v>
      </c>
      <c r="H10" s="32" t="s">
        <v>57</v>
      </c>
      <c r="I10" s="14" t="n">
        <f aca="false">COUNTIF('दैनिक योजना'!$E$6:$E$552,A10)</f>
        <v>31</v>
      </c>
      <c r="J10" s="14" t="n">
        <f aca="false">COUNTIFS('दैनिक योजना'!$E$6:$E$552,A10,'दैनिक योजना'!$W$6:$W$552,"पूर्ण")+COUNTIFS('दैनिक योजना'!$E$6:$E$552,A10,'दैनिक योजना'!$W$6:$W$552,"दोहराया")</f>
        <v>0</v>
      </c>
      <c r="K10" s="16" t="n">
        <f aca="false">IFERROR(J10/I10,0)</f>
        <v>0</v>
      </c>
    </row>
    <row r="11" customFormat="false" ht="93" hidden="false" customHeight="true" outlineLevel="0" collapsed="false">
      <c r="A11" s="29" t="n">
        <v>6</v>
      </c>
      <c r="B11" s="30" t="n">
        <f aca="false">EDATE(सारांश!$B$4,A11-1)</f>
        <v>46492</v>
      </c>
      <c r="C11" s="30" t="n">
        <f aca="false">EDATE(सारांश!$B$4,A11)-1</f>
        <v>46521</v>
      </c>
      <c r="D11" s="31" t="s">
        <v>16</v>
      </c>
      <c r="E11" s="32" t="s">
        <v>70</v>
      </c>
      <c r="F11" s="32" t="s">
        <v>71</v>
      </c>
      <c r="G11" s="32" t="s">
        <v>72</v>
      </c>
      <c r="H11" s="32" t="s">
        <v>57</v>
      </c>
      <c r="I11" s="14" t="n">
        <f aca="false">COUNTIF('दैनिक योजना'!$E$6:$E$552,A11)</f>
        <v>30</v>
      </c>
      <c r="J11" s="14" t="n">
        <f aca="false">COUNTIFS('दैनिक योजना'!$E$6:$E$552,A11,'दैनिक योजना'!$W$6:$W$552,"पूर्ण")+COUNTIFS('दैनिक योजना'!$E$6:$E$552,A11,'दैनिक योजना'!$W$6:$W$552,"दोहराया")</f>
        <v>0</v>
      </c>
      <c r="K11" s="16" t="n">
        <f aca="false">IFERROR(J11/I11,0)</f>
        <v>0</v>
      </c>
    </row>
    <row r="12" customFormat="false" ht="109.5" hidden="false" customHeight="true" outlineLevel="0" collapsed="false">
      <c r="A12" s="33" t="n">
        <v>7</v>
      </c>
      <c r="B12" s="34" t="n">
        <f aca="false">EDATE(सारांश!$B$4,A12-1)</f>
        <v>46522</v>
      </c>
      <c r="C12" s="34" t="n">
        <f aca="false">EDATE(सारांश!$B$4,A12)-1</f>
        <v>46552</v>
      </c>
      <c r="D12" s="35" t="s">
        <v>73</v>
      </c>
      <c r="E12" s="32" t="s">
        <v>74</v>
      </c>
      <c r="F12" s="32" t="s">
        <v>75</v>
      </c>
      <c r="G12" s="32" t="s">
        <v>76</v>
      </c>
      <c r="H12" s="32" t="s">
        <v>57</v>
      </c>
      <c r="I12" s="14" t="n">
        <f aca="false">COUNTIF('दैनिक योजना'!$E$6:$E$552,A12)</f>
        <v>31</v>
      </c>
      <c r="J12" s="14" t="n">
        <f aca="false">COUNTIFS('दैनिक योजना'!$E$6:$E$552,A12,'दैनिक योजना'!$W$6:$W$552,"पूर्ण")+COUNTIFS('दैनिक योजना'!$E$6:$E$552,A12,'दैनिक योजना'!$W$6:$W$552,"दोहराया")</f>
        <v>0</v>
      </c>
      <c r="K12" s="16" t="n">
        <f aca="false">IFERROR(J12/I12,0)</f>
        <v>0</v>
      </c>
    </row>
    <row r="13" customFormat="false" ht="126.75" hidden="false" customHeight="true" outlineLevel="0" collapsed="false">
      <c r="A13" s="33" t="n">
        <v>8</v>
      </c>
      <c r="B13" s="34" t="n">
        <f aca="false">EDATE(सारांश!$B$4,A13-1)</f>
        <v>46553</v>
      </c>
      <c r="C13" s="34" t="n">
        <f aca="false">EDATE(सारांश!$B$4,A13)-1</f>
        <v>46582</v>
      </c>
      <c r="D13" s="35" t="s">
        <v>18</v>
      </c>
      <c r="E13" s="32" t="s">
        <v>77</v>
      </c>
      <c r="F13" s="32" t="s">
        <v>78</v>
      </c>
      <c r="G13" s="32" t="s">
        <v>79</v>
      </c>
      <c r="H13" s="32" t="s">
        <v>57</v>
      </c>
      <c r="I13" s="14" t="n">
        <f aca="false">COUNTIF('दैनिक योजना'!$E$6:$E$552,A13)</f>
        <v>30</v>
      </c>
      <c r="J13" s="14" t="n">
        <f aca="false">COUNTIFS('दैनिक योजना'!$E$6:$E$552,A13,'दैनिक योजना'!$W$6:$W$552,"पूर्ण")+COUNTIFS('दैनिक योजना'!$E$6:$E$552,A13,'दैनिक योजना'!$W$6:$W$552,"दोहराया")</f>
        <v>0</v>
      </c>
      <c r="K13" s="16" t="n">
        <f aca="false">IFERROR(J13/I13,0)</f>
        <v>0</v>
      </c>
    </row>
    <row r="14" customFormat="false" ht="109.5" hidden="false" customHeight="true" outlineLevel="0" collapsed="false">
      <c r="A14" s="33" t="n">
        <v>9</v>
      </c>
      <c r="B14" s="34" t="n">
        <f aca="false">EDATE(सारांश!$B$4,A14-1)</f>
        <v>46583</v>
      </c>
      <c r="C14" s="34" t="n">
        <f aca="false">EDATE(सारांश!$B$4,A14)-1</f>
        <v>46613</v>
      </c>
      <c r="D14" s="35" t="s">
        <v>18</v>
      </c>
      <c r="E14" s="32" t="s">
        <v>61</v>
      </c>
      <c r="F14" s="32" t="s">
        <v>80</v>
      </c>
      <c r="G14" s="32" t="s">
        <v>81</v>
      </c>
      <c r="H14" s="32" t="s">
        <v>57</v>
      </c>
      <c r="I14" s="14" t="n">
        <f aca="false">COUNTIF('दैनिक योजना'!$E$6:$E$552,A14)</f>
        <v>31</v>
      </c>
      <c r="J14" s="14" t="n">
        <f aca="false">COUNTIFS('दैनिक योजना'!$E$6:$E$552,A14,'दैनिक योजना'!$W$6:$W$552,"पूर्ण")+COUNTIFS('दैनिक योजना'!$E$6:$E$552,A14,'दैनिक योजना'!$W$6:$W$552,"दोहराया")</f>
        <v>0</v>
      </c>
      <c r="K14" s="16" t="n">
        <f aca="false">IFERROR(J14/I14,0)</f>
        <v>0</v>
      </c>
    </row>
    <row r="15" customFormat="false" ht="93" hidden="false" customHeight="true" outlineLevel="0" collapsed="false">
      <c r="A15" s="33" t="n">
        <v>10</v>
      </c>
      <c r="B15" s="34" t="n">
        <f aca="false">EDATE(सारांश!$B$4,A15-1)</f>
        <v>46614</v>
      </c>
      <c r="C15" s="34" t="n">
        <f aca="false">EDATE(सारांश!$B$4,A15)-1</f>
        <v>46644</v>
      </c>
      <c r="D15" s="35" t="s">
        <v>18</v>
      </c>
      <c r="E15" s="32" t="s">
        <v>82</v>
      </c>
      <c r="F15" s="32" t="s">
        <v>83</v>
      </c>
      <c r="G15" s="32" t="s">
        <v>84</v>
      </c>
      <c r="H15" s="32" t="s">
        <v>57</v>
      </c>
      <c r="I15" s="14" t="n">
        <f aca="false">COUNTIF('दैनिक योजना'!$E$6:$E$552,A15)</f>
        <v>31</v>
      </c>
      <c r="J15" s="14" t="n">
        <f aca="false">COUNTIFS('दैनिक योजना'!$E$6:$E$552,A15,'दैनिक योजना'!$W$6:$W$552,"पूर्ण")+COUNTIFS('दैनिक योजना'!$E$6:$E$552,A15,'दैनिक योजना'!$W$6:$W$552,"दोहराया")</f>
        <v>0</v>
      </c>
      <c r="K15" s="16" t="n">
        <f aca="false">IFERROR(J15/I15,0)</f>
        <v>0</v>
      </c>
    </row>
    <row r="16" customFormat="false" ht="93" hidden="false" customHeight="true" outlineLevel="0" collapsed="false">
      <c r="A16" s="33" t="n">
        <v>11</v>
      </c>
      <c r="B16" s="34" t="n">
        <f aca="false">EDATE(सारांश!$B$4,A16-1)</f>
        <v>46645</v>
      </c>
      <c r="C16" s="34" t="n">
        <f aca="false">EDATE(सारांश!$B$4,A16)-1</f>
        <v>46674</v>
      </c>
      <c r="D16" s="35" t="s">
        <v>18</v>
      </c>
      <c r="E16" s="32" t="s">
        <v>85</v>
      </c>
      <c r="F16" s="32" t="s">
        <v>86</v>
      </c>
      <c r="G16" s="32" t="s">
        <v>87</v>
      </c>
      <c r="H16" s="32" t="s">
        <v>57</v>
      </c>
      <c r="I16" s="14" t="n">
        <f aca="false">COUNTIF('दैनिक योजना'!$E$6:$E$552,A16)</f>
        <v>30</v>
      </c>
      <c r="J16" s="14" t="n">
        <f aca="false">COUNTIFS('दैनिक योजना'!$E$6:$E$552,A16,'दैनिक योजना'!$W$6:$W$552,"पूर्ण")+COUNTIFS('दैनिक योजना'!$E$6:$E$552,A16,'दैनिक योजना'!$W$6:$W$552,"दोहराया")</f>
        <v>0</v>
      </c>
      <c r="K16" s="16" t="n">
        <f aca="false">IFERROR(J16/I16,0)</f>
        <v>0</v>
      </c>
    </row>
    <row r="17" customFormat="false" ht="93" hidden="false" customHeight="true" outlineLevel="0" collapsed="false">
      <c r="A17" s="33" t="n">
        <v>12</v>
      </c>
      <c r="B17" s="34" t="n">
        <f aca="false">EDATE(सारांश!$B$4,A17-1)</f>
        <v>46675</v>
      </c>
      <c r="C17" s="34" t="n">
        <f aca="false">EDATE(सारांश!$B$4,A17)-1</f>
        <v>46705</v>
      </c>
      <c r="D17" s="35" t="s">
        <v>18</v>
      </c>
      <c r="E17" s="32" t="s">
        <v>70</v>
      </c>
      <c r="F17" s="32" t="s">
        <v>88</v>
      </c>
      <c r="G17" s="32" t="s">
        <v>89</v>
      </c>
      <c r="H17" s="32" t="s">
        <v>57</v>
      </c>
      <c r="I17" s="14" t="n">
        <f aca="false">COUNTIF('दैनिक योजना'!$E$6:$E$552,A17)</f>
        <v>31</v>
      </c>
      <c r="J17" s="14" t="n">
        <f aca="false">COUNTIFS('दैनिक योजना'!$E$6:$E$552,A17,'दैनिक योजना'!$W$6:$W$552,"पूर्ण")+COUNTIFS('दैनिक योजना'!$E$6:$E$552,A17,'दैनिक योजना'!$W$6:$W$552,"दोहराया")</f>
        <v>0</v>
      </c>
      <c r="K17" s="16" t="n">
        <f aca="false">IFERROR(J17/I17,0)</f>
        <v>0</v>
      </c>
    </row>
    <row r="18" customFormat="false" ht="195" hidden="false" customHeight="true" outlineLevel="0" collapsed="false">
      <c r="A18" s="36" t="n">
        <v>13</v>
      </c>
      <c r="B18" s="37" t="n">
        <f aca="false">EDATE(सारांश!$B$4,A18-1)</f>
        <v>46706</v>
      </c>
      <c r="C18" s="37" t="n">
        <f aca="false">EDATE(सारांश!$B$4,A18)-1</f>
        <v>46735</v>
      </c>
      <c r="D18" s="38" t="s">
        <v>20</v>
      </c>
      <c r="E18" s="32" t="s">
        <v>90</v>
      </c>
      <c r="F18" s="32" t="s">
        <v>91</v>
      </c>
      <c r="G18" s="32" t="s">
        <v>92</v>
      </c>
      <c r="H18" s="32" t="s">
        <v>57</v>
      </c>
      <c r="I18" s="14" t="n">
        <f aca="false">COUNTIF('दैनिक योजना'!$E$6:$E$552,A18)</f>
        <v>30</v>
      </c>
      <c r="J18" s="14" t="n">
        <f aca="false">COUNTIFS('दैनिक योजना'!$E$6:$E$552,A18,'दैनिक योजना'!$W$6:$W$552,"पूर्ण")+COUNTIFS('दैनिक योजना'!$E$6:$E$552,A18,'दैनिक योजना'!$W$6:$W$552,"दोहराया")</f>
        <v>0</v>
      </c>
      <c r="K18" s="16" t="n">
        <f aca="false">IFERROR(J18/I18,0)</f>
        <v>0</v>
      </c>
    </row>
    <row r="19" customFormat="false" ht="160.5" hidden="false" customHeight="true" outlineLevel="0" collapsed="false">
      <c r="A19" s="36" t="n">
        <v>14</v>
      </c>
      <c r="B19" s="37" t="n">
        <f aca="false">EDATE(सारांश!$B$4,A19-1)</f>
        <v>46736</v>
      </c>
      <c r="C19" s="37" t="n">
        <f aca="false">EDATE(सारांश!$B$4,A19)-1</f>
        <v>46766</v>
      </c>
      <c r="D19" s="38" t="s">
        <v>20</v>
      </c>
      <c r="E19" s="32" t="s">
        <v>93</v>
      </c>
      <c r="F19" s="32" t="s">
        <v>94</v>
      </c>
      <c r="G19" s="32" t="s">
        <v>95</v>
      </c>
      <c r="H19" s="32" t="s">
        <v>57</v>
      </c>
      <c r="I19" s="14" t="n">
        <f aca="false">COUNTIF('दैनिक योजना'!$E$6:$E$552,A19)</f>
        <v>31</v>
      </c>
      <c r="J19" s="14" t="n">
        <f aca="false">COUNTIFS('दैनिक योजना'!$E$6:$E$552,A19,'दैनिक योजना'!$W$6:$W$552,"पूर्ण")+COUNTIFS('दैनिक योजना'!$E$6:$E$552,A19,'दैनिक योजना'!$W$6:$W$552,"दोहराया")</f>
        <v>0</v>
      </c>
      <c r="K19" s="16" t="n">
        <f aca="false">IFERROR(J19/I19,0)</f>
        <v>0</v>
      </c>
    </row>
    <row r="20" customFormat="false" ht="144" hidden="false" customHeight="true" outlineLevel="0" collapsed="false">
      <c r="A20" s="36" t="n">
        <v>15</v>
      </c>
      <c r="B20" s="37" t="n">
        <f aca="false">EDATE(सारांश!$B$4,A20-1)</f>
        <v>46767</v>
      </c>
      <c r="C20" s="37" t="n">
        <f aca="false">EDATE(सारांश!$B$4,A20)-1</f>
        <v>46797</v>
      </c>
      <c r="D20" s="38" t="s">
        <v>20</v>
      </c>
      <c r="E20" s="32" t="s">
        <v>96</v>
      </c>
      <c r="F20" s="32" t="s">
        <v>97</v>
      </c>
      <c r="G20" s="32" t="s">
        <v>98</v>
      </c>
      <c r="H20" s="32" t="s">
        <v>57</v>
      </c>
      <c r="I20" s="14" t="n">
        <f aca="false">COUNTIF('दैनिक योजना'!$E$6:$E$552,A20)</f>
        <v>31</v>
      </c>
      <c r="J20" s="14" t="n">
        <f aca="false">COUNTIFS('दैनिक योजना'!$E$6:$E$552,A20,'दैनिक योजना'!$W$6:$W$552,"पूर्ण")+COUNTIFS('दैनिक योजना'!$E$6:$E$552,A20,'दैनिक योजना'!$W$6:$W$552,"दोहराया")</f>
        <v>0</v>
      </c>
      <c r="K20" s="16" t="n">
        <f aca="false">IFERROR(J20/I20,0)</f>
        <v>0</v>
      </c>
    </row>
    <row r="21" customFormat="false" ht="75.75" hidden="false" customHeight="true" outlineLevel="0" collapsed="false">
      <c r="A21" s="39" t="n">
        <v>16</v>
      </c>
      <c r="B21" s="40" t="n">
        <f aca="false">EDATE(सारांश!$B$4,A21-1)</f>
        <v>46798</v>
      </c>
      <c r="C21" s="40" t="n">
        <f aca="false">EDATE(सारांश!$B$4,A21)-1</f>
        <v>46826</v>
      </c>
      <c r="D21" s="41" t="s">
        <v>99</v>
      </c>
      <c r="E21" s="32" t="s">
        <v>100</v>
      </c>
      <c r="F21" s="32" t="s">
        <v>101</v>
      </c>
      <c r="G21" s="32" t="s">
        <v>102</v>
      </c>
      <c r="H21" s="32" t="s">
        <v>57</v>
      </c>
      <c r="I21" s="14" t="n">
        <f aca="false">COUNTIF('दैनिक योजना'!$E$6:$E$552,A21)</f>
        <v>29</v>
      </c>
      <c r="J21" s="14" t="n">
        <f aca="false">COUNTIFS('दैनिक योजना'!$E$6:$E$552,A21,'दैनिक योजना'!$W$6:$W$552,"पूर्ण")+COUNTIFS('दैनिक योजना'!$E$6:$E$552,A21,'दैनिक योजना'!$W$6:$W$552,"दोहराया")</f>
        <v>0</v>
      </c>
      <c r="K21" s="16" t="n">
        <f aca="false">IFERROR(J21/I21,0)</f>
        <v>0</v>
      </c>
    </row>
    <row r="22" customFormat="false" ht="75.75" hidden="false" customHeight="true" outlineLevel="0" collapsed="false">
      <c r="A22" s="39" t="n">
        <v>17</v>
      </c>
      <c r="B22" s="40" t="n">
        <f aca="false">EDATE(सारांश!$B$4,A22-1)</f>
        <v>46827</v>
      </c>
      <c r="C22" s="40" t="n">
        <f aca="false">EDATE(सारांश!$B$4,A22)-1</f>
        <v>46857</v>
      </c>
      <c r="D22" s="41" t="s">
        <v>22</v>
      </c>
      <c r="E22" s="32" t="s">
        <v>103</v>
      </c>
      <c r="F22" s="32" t="s">
        <v>104</v>
      </c>
      <c r="G22" s="32" t="s">
        <v>105</v>
      </c>
      <c r="H22" s="32" t="s">
        <v>57</v>
      </c>
      <c r="I22" s="14" t="n">
        <f aca="false">COUNTIF('दैनिक योजना'!$E$6:$E$552,A22)</f>
        <v>31</v>
      </c>
      <c r="J22" s="14" t="n">
        <f aca="false">COUNTIFS('दैनिक योजना'!$E$6:$E$552,A22,'दैनिक योजना'!$W$6:$W$552,"पूर्ण")+COUNTIFS('दैनिक योजना'!$E$6:$E$552,A22,'दैनिक योजना'!$W$6:$W$552,"दोहराया")</f>
        <v>0</v>
      </c>
      <c r="K22" s="16" t="n">
        <f aca="false">IFERROR(J22/I22,0)</f>
        <v>0</v>
      </c>
    </row>
    <row r="23" customFormat="false" ht="75.75" hidden="false" customHeight="true" outlineLevel="0" collapsed="false">
      <c r="A23" s="42" t="n">
        <v>18</v>
      </c>
      <c r="B23" s="43" t="n">
        <f aca="false">EDATE(सारांश!$B$4,A23-1)</f>
        <v>46858</v>
      </c>
      <c r="C23" s="43" t="n">
        <f aca="false">EDATE(सारांश!$B$4,A23)-1</f>
        <v>46887</v>
      </c>
      <c r="D23" s="44" t="s">
        <v>106</v>
      </c>
      <c r="E23" s="32" t="s">
        <v>107</v>
      </c>
      <c r="F23" s="32" t="s">
        <v>108</v>
      </c>
      <c r="G23" s="32" t="s">
        <v>109</v>
      </c>
      <c r="H23" s="32" t="s">
        <v>57</v>
      </c>
      <c r="I23" s="14" t="n">
        <f aca="false">COUNTIF('दैनिक योजना'!$E$6:$E$552,A23)</f>
        <v>30</v>
      </c>
      <c r="J23" s="14" t="n">
        <f aca="false">COUNTIFS('दैनिक योजना'!$E$6:$E$552,A23,'दैनिक योजना'!$W$6:$W$552,"पूर्ण")+COUNTIFS('दैनिक योजना'!$E$6:$E$552,A23,'दैनिक योजना'!$W$6:$W$552,"दोहराया")</f>
        <v>0</v>
      </c>
      <c r="K23" s="16" t="n">
        <f aca="false">IFERROR(J23/I23,0)</f>
        <v>0</v>
      </c>
    </row>
  </sheetData>
  <conditionalFormatting sqref="K6:K23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{66391C37-B282-4C84-8C5E-2973665BDB30}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391C37-B282-4C84-8C5E-2973665BDB3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K6:K23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394"/>
    <pageSetUpPr fitToPage="fals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5"/>
    <col collapsed="false" customWidth="true" hidden="false" outlineLevel="0" max="4" min="4" style="1" width="9"/>
    <col collapsed="false" customWidth="true" hidden="false" outlineLevel="0" max="5" min="5" style="1" width="30"/>
    <col collapsed="false" customWidth="true" hidden="false" outlineLevel="0" max="6" min="6" style="1" width="69"/>
    <col collapsed="false" customWidth="true" hidden="false" outlineLevel="0" max="7" min="7" style="1" width="57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25"/>
  </cols>
  <sheetData>
    <row r="1" customFormat="false" ht="39.75" hidden="false" customHeight="true" outlineLevel="0" collapsed="false">
      <c r="A1" s="2" t="s">
        <v>110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25.5" hidden="false" customHeight="true" outlineLevel="0" collapsed="false">
      <c r="A2" s="4" t="s">
        <v>111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5" customFormat="false" ht="39.75" hidden="false" customHeight="true" outlineLevel="0" collapsed="false">
      <c r="A5" s="12" t="s">
        <v>112</v>
      </c>
      <c r="B5" s="12" t="s">
        <v>113</v>
      </c>
      <c r="C5" s="12" t="s">
        <v>114</v>
      </c>
      <c r="D5" s="12" t="s">
        <v>46</v>
      </c>
      <c r="E5" s="12" t="s">
        <v>7</v>
      </c>
      <c r="F5" s="12" t="s">
        <v>115</v>
      </c>
      <c r="G5" s="12" t="s">
        <v>116</v>
      </c>
      <c r="H5" s="12" t="s">
        <v>117</v>
      </c>
      <c r="I5" s="12" t="s">
        <v>118</v>
      </c>
      <c r="J5" s="12" t="s">
        <v>12</v>
      </c>
      <c r="K5" s="12" t="s">
        <v>13</v>
      </c>
      <c r="L5" s="12" t="s">
        <v>119</v>
      </c>
      <c r="M5" s="12" t="s">
        <v>120</v>
      </c>
    </row>
    <row r="6" customFormat="false" ht="42" hidden="false" customHeight="true" outlineLevel="0" collapsed="false">
      <c r="A6" s="45" t="n">
        <v>0</v>
      </c>
      <c r="B6" s="46" t="n">
        <f aca="false">सारांश!$B$4</f>
        <v>46341</v>
      </c>
      <c r="C6" s="46" t="n">
        <f aca="false">B6</f>
        <v>46341</v>
      </c>
      <c r="D6" s="45" t="n">
        <f aca="false">(YEAR(B6)-YEAR(सारांश!$B$4))*12+MONTH(B6)-MONTH(सारांश!$B$4)+IF(DAY(B6)&gt;=DAY(सारांश!$B$4),1,0)</f>
        <v>1</v>
      </c>
      <c r="E6" s="47" t="s">
        <v>14</v>
      </c>
      <c r="F6" s="32" t="s">
        <v>121</v>
      </c>
      <c r="G6" s="32" t="s">
        <v>122</v>
      </c>
      <c r="H6" s="32" t="s">
        <v>123</v>
      </c>
      <c r="I6" s="32" t="s">
        <v>124</v>
      </c>
      <c r="J6" s="14" t="n">
        <f aca="false">COUNTIFS('दैनिक योजना'!$D$6:$D$552,A6,'दैनिक योजना'!$W$6:$W$552,"पूर्ण")+COUNTIFS('दैनिक योजना'!$D$6:$D$552,A6,'दैनिक योजना'!$W$6:$W$552,"दोहराया")</f>
        <v>0</v>
      </c>
      <c r="K6" s="16" t="n">
        <f aca="false">IFERROR(J6/COUNTIF('दैनिक योजना'!$D$6:$D$552,A6),0)</f>
        <v>0</v>
      </c>
      <c r="L6" s="14"/>
      <c r="M6" s="32"/>
    </row>
    <row r="7" customFormat="false" ht="42" hidden="false" customHeight="true" outlineLevel="0" collapsed="false">
      <c r="A7" s="29" t="n">
        <v>1</v>
      </c>
      <c r="B7" s="30" t="n">
        <f aca="false">सारांश!$B$4+1+7*(A7-1)</f>
        <v>46342</v>
      </c>
      <c r="C7" s="30" t="n">
        <f aca="false">B7+6</f>
        <v>46348</v>
      </c>
      <c r="D7" s="29" t="n">
        <f aca="false">(YEAR(B7)-YEAR(सारांश!$B$4))*12+MONTH(B7)-MONTH(सारांश!$B$4)+IF(DAY(B7)&gt;=DAY(सारांश!$B$4),1,0)</f>
        <v>1</v>
      </c>
      <c r="E7" s="31" t="s">
        <v>16</v>
      </c>
      <c r="F7" s="32" t="s">
        <v>125</v>
      </c>
      <c r="G7" s="32" t="s">
        <v>126</v>
      </c>
      <c r="H7" s="32" t="s">
        <v>127</v>
      </c>
      <c r="I7" s="32" t="s">
        <v>128</v>
      </c>
      <c r="J7" s="14" t="n">
        <f aca="false">COUNTIFS('दैनिक योजना'!$D$6:$D$552,A7,'दैनिक योजना'!$W$6:$W$552,"पूर्ण")+COUNTIFS('दैनिक योजना'!$D$6:$D$552,A7,'दैनिक योजना'!$W$6:$W$552,"दोहराया")</f>
        <v>0</v>
      </c>
      <c r="K7" s="16" t="n">
        <f aca="false">IFERROR(J7/COUNTIF('दैनिक योजना'!$D$6:$D$552,A7),0)</f>
        <v>0</v>
      </c>
      <c r="L7" s="14"/>
      <c r="M7" s="32"/>
    </row>
    <row r="8" customFormat="false" ht="42" hidden="false" customHeight="true" outlineLevel="0" collapsed="false">
      <c r="A8" s="29" t="n">
        <v>2</v>
      </c>
      <c r="B8" s="30" t="n">
        <f aca="false">सारांश!$B$4+1+7*(A8-1)</f>
        <v>46349</v>
      </c>
      <c r="C8" s="30" t="n">
        <f aca="false">B8+6</f>
        <v>46355</v>
      </c>
      <c r="D8" s="29" t="n">
        <f aca="false">(YEAR(B8)-YEAR(सारांश!$B$4))*12+MONTH(B8)-MONTH(सारांश!$B$4)+IF(DAY(B8)&gt;=DAY(सारांश!$B$4),1,0)</f>
        <v>1</v>
      </c>
      <c r="E8" s="31" t="s">
        <v>16</v>
      </c>
      <c r="F8" s="32" t="s">
        <v>129</v>
      </c>
      <c r="G8" s="32" t="s">
        <v>130</v>
      </c>
      <c r="H8" s="32" t="s">
        <v>127</v>
      </c>
      <c r="I8" s="32" t="s">
        <v>128</v>
      </c>
      <c r="J8" s="14" t="n">
        <f aca="false">COUNTIFS('दैनिक योजना'!$D$6:$D$552,A8,'दैनिक योजना'!$W$6:$W$552,"पूर्ण")+COUNTIFS('दैनिक योजना'!$D$6:$D$552,A8,'दैनिक योजना'!$W$6:$W$552,"दोहराया")</f>
        <v>0</v>
      </c>
      <c r="K8" s="16" t="n">
        <f aca="false">IFERROR(J8/COUNTIF('दैनिक योजना'!$D$6:$D$552,A8),0)</f>
        <v>0</v>
      </c>
      <c r="L8" s="14"/>
      <c r="M8" s="32"/>
    </row>
    <row r="9" customFormat="false" ht="58.5" hidden="false" customHeight="true" outlineLevel="0" collapsed="false">
      <c r="A9" s="29" t="n">
        <v>3</v>
      </c>
      <c r="B9" s="30" t="n">
        <f aca="false">सारांश!$B$4+1+7*(A9-1)</f>
        <v>46356</v>
      </c>
      <c r="C9" s="30" t="n">
        <f aca="false">B9+6</f>
        <v>46362</v>
      </c>
      <c r="D9" s="29" t="n">
        <f aca="false">(YEAR(B9)-YEAR(सारांश!$B$4))*12+MONTH(B9)-MONTH(सारांश!$B$4)+IF(DAY(B9)&gt;=DAY(सारांश!$B$4),1,0)</f>
        <v>1</v>
      </c>
      <c r="E9" s="31" t="s">
        <v>16</v>
      </c>
      <c r="F9" s="32" t="s">
        <v>131</v>
      </c>
      <c r="G9" s="32" t="s">
        <v>132</v>
      </c>
      <c r="H9" s="32" t="s">
        <v>127</v>
      </c>
      <c r="I9" s="32" t="s">
        <v>128</v>
      </c>
      <c r="J9" s="14" t="n">
        <f aca="false">COUNTIFS('दैनिक योजना'!$D$6:$D$552,A9,'दैनिक योजना'!$W$6:$W$552,"पूर्ण")+COUNTIFS('दैनिक योजना'!$D$6:$D$552,A9,'दैनिक योजना'!$W$6:$W$552,"दोहराया")</f>
        <v>0</v>
      </c>
      <c r="K9" s="16" t="n">
        <f aca="false">IFERROR(J9/COUNTIF('दैनिक योजना'!$D$6:$D$552,A9),0)</f>
        <v>0</v>
      </c>
      <c r="L9" s="14"/>
      <c r="M9" s="32"/>
    </row>
    <row r="10" customFormat="false" ht="75.75" hidden="false" customHeight="true" outlineLevel="0" collapsed="false">
      <c r="A10" s="29" t="n">
        <v>4</v>
      </c>
      <c r="B10" s="30" t="n">
        <f aca="false">सारांश!$B$4+1+7*(A10-1)</f>
        <v>46363</v>
      </c>
      <c r="C10" s="30" t="n">
        <f aca="false">B10+6</f>
        <v>46369</v>
      </c>
      <c r="D10" s="29" t="n">
        <f aca="false">(YEAR(B10)-YEAR(सारांश!$B$4))*12+MONTH(B10)-MONTH(सारांश!$B$4)+IF(DAY(B10)&gt;=DAY(सारांश!$B$4),1,0)</f>
        <v>1</v>
      </c>
      <c r="E10" s="31" t="s">
        <v>16</v>
      </c>
      <c r="F10" s="32" t="s">
        <v>133</v>
      </c>
      <c r="G10" s="32" t="s">
        <v>134</v>
      </c>
      <c r="H10" s="32" t="s">
        <v>135</v>
      </c>
      <c r="I10" s="32" t="s">
        <v>128</v>
      </c>
      <c r="J10" s="14" t="n">
        <f aca="false">COUNTIFS('दैनिक योजना'!$D$6:$D$552,A10,'दैनिक योजना'!$W$6:$W$552,"पूर्ण")+COUNTIFS('दैनिक योजना'!$D$6:$D$552,A10,'दैनिक योजना'!$W$6:$W$552,"दोहराया")</f>
        <v>0</v>
      </c>
      <c r="K10" s="16" t="n">
        <f aca="false">IFERROR(J10/COUNTIF('दैनिक योजना'!$D$6:$D$552,A10),0)</f>
        <v>0</v>
      </c>
      <c r="L10" s="14"/>
      <c r="M10" s="32"/>
    </row>
    <row r="11" customFormat="false" ht="42" hidden="false" customHeight="true" outlineLevel="0" collapsed="false">
      <c r="A11" s="29" t="n">
        <v>5</v>
      </c>
      <c r="B11" s="30" t="n">
        <f aca="false">सारांश!$B$4+1+7*(A11-1)</f>
        <v>46370</v>
      </c>
      <c r="C11" s="30" t="n">
        <f aca="false">B11+6</f>
        <v>46376</v>
      </c>
      <c r="D11" s="29" t="n">
        <f aca="false">(YEAR(B11)-YEAR(सारांश!$B$4))*12+MONTH(B11)-MONTH(सारांश!$B$4)+IF(DAY(B11)&gt;=DAY(सारांश!$B$4),1,0)</f>
        <v>1</v>
      </c>
      <c r="E11" s="31" t="s">
        <v>16</v>
      </c>
      <c r="F11" s="32" t="s">
        <v>136</v>
      </c>
      <c r="G11" s="32" t="s">
        <v>137</v>
      </c>
      <c r="H11" s="32" t="s">
        <v>127</v>
      </c>
      <c r="I11" s="32" t="s">
        <v>128</v>
      </c>
      <c r="J11" s="14" t="n">
        <f aca="false">COUNTIFS('दैनिक योजना'!$D$6:$D$552,A11,'दैनिक योजना'!$W$6:$W$552,"पूर्ण")+COUNTIFS('दैनिक योजना'!$D$6:$D$552,A11,'दैनिक योजना'!$W$6:$W$552,"दोहराया")</f>
        <v>0</v>
      </c>
      <c r="K11" s="16" t="n">
        <f aca="false">IFERROR(J11/COUNTIF('दैनिक योजना'!$D$6:$D$552,A11),0)</f>
        <v>0</v>
      </c>
      <c r="L11" s="14"/>
      <c r="M11" s="32"/>
    </row>
    <row r="12" customFormat="false" ht="42" hidden="false" customHeight="true" outlineLevel="0" collapsed="false">
      <c r="A12" s="29" t="n">
        <v>6</v>
      </c>
      <c r="B12" s="30" t="n">
        <f aca="false">सारांश!$B$4+1+7*(A12-1)</f>
        <v>46377</v>
      </c>
      <c r="C12" s="30" t="n">
        <f aca="false">B12+6</f>
        <v>46383</v>
      </c>
      <c r="D12" s="29" t="n">
        <f aca="false">(YEAR(B12)-YEAR(सारांश!$B$4))*12+MONTH(B12)-MONTH(सारांश!$B$4)+IF(DAY(B12)&gt;=DAY(सारांश!$B$4),1,0)</f>
        <v>2</v>
      </c>
      <c r="E12" s="31" t="s">
        <v>16</v>
      </c>
      <c r="F12" s="32" t="s">
        <v>138</v>
      </c>
      <c r="G12" s="32" t="s">
        <v>139</v>
      </c>
      <c r="H12" s="32" t="s">
        <v>127</v>
      </c>
      <c r="I12" s="32" t="s">
        <v>128</v>
      </c>
      <c r="J12" s="14" t="n">
        <f aca="false">COUNTIFS('दैनिक योजना'!$D$6:$D$552,A12,'दैनिक योजना'!$W$6:$W$552,"पूर्ण")+COUNTIFS('दैनिक योजना'!$D$6:$D$552,A12,'दैनिक योजना'!$W$6:$W$552,"दोहराया")</f>
        <v>0</v>
      </c>
      <c r="K12" s="16" t="n">
        <f aca="false">IFERROR(J12/COUNTIF('दैनिक योजना'!$D$6:$D$552,A12),0)</f>
        <v>0</v>
      </c>
      <c r="L12" s="14"/>
      <c r="M12" s="32"/>
    </row>
    <row r="13" customFormat="false" ht="42" hidden="false" customHeight="true" outlineLevel="0" collapsed="false">
      <c r="A13" s="29" t="n">
        <v>7</v>
      </c>
      <c r="B13" s="30" t="n">
        <f aca="false">सारांश!$B$4+1+7*(A13-1)</f>
        <v>46384</v>
      </c>
      <c r="C13" s="30" t="n">
        <f aca="false">B13+6</f>
        <v>46390</v>
      </c>
      <c r="D13" s="29" t="n">
        <f aca="false">(YEAR(B13)-YEAR(सारांश!$B$4))*12+MONTH(B13)-MONTH(सारांश!$B$4)+IF(DAY(B13)&gt;=DAY(सारांश!$B$4),1,0)</f>
        <v>2</v>
      </c>
      <c r="E13" s="31" t="s">
        <v>16</v>
      </c>
      <c r="F13" s="32" t="s">
        <v>140</v>
      </c>
      <c r="G13" s="32" t="s">
        <v>141</v>
      </c>
      <c r="H13" s="32" t="s">
        <v>127</v>
      </c>
      <c r="I13" s="32" t="s">
        <v>128</v>
      </c>
      <c r="J13" s="14" t="n">
        <f aca="false">COUNTIFS('दैनिक योजना'!$D$6:$D$552,A13,'दैनिक योजना'!$W$6:$W$552,"पूर्ण")+COUNTIFS('दैनिक योजना'!$D$6:$D$552,A13,'दैनिक योजना'!$W$6:$W$552,"दोहराया")</f>
        <v>0</v>
      </c>
      <c r="K13" s="16" t="n">
        <f aca="false">IFERROR(J13/COUNTIF('दैनिक योजना'!$D$6:$D$552,A13),0)</f>
        <v>0</v>
      </c>
      <c r="L13" s="14"/>
      <c r="M13" s="32"/>
    </row>
    <row r="14" customFormat="false" ht="75.75" hidden="false" customHeight="true" outlineLevel="0" collapsed="false">
      <c r="A14" s="29" t="n">
        <v>8</v>
      </c>
      <c r="B14" s="30" t="n">
        <f aca="false">सारांश!$B$4+1+7*(A14-1)</f>
        <v>46391</v>
      </c>
      <c r="C14" s="30" t="n">
        <f aca="false">B14+6</f>
        <v>46397</v>
      </c>
      <c r="D14" s="29" t="n">
        <f aca="false">(YEAR(B14)-YEAR(सारांश!$B$4))*12+MONTH(B14)-MONTH(सारांश!$B$4)+IF(DAY(B14)&gt;=DAY(सारांश!$B$4),1,0)</f>
        <v>2</v>
      </c>
      <c r="E14" s="31" t="s">
        <v>16</v>
      </c>
      <c r="F14" s="32" t="s">
        <v>142</v>
      </c>
      <c r="G14" s="32" t="s">
        <v>143</v>
      </c>
      <c r="H14" s="32" t="s">
        <v>135</v>
      </c>
      <c r="I14" s="32" t="s">
        <v>128</v>
      </c>
      <c r="J14" s="14" t="n">
        <f aca="false">COUNTIFS('दैनिक योजना'!$D$6:$D$552,A14,'दैनिक योजना'!$W$6:$W$552,"पूर्ण")+COUNTIFS('दैनिक योजना'!$D$6:$D$552,A14,'दैनिक योजना'!$W$6:$W$552,"दोहराया")</f>
        <v>0</v>
      </c>
      <c r="K14" s="16" t="n">
        <f aca="false">IFERROR(J14/COUNTIF('दैनिक योजना'!$D$6:$D$552,A14),0)</f>
        <v>0</v>
      </c>
      <c r="L14" s="14"/>
      <c r="M14" s="32"/>
    </row>
    <row r="15" customFormat="false" ht="42" hidden="false" customHeight="true" outlineLevel="0" collapsed="false">
      <c r="A15" s="29" t="n">
        <v>9</v>
      </c>
      <c r="B15" s="30" t="n">
        <f aca="false">सारांश!$B$4+1+7*(A15-1)</f>
        <v>46398</v>
      </c>
      <c r="C15" s="30" t="n">
        <f aca="false">B15+6</f>
        <v>46404</v>
      </c>
      <c r="D15" s="29" t="n">
        <f aca="false">(YEAR(B15)-YEAR(सारांश!$B$4))*12+MONTH(B15)-MONTH(सारांश!$B$4)+IF(DAY(B15)&gt;=DAY(सारांश!$B$4),1,0)</f>
        <v>2</v>
      </c>
      <c r="E15" s="31" t="s">
        <v>16</v>
      </c>
      <c r="F15" s="32" t="s">
        <v>144</v>
      </c>
      <c r="G15" s="32" t="s">
        <v>145</v>
      </c>
      <c r="H15" s="32" t="s">
        <v>127</v>
      </c>
      <c r="I15" s="32" t="s">
        <v>128</v>
      </c>
      <c r="J15" s="14" t="n">
        <f aca="false">COUNTIFS('दैनिक योजना'!$D$6:$D$552,A15,'दैनिक योजना'!$W$6:$W$552,"पूर्ण")+COUNTIFS('दैनिक योजना'!$D$6:$D$552,A15,'दैनिक योजना'!$W$6:$W$552,"दोहराया")</f>
        <v>0</v>
      </c>
      <c r="K15" s="16" t="n">
        <f aca="false">IFERROR(J15/COUNTIF('दैनिक योजना'!$D$6:$D$552,A15),0)</f>
        <v>0</v>
      </c>
      <c r="L15" s="14"/>
      <c r="M15" s="32"/>
    </row>
    <row r="16" customFormat="false" ht="58.5" hidden="false" customHeight="true" outlineLevel="0" collapsed="false">
      <c r="A16" s="29" t="n">
        <v>10</v>
      </c>
      <c r="B16" s="30" t="n">
        <f aca="false">सारांश!$B$4+1+7*(A16-1)</f>
        <v>46405</v>
      </c>
      <c r="C16" s="30" t="n">
        <f aca="false">B16+6</f>
        <v>46411</v>
      </c>
      <c r="D16" s="29" t="n">
        <f aca="false">(YEAR(B16)-YEAR(सारांश!$B$4))*12+MONTH(B16)-MONTH(सारांश!$B$4)+IF(DAY(B16)&gt;=DAY(सारांश!$B$4),1,0)</f>
        <v>3</v>
      </c>
      <c r="E16" s="31" t="s">
        <v>16</v>
      </c>
      <c r="F16" s="32" t="s">
        <v>146</v>
      </c>
      <c r="G16" s="32" t="s">
        <v>147</v>
      </c>
      <c r="H16" s="32" t="s">
        <v>127</v>
      </c>
      <c r="I16" s="32" t="s">
        <v>128</v>
      </c>
      <c r="J16" s="14" t="n">
        <f aca="false">COUNTIFS('दैनिक योजना'!$D$6:$D$552,A16,'दैनिक योजना'!$W$6:$W$552,"पूर्ण")+COUNTIFS('दैनिक योजना'!$D$6:$D$552,A16,'दैनिक योजना'!$W$6:$W$552,"दोहराया")</f>
        <v>0</v>
      </c>
      <c r="K16" s="16" t="n">
        <f aca="false">IFERROR(J16/COUNTIF('दैनिक योजना'!$D$6:$D$552,A16),0)</f>
        <v>0</v>
      </c>
      <c r="L16" s="14"/>
      <c r="M16" s="32"/>
    </row>
    <row r="17" customFormat="false" ht="58.5" hidden="false" customHeight="true" outlineLevel="0" collapsed="false">
      <c r="A17" s="29" t="n">
        <v>11</v>
      </c>
      <c r="B17" s="30" t="n">
        <f aca="false">सारांश!$B$4+1+7*(A17-1)</f>
        <v>46412</v>
      </c>
      <c r="C17" s="30" t="n">
        <f aca="false">B17+6</f>
        <v>46418</v>
      </c>
      <c r="D17" s="29" t="n">
        <f aca="false">(YEAR(B17)-YEAR(सारांश!$B$4))*12+MONTH(B17)-MONTH(सारांश!$B$4)+IF(DAY(B17)&gt;=DAY(सारांश!$B$4),1,0)</f>
        <v>3</v>
      </c>
      <c r="E17" s="31" t="s">
        <v>16</v>
      </c>
      <c r="F17" s="32" t="s">
        <v>148</v>
      </c>
      <c r="G17" s="32" t="s">
        <v>149</v>
      </c>
      <c r="H17" s="32" t="s">
        <v>127</v>
      </c>
      <c r="I17" s="32" t="s">
        <v>128</v>
      </c>
      <c r="J17" s="14" t="n">
        <f aca="false">COUNTIFS('दैनिक योजना'!$D$6:$D$552,A17,'दैनिक योजना'!$W$6:$W$552,"पूर्ण")+COUNTIFS('दैनिक योजना'!$D$6:$D$552,A17,'दैनिक योजना'!$W$6:$W$552,"दोहराया")</f>
        <v>0</v>
      </c>
      <c r="K17" s="16" t="n">
        <f aca="false">IFERROR(J17/COUNTIF('दैनिक योजना'!$D$6:$D$552,A17),0)</f>
        <v>0</v>
      </c>
      <c r="L17" s="14"/>
      <c r="M17" s="32"/>
    </row>
    <row r="18" customFormat="false" ht="75.75" hidden="false" customHeight="true" outlineLevel="0" collapsed="false">
      <c r="A18" s="29" t="n">
        <v>12</v>
      </c>
      <c r="B18" s="30" t="n">
        <f aca="false">सारांश!$B$4+1+7*(A18-1)</f>
        <v>46419</v>
      </c>
      <c r="C18" s="30" t="n">
        <f aca="false">B18+6</f>
        <v>46425</v>
      </c>
      <c r="D18" s="29" t="n">
        <f aca="false">(YEAR(B18)-YEAR(सारांश!$B$4))*12+MONTH(B18)-MONTH(सारांश!$B$4)+IF(DAY(B18)&gt;=DAY(सारांश!$B$4),1,0)</f>
        <v>3</v>
      </c>
      <c r="E18" s="31" t="s">
        <v>16</v>
      </c>
      <c r="F18" s="32" t="s">
        <v>150</v>
      </c>
      <c r="G18" s="32" t="s">
        <v>151</v>
      </c>
      <c r="H18" s="32" t="s">
        <v>135</v>
      </c>
      <c r="I18" s="32" t="s">
        <v>128</v>
      </c>
      <c r="J18" s="14" t="n">
        <f aca="false">COUNTIFS('दैनिक योजना'!$D$6:$D$552,A18,'दैनिक योजना'!$W$6:$W$552,"पूर्ण")+COUNTIFS('दैनिक योजना'!$D$6:$D$552,A18,'दैनिक योजना'!$W$6:$W$552,"दोहराया")</f>
        <v>0</v>
      </c>
      <c r="K18" s="16" t="n">
        <f aca="false">IFERROR(J18/COUNTIF('दैनिक योजना'!$D$6:$D$552,A18),0)</f>
        <v>0</v>
      </c>
      <c r="L18" s="14"/>
      <c r="M18" s="32"/>
    </row>
    <row r="19" customFormat="false" ht="58.5" hidden="false" customHeight="true" outlineLevel="0" collapsed="false">
      <c r="A19" s="29" t="n">
        <v>13</v>
      </c>
      <c r="B19" s="30" t="n">
        <f aca="false">सारांश!$B$4+1+7*(A19-1)</f>
        <v>46426</v>
      </c>
      <c r="C19" s="30" t="n">
        <f aca="false">B19+6</f>
        <v>46432</v>
      </c>
      <c r="D19" s="29" t="n">
        <f aca="false">(YEAR(B19)-YEAR(सारांश!$B$4))*12+MONTH(B19)-MONTH(सारांश!$B$4)+IF(DAY(B19)&gt;=DAY(सारांश!$B$4),1,0)</f>
        <v>3</v>
      </c>
      <c r="E19" s="31" t="s">
        <v>16</v>
      </c>
      <c r="F19" s="32" t="s">
        <v>152</v>
      </c>
      <c r="G19" s="32" t="s">
        <v>153</v>
      </c>
      <c r="H19" s="32" t="s">
        <v>127</v>
      </c>
      <c r="I19" s="32" t="s">
        <v>128</v>
      </c>
      <c r="J19" s="14" t="n">
        <f aca="false">COUNTIFS('दैनिक योजना'!$D$6:$D$552,A19,'दैनिक योजना'!$W$6:$W$552,"पूर्ण")+COUNTIFS('दैनिक योजना'!$D$6:$D$552,A19,'दैनिक योजना'!$W$6:$W$552,"दोहराया")</f>
        <v>0</v>
      </c>
      <c r="K19" s="16" t="n">
        <f aca="false">IFERROR(J19/COUNTIF('दैनिक योजना'!$D$6:$D$552,A19),0)</f>
        <v>0</v>
      </c>
      <c r="L19" s="14"/>
      <c r="M19" s="32"/>
    </row>
    <row r="20" customFormat="false" ht="42" hidden="false" customHeight="true" outlineLevel="0" collapsed="false">
      <c r="A20" s="29" t="n">
        <v>14</v>
      </c>
      <c r="B20" s="30" t="n">
        <f aca="false">सारांश!$B$4+1+7*(A20-1)</f>
        <v>46433</v>
      </c>
      <c r="C20" s="30" t="n">
        <f aca="false">B20+6</f>
        <v>46439</v>
      </c>
      <c r="D20" s="29" t="n">
        <f aca="false">(YEAR(B20)-YEAR(सारांश!$B$4))*12+MONTH(B20)-MONTH(सारांश!$B$4)+IF(DAY(B20)&gt;=DAY(सारांश!$B$4),1,0)</f>
        <v>4</v>
      </c>
      <c r="E20" s="31" t="s">
        <v>16</v>
      </c>
      <c r="F20" s="32" t="s">
        <v>154</v>
      </c>
      <c r="G20" s="32" t="s">
        <v>155</v>
      </c>
      <c r="H20" s="32" t="s">
        <v>127</v>
      </c>
      <c r="I20" s="32" t="s">
        <v>128</v>
      </c>
      <c r="J20" s="14" t="n">
        <f aca="false">COUNTIFS('दैनिक योजना'!$D$6:$D$552,A20,'दैनिक योजना'!$W$6:$W$552,"पूर्ण")+COUNTIFS('दैनिक योजना'!$D$6:$D$552,A20,'दैनिक योजना'!$W$6:$W$552,"दोहराया")</f>
        <v>0</v>
      </c>
      <c r="K20" s="16" t="n">
        <f aca="false">IFERROR(J20/COUNTIF('दैनिक योजना'!$D$6:$D$552,A20),0)</f>
        <v>0</v>
      </c>
      <c r="L20" s="14"/>
      <c r="M20" s="32"/>
    </row>
    <row r="21" customFormat="false" ht="58.5" hidden="false" customHeight="true" outlineLevel="0" collapsed="false">
      <c r="A21" s="29" t="n">
        <v>15</v>
      </c>
      <c r="B21" s="30" t="n">
        <f aca="false">सारांश!$B$4+1+7*(A21-1)</f>
        <v>46440</v>
      </c>
      <c r="C21" s="30" t="n">
        <f aca="false">B21+6</f>
        <v>46446</v>
      </c>
      <c r="D21" s="29" t="n">
        <f aca="false">(YEAR(B21)-YEAR(सारांश!$B$4))*12+MONTH(B21)-MONTH(सारांश!$B$4)+IF(DAY(B21)&gt;=DAY(सारांश!$B$4),1,0)</f>
        <v>4</v>
      </c>
      <c r="E21" s="31" t="s">
        <v>16</v>
      </c>
      <c r="F21" s="32" t="s">
        <v>156</v>
      </c>
      <c r="G21" s="32" t="s">
        <v>157</v>
      </c>
      <c r="H21" s="32" t="s">
        <v>127</v>
      </c>
      <c r="I21" s="32" t="s">
        <v>128</v>
      </c>
      <c r="J21" s="14" t="n">
        <f aca="false">COUNTIFS('दैनिक योजना'!$D$6:$D$552,A21,'दैनिक योजना'!$W$6:$W$552,"पूर्ण")+COUNTIFS('दैनिक योजना'!$D$6:$D$552,A21,'दैनिक योजना'!$W$6:$W$552,"दोहराया")</f>
        <v>0</v>
      </c>
      <c r="K21" s="16" t="n">
        <f aca="false">IFERROR(J21/COUNTIF('दैनिक योजना'!$D$6:$D$552,A21),0)</f>
        <v>0</v>
      </c>
      <c r="L21" s="14"/>
      <c r="M21" s="32"/>
    </row>
    <row r="22" customFormat="false" ht="75.75" hidden="false" customHeight="true" outlineLevel="0" collapsed="false">
      <c r="A22" s="29" t="n">
        <v>16</v>
      </c>
      <c r="B22" s="30" t="n">
        <f aca="false">सारांश!$B$4+1+7*(A22-1)</f>
        <v>46447</v>
      </c>
      <c r="C22" s="30" t="n">
        <f aca="false">B22+6</f>
        <v>46453</v>
      </c>
      <c r="D22" s="29" t="n">
        <f aca="false">(YEAR(B22)-YEAR(सारांश!$B$4))*12+MONTH(B22)-MONTH(सारांश!$B$4)+IF(DAY(B22)&gt;=DAY(सारांश!$B$4),1,0)</f>
        <v>4</v>
      </c>
      <c r="E22" s="31" t="s">
        <v>16</v>
      </c>
      <c r="F22" s="32" t="s">
        <v>158</v>
      </c>
      <c r="G22" s="32" t="s">
        <v>159</v>
      </c>
      <c r="H22" s="32" t="s">
        <v>135</v>
      </c>
      <c r="I22" s="32" t="s">
        <v>128</v>
      </c>
      <c r="J22" s="14" t="n">
        <f aca="false">COUNTIFS('दैनिक योजना'!$D$6:$D$552,A22,'दैनिक योजना'!$W$6:$W$552,"पूर्ण")+COUNTIFS('दैनिक योजना'!$D$6:$D$552,A22,'दैनिक योजना'!$W$6:$W$552,"दोहराया")</f>
        <v>0</v>
      </c>
      <c r="K22" s="16" t="n">
        <f aca="false">IFERROR(J22/COUNTIF('दैनिक योजना'!$D$6:$D$552,A22),0)</f>
        <v>0</v>
      </c>
      <c r="L22" s="14"/>
      <c r="M22" s="32"/>
    </row>
    <row r="23" customFormat="false" ht="42" hidden="false" customHeight="true" outlineLevel="0" collapsed="false">
      <c r="A23" s="29" t="n">
        <v>17</v>
      </c>
      <c r="B23" s="30" t="n">
        <f aca="false">सारांश!$B$4+1+7*(A23-1)</f>
        <v>46454</v>
      </c>
      <c r="C23" s="30" t="n">
        <f aca="false">B23+6</f>
        <v>46460</v>
      </c>
      <c r="D23" s="29" t="n">
        <f aca="false">(YEAR(B23)-YEAR(सारांश!$B$4))*12+MONTH(B23)-MONTH(सारांश!$B$4)+IF(DAY(B23)&gt;=DAY(सारांश!$B$4),1,0)</f>
        <v>4</v>
      </c>
      <c r="E23" s="31" t="s">
        <v>16</v>
      </c>
      <c r="F23" s="32" t="s">
        <v>160</v>
      </c>
      <c r="G23" s="32" t="s">
        <v>161</v>
      </c>
      <c r="H23" s="32" t="s">
        <v>127</v>
      </c>
      <c r="I23" s="32" t="s">
        <v>128</v>
      </c>
      <c r="J23" s="14" t="n">
        <f aca="false">COUNTIFS('दैनिक योजना'!$D$6:$D$552,A23,'दैनिक योजना'!$W$6:$W$552,"पूर्ण")+COUNTIFS('दैनिक योजना'!$D$6:$D$552,A23,'दैनिक योजना'!$W$6:$W$552,"दोहराया")</f>
        <v>0</v>
      </c>
      <c r="K23" s="16" t="n">
        <f aca="false">IFERROR(J23/COUNTIF('दैनिक योजना'!$D$6:$D$552,A23),0)</f>
        <v>0</v>
      </c>
      <c r="L23" s="14"/>
      <c r="M23" s="32"/>
    </row>
    <row r="24" customFormat="false" ht="42" hidden="false" customHeight="true" outlineLevel="0" collapsed="false">
      <c r="A24" s="29" t="n">
        <v>18</v>
      </c>
      <c r="B24" s="30" t="n">
        <f aca="false">सारांश!$B$4+1+7*(A24-1)</f>
        <v>46461</v>
      </c>
      <c r="C24" s="30" t="n">
        <f aca="false">B24+6</f>
        <v>46467</v>
      </c>
      <c r="D24" s="29" t="n">
        <f aca="false">(YEAR(B24)-YEAR(सारांश!$B$4))*12+MONTH(B24)-MONTH(सारांश!$B$4)+IF(DAY(B24)&gt;=DAY(सारांश!$B$4),1,0)</f>
        <v>5</v>
      </c>
      <c r="E24" s="31" t="s">
        <v>16</v>
      </c>
      <c r="F24" s="32" t="s">
        <v>162</v>
      </c>
      <c r="G24" s="32" t="s">
        <v>163</v>
      </c>
      <c r="H24" s="32" t="s">
        <v>127</v>
      </c>
      <c r="I24" s="32" t="s">
        <v>128</v>
      </c>
      <c r="J24" s="14" t="n">
        <f aca="false">COUNTIFS('दैनिक योजना'!$D$6:$D$552,A24,'दैनिक योजना'!$W$6:$W$552,"पूर्ण")+COUNTIFS('दैनिक योजना'!$D$6:$D$552,A24,'दैनिक योजना'!$W$6:$W$552,"दोहराया")</f>
        <v>0</v>
      </c>
      <c r="K24" s="16" t="n">
        <f aca="false">IFERROR(J24/COUNTIF('दैनिक योजना'!$D$6:$D$552,A24),0)</f>
        <v>0</v>
      </c>
      <c r="L24" s="14"/>
      <c r="M24" s="32"/>
    </row>
    <row r="25" customFormat="false" ht="58.5" hidden="false" customHeight="true" outlineLevel="0" collapsed="false">
      <c r="A25" s="29" t="n">
        <v>19</v>
      </c>
      <c r="B25" s="30" t="n">
        <f aca="false">सारांश!$B$4+1+7*(A25-1)</f>
        <v>46468</v>
      </c>
      <c r="C25" s="30" t="n">
        <f aca="false">B25+6</f>
        <v>46474</v>
      </c>
      <c r="D25" s="29" t="n">
        <f aca="false">(YEAR(B25)-YEAR(सारांश!$B$4))*12+MONTH(B25)-MONTH(सारांश!$B$4)+IF(DAY(B25)&gt;=DAY(सारांश!$B$4),1,0)</f>
        <v>5</v>
      </c>
      <c r="E25" s="31" t="s">
        <v>16</v>
      </c>
      <c r="F25" s="32" t="s">
        <v>164</v>
      </c>
      <c r="G25" s="32" t="s">
        <v>165</v>
      </c>
      <c r="H25" s="32" t="s">
        <v>127</v>
      </c>
      <c r="I25" s="32" t="s">
        <v>128</v>
      </c>
      <c r="J25" s="14" t="n">
        <f aca="false">COUNTIFS('दैनिक योजना'!$D$6:$D$552,A25,'दैनिक योजना'!$W$6:$W$552,"पूर्ण")+COUNTIFS('दैनिक योजना'!$D$6:$D$552,A25,'दैनिक योजना'!$W$6:$W$552,"दोहराया")</f>
        <v>0</v>
      </c>
      <c r="K25" s="16" t="n">
        <f aca="false">IFERROR(J25/COUNTIF('दैनिक योजना'!$D$6:$D$552,A25),0)</f>
        <v>0</v>
      </c>
      <c r="L25" s="14"/>
      <c r="M25" s="32"/>
    </row>
    <row r="26" customFormat="false" ht="75.75" hidden="false" customHeight="true" outlineLevel="0" collapsed="false">
      <c r="A26" s="29" t="n">
        <v>20</v>
      </c>
      <c r="B26" s="30" t="n">
        <f aca="false">सारांश!$B$4+1+7*(A26-1)</f>
        <v>46475</v>
      </c>
      <c r="C26" s="30" t="n">
        <f aca="false">B26+6</f>
        <v>46481</v>
      </c>
      <c r="D26" s="29" t="n">
        <f aca="false">(YEAR(B26)-YEAR(सारांश!$B$4))*12+MONTH(B26)-MONTH(सारांश!$B$4)+IF(DAY(B26)&gt;=DAY(सारांश!$B$4),1,0)</f>
        <v>5</v>
      </c>
      <c r="E26" s="31" t="s">
        <v>16</v>
      </c>
      <c r="F26" s="32" t="s">
        <v>166</v>
      </c>
      <c r="G26" s="32" t="s">
        <v>167</v>
      </c>
      <c r="H26" s="32" t="s">
        <v>135</v>
      </c>
      <c r="I26" s="32" t="s">
        <v>128</v>
      </c>
      <c r="J26" s="14" t="n">
        <f aca="false">COUNTIFS('दैनिक योजना'!$D$6:$D$552,A26,'दैनिक योजना'!$W$6:$W$552,"पूर्ण")+COUNTIFS('दैनिक योजना'!$D$6:$D$552,A26,'दैनिक योजना'!$W$6:$W$552,"दोहराया")</f>
        <v>0</v>
      </c>
      <c r="K26" s="16" t="n">
        <f aca="false">IFERROR(J26/COUNTIF('दैनिक योजना'!$D$6:$D$552,A26),0)</f>
        <v>0</v>
      </c>
      <c r="L26" s="14"/>
      <c r="M26" s="32"/>
    </row>
    <row r="27" customFormat="false" ht="58.5" hidden="false" customHeight="true" outlineLevel="0" collapsed="false">
      <c r="A27" s="29" t="n">
        <v>21</v>
      </c>
      <c r="B27" s="30" t="n">
        <f aca="false">सारांश!$B$4+1+7*(A27-1)</f>
        <v>46482</v>
      </c>
      <c r="C27" s="30" t="n">
        <f aca="false">B27+6</f>
        <v>46488</v>
      </c>
      <c r="D27" s="29" t="n">
        <f aca="false">(YEAR(B27)-YEAR(सारांश!$B$4))*12+MONTH(B27)-MONTH(सारांश!$B$4)+IF(DAY(B27)&gt;=DAY(सारांश!$B$4),1,0)</f>
        <v>5</v>
      </c>
      <c r="E27" s="31" t="s">
        <v>16</v>
      </c>
      <c r="F27" s="32" t="s">
        <v>168</v>
      </c>
      <c r="G27" s="32" t="s">
        <v>169</v>
      </c>
      <c r="H27" s="32" t="s">
        <v>127</v>
      </c>
      <c r="I27" s="32" t="s">
        <v>128</v>
      </c>
      <c r="J27" s="14" t="n">
        <f aca="false">COUNTIFS('दैनिक योजना'!$D$6:$D$552,A27,'दैनिक योजना'!$W$6:$W$552,"पूर्ण")+COUNTIFS('दैनिक योजना'!$D$6:$D$552,A27,'दैनिक योजना'!$W$6:$W$552,"दोहराया")</f>
        <v>0</v>
      </c>
      <c r="K27" s="16" t="n">
        <f aca="false">IFERROR(J27/COUNTIF('दैनिक योजना'!$D$6:$D$552,A27),0)</f>
        <v>0</v>
      </c>
      <c r="L27" s="14"/>
      <c r="M27" s="32"/>
    </row>
    <row r="28" customFormat="false" ht="58.5" hidden="false" customHeight="true" outlineLevel="0" collapsed="false">
      <c r="A28" s="29" t="n">
        <v>22</v>
      </c>
      <c r="B28" s="30" t="n">
        <f aca="false">सारांश!$B$4+1+7*(A28-1)</f>
        <v>46489</v>
      </c>
      <c r="C28" s="30" t="n">
        <f aca="false">B28+6</f>
        <v>46495</v>
      </c>
      <c r="D28" s="29" t="n">
        <f aca="false">(YEAR(B28)-YEAR(सारांश!$B$4))*12+MONTH(B28)-MONTH(सारांश!$B$4)+IF(DAY(B28)&gt;=DAY(सारांश!$B$4),1,0)</f>
        <v>5</v>
      </c>
      <c r="E28" s="31" t="s">
        <v>16</v>
      </c>
      <c r="F28" s="32" t="s">
        <v>170</v>
      </c>
      <c r="G28" s="32" t="s">
        <v>171</v>
      </c>
      <c r="H28" s="32" t="s">
        <v>127</v>
      </c>
      <c r="I28" s="32" t="s">
        <v>128</v>
      </c>
      <c r="J28" s="14" t="n">
        <f aca="false">COUNTIFS('दैनिक योजना'!$D$6:$D$552,A28,'दैनिक योजना'!$W$6:$W$552,"पूर्ण")+COUNTIFS('दैनिक योजना'!$D$6:$D$552,A28,'दैनिक योजना'!$W$6:$W$552,"दोहराया")</f>
        <v>0</v>
      </c>
      <c r="K28" s="16" t="n">
        <f aca="false">IFERROR(J28/COUNTIF('दैनिक योजना'!$D$6:$D$552,A28),0)</f>
        <v>0</v>
      </c>
      <c r="L28" s="14"/>
      <c r="M28" s="32"/>
    </row>
    <row r="29" customFormat="false" ht="42" hidden="false" customHeight="true" outlineLevel="0" collapsed="false">
      <c r="A29" s="29" t="n">
        <v>23</v>
      </c>
      <c r="B29" s="30" t="n">
        <f aca="false">सारांश!$B$4+1+7*(A29-1)</f>
        <v>46496</v>
      </c>
      <c r="C29" s="30" t="n">
        <f aca="false">B29+6</f>
        <v>46502</v>
      </c>
      <c r="D29" s="29" t="n">
        <f aca="false">(YEAR(B29)-YEAR(सारांश!$B$4))*12+MONTH(B29)-MONTH(सारांश!$B$4)+IF(DAY(B29)&gt;=DAY(सारांश!$B$4),1,0)</f>
        <v>6</v>
      </c>
      <c r="E29" s="31" t="s">
        <v>16</v>
      </c>
      <c r="F29" s="32" t="s">
        <v>172</v>
      </c>
      <c r="G29" s="32" t="s">
        <v>173</v>
      </c>
      <c r="H29" s="32" t="s">
        <v>127</v>
      </c>
      <c r="I29" s="32" t="s">
        <v>128</v>
      </c>
      <c r="J29" s="14" t="n">
        <f aca="false">COUNTIFS('दैनिक योजना'!$D$6:$D$552,A29,'दैनिक योजना'!$W$6:$W$552,"पूर्ण")+COUNTIFS('दैनिक योजना'!$D$6:$D$552,A29,'दैनिक योजना'!$W$6:$W$552,"दोहराया")</f>
        <v>0</v>
      </c>
      <c r="K29" s="16" t="n">
        <f aca="false">IFERROR(J29/COUNTIF('दैनिक योजना'!$D$6:$D$552,A29),0)</f>
        <v>0</v>
      </c>
      <c r="L29" s="14"/>
      <c r="M29" s="32"/>
    </row>
    <row r="30" customFormat="false" ht="75.75" hidden="false" customHeight="true" outlineLevel="0" collapsed="false">
      <c r="A30" s="29" t="n">
        <v>24</v>
      </c>
      <c r="B30" s="30" t="n">
        <f aca="false">सारांश!$B$4+1+7*(A30-1)</f>
        <v>46503</v>
      </c>
      <c r="C30" s="30" t="n">
        <f aca="false">B30+6</f>
        <v>46509</v>
      </c>
      <c r="D30" s="29" t="n">
        <f aca="false">(YEAR(B30)-YEAR(सारांश!$B$4))*12+MONTH(B30)-MONTH(सारांश!$B$4)+IF(DAY(B30)&gt;=DAY(सारांश!$B$4),1,0)</f>
        <v>6</v>
      </c>
      <c r="E30" s="31" t="s">
        <v>16</v>
      </c>
      <c r="F30" s="32" t="s">
        <v>174</v>
      </c>
      <c r="G30" s="32" t="s">
        <v>175</v>
      </c>
      <c r="H30" s="32" t="s">
        <v>135</v>
      </c>
      <c r="I30" s="32" t="s">
        <v>128</v>
      </c>
      <c r="J30" s="14" t="n">
        <f aca="false">COUNTIFS('दैनिक योजना'!$D$6:$D$552,A30,'दैनिक योजना'!$W$6:$W$552,"पूर्ण")+COUNTIFS('दैनिक योजना'!$D$6:$D$552,A30,'दैनिक योजना'!$W$6:$W$552,"दोहराया")</f>
        <v>0</v>
      </c>
      <c r="K30" s="16" t="n">
        <f aca="false">IFERROR(J30/COUNTIF('दैनिक योजना'!$D$6:$D$552,A30),0)</f>
        <v>0</v>
      </c>
      <c r="L30" s="14"/>
      <c r="M30" s="32"/>
    </row>
    <row r="31" customFormat="false" ht="42" hidden="false" customHeight="true" outlineLevel="0" collapsed="false">
      <c r="A31" s="29" t="n">
        <v>25</v>
      </c>
      <c r="B31" s="30" t="n">
        <f aca="false">सारांश!$B$4+1+7*(A31-1)</f>
        <v>46510</v>
      </c>
      <c r="C31" s="30" t="n">
        <f aca="false">B31+6</f>
        <v>46516</v>
      </c>
      <c r="D31" s="29" t="n">
        <f aca="false">(YEAR(B31)-YEAR(सारांश!$B$4))*12+MONTH(B31)-MONTH(सारांश!$B$4)+IF(DAY(B31)&gt;=DAY(सारांश!$B$4),1,0)</f>
        <v>6</v>
      </c>
      <c r="E31" s="31" t="s">
        <v>16</v>
      </c>
      <c r="F31" s="32" t="s">
        <v>176</v>
      </c>
      <c r="G31" s="32" t="s">
        <v>177</v>
      </c>
      <c r="H31" s="32" t="s">
        <v>127</v>
      </c>
      <c r="I31" s="32" t="s">
        <v>128</v>
      </c>
      <c r="J31" s="14" t="n">
        <f aca="false">COUNTIFS('दैनिक योजना'!$D$6:$D$552,A31,'दैनिक योजना'!$W$6:$W$552,"पूर्ण")+COUNTIFS('दैनिक योजना'!$D$6:$D$552,A31,'दैनिक योजना'!$W$6:$W$552,"दोहराया")</f>
        <v>0</v>
      </c>
      <c r="K31" s="16" t="n">
        <f aca="false">IFERROR(J31/COUNTIF('दैनिक योजना'!$D$6:$D$552,A31),0)</f>
        <v>0</v>
      </c>
      <c r="L31" s="14"/>
      <c r="M31" s="32"/>
    </row>
    <row r="32" customFormat="false" ht="58.5" hidden="false" customHeight="true" outlineLevel="0" collapsed="false">
      <c r="A32" s="29" t="n">
        <v>26</v>
      </c>
      <c r="B32" s="30" t="n">
        <f aca="false">सारांश!$B$4+1+7*(A32-1)</f>
        <v>46517</v>
      </c>
      <c r="C32" s="30" t="n">
        <f aca="false">B32+6</f>
        <v>46523</v>
      </c>
      <c r="D32" s="29" t="n">
        <f aca="false">(YEAR(B32)-YEAR(सारांश!$B$4))*12+MONTH(B32)-MONTH(सारांश!$B$4)+IF(DAY(B32)&gt;=DAY(सारांश!$B$4),1,0)</f>
        <v>6</v>
      </c>
      <c r="E32" s="31" t="s">
        <v>16</v>
      </c>
      <c r="F32" s="32" t="s">
        <v>178</v>
      </c>
      <c r="G32" s="32" t="s">
        <v>179</v>
      </c>
      <c r="H32" s="32" t="s">
        <v>127</v>
      </c>
      <c r="I32" s="32" t="s">
        <v>128</v>
      </c>
      <c r="J32" s="14" t="n">
        <f aca="false">COUNTIFS('दैनिक योजना'!$D$6:$D$552,A32,'दैनिक योजना'!$W$6:$W$552,"पूर्ण")+COUNTIFS('दैनिक योजना'!$D$6:$D$552,A32,'दैनिक योजना'!$W$6:$W$552,"दोहराया")</f>
        <v>0</v>
      </c>
      <c r="K32" s="16" t="n">
        <f aca="false">IFERROR(J32/COUNTIF('दैनिक योजना'!$D$6:$D$552,A32),0)</f>
        <v>0</v>
      </c>
      <c r="L32" s="14"/>
      <c r="M32" s="32"/>
    </row>
    <row r="33" customFormat="false" ht="58.5" hidden="false" customHeight="true" outlineLevel="0" collapsed="false">
      <c r="A33" s="33" t="n">
        <v>27</v>
      </c>
      <c r="B33" s="34" t="n">
        <f aca="false">सारांश!$B$4+1+7*(A33-1)</f>
        <v>46524</v>
      </c>
      <c r="C33" s="34" t="n">
        <f aca="false">B33+6</f>
        <v>46530</v>
      </c>
      <c r="D33" s="33" t="n">
        <f aca="false">(YEAR(B33)-YEAR(सारांश!$B$4))*12+MONTH(B33)-MONTH(सारांश!$B$4)+IF(DAY(B33)&gt;=DAY(सारांश!$B$4),1,0)</f>
        <v>7</v>
      </c>
      <c r="E33" s="35" t="s">
        <v>18</v>
      </c>
      <c r="F33" s="32" t="s">
        <v>125</v>
      </c>
      <c r="G33" s="32" t="s">
        <v>126</v>
      </c>
      <c r="H33" s="32" t="s">
        <v>127</v>
      </c>
      <c r="I33" s="32" t="s">
        <v>180</v>
      </c>
      <c r="J33" s="14" t="n">
        <f aca="false">COUNTIFS('दैनिक योजना'!$D$6:$D$552,A33,'दैनिक योजना'!$W$6:$W$552,"पूर्ण")+COUNTIFS('दैनिक योजना'!$D$6:$D$552,A33,'दैनिक योजना'!$W$6:$W$552,"दोहराया")</f>
        <v>0</v>
      </c>
      <c r="K33" s="16" t="n">
        <f aca="false">IFERROR(J33/COUNTIF('दैनिक योजना'!$D$6:$D$552,A33),0)</f>
        <v>0</v>
      </c>
      <c r="L33" s="14"/>
      <c r="M33" s="32"/>
    </row>
    <row r="34" customFormat="false" ht="75.75" hidden="false" customHeight="true" outlineLevel="0" collapsed="false">
      <c r="A34" s="33" t="n">
        <v>28</v>
      </c>
      <c r="B34" s="34" t="n">
        <f aca="false">सारांश!$B$4+1+7*(A34-1)</f>
        <v>46531</v>
      </c>
      <c r="C34" s="34" t="n">
        <f aca="false">B34+6</f>
        <v>46537</v>
      </c>
      <c r="D34" s="33" t="n">
        <f aca="false">(YEAR(B34)-YEAR(सारांश!$B$4))*12+MONTH(B34)-MONTH(सारांश!$B$4)+IF(DAY(B34)&gt;=DAY(सारांश!$B$4),1,0)</f>
        <v>7</v>
      </c>
      <c r="E34" s="35" t="s">
        <v>18</v>
      </c>
      <c r="F34" s="32" t="s">
        <v>129</v>
      </c>
      <c r="G34" s="32" t="s">
        <v>130</v>
      </c>
      <c r="H34" s="32" t="s">
        <v>135</v>
      </c>
      <c r="I34" s="32" t="s">
        <v>180</v>
      </c>
      <c r="J34" s="14" t="n">
        <f aca="false">COUNTIFS('दैनिक योजना'!$D$6:$D$552,A34,'दैनिक योजना'!$W$6:$W$552,"पूर्ण")+COUNTIFS('दैनिक योजना'!$D$6:$D$552,A34,'दैनिक योजना'!$W$6:$W$552,"दोहराया")</f>
        <v>0</v>
      </c>
      <c r="K34" s="16" t="n">
        <f aca="false">IFERROR(J34/COUNTIF('दैनिक योजना'!$D$6:$D$552,A34),0)</f>
        <v>0</v>
      </c>
      <c r="L34" s="14"/>
      <c r="M34" s="32"/>
    </row>
    <row r="35" customFormat="false" ht="58.5" hidden="false" customHeight="true" outlineLevel="0" collapsed="false">
      <c r="A35" s="33" t="n">
        <v>29</v>
      </c>
      <c r="B35" s="34" t="n">
        <f aca="false">सारांश!$B$4+1+7*(A35-1)</f>
        <v>46538</v>
      </c>
      <c r="C35" s="34" t="n">
        <f aca="false">B35+6</f>
        <v>46544</v>
      </c>
      <c r="D35" s="33" t="n">
        <f aca="false">(YEAR(B35)-YEAR(सारांश!$B$4))*12+MONTH(B35)-MONTH(सारांश!$B$4)+IF(DAY(B35)&gt;=DAY(सारांश!$B$4),1,0)</f>
        <v>7</v>
      </c>
      <c r="E35" s="35" t="s">
        <v>18</v>
      </c>
      <c r="F35" s="32" t="s">
        <v>131</v>
      </c>
      <c r="G35" s="32" t="s">
        <v>181</v>
      </c>
      <c r="H35" s="32" t="s">
        <v>127</v>
      </c>
      <c r="I35" s="32" t="s">
        <v>180</v>
      </c>
      <c r="J35" s="14" t="n">
        <f aca="false">COUNTIFS('दैनिक योजना'!$D$6:$D$552,A35,'दैनिक योजना'!$W$6:$W$552,"पूर्ण")+COUNTIFS('दैनिक योजना'!$D$6:$D$552,A35,'दैनिक योजना'!$W$6:$W$552,"दोहराया")</f>
        <v>0</v>
      </c>
      <c r="K35" s="16" t="n">
        <f aca="false">IFERROR(J35/COUNTIF('दैनिक योजना'!$D$6:$D$552,A35),0)</f>
        <v>0</v>
      </c>
      <c r="L35" s="14"/>
      <c r="M35" s="32"/>
    </row>
    <row r="36" customFormat="false" ht="58.5" hidden="false" customHeight="true" outlineLevel="0" collapsed="false">
      <c r="A36" s="33" t="n">
        <v>30</v>
      </c>
      <c r="B36" s="34" t="n">
        <f aca="false">सारांश!$B$4+1+7*(A36-1)</f>
        <v>46545</v>
      </c>
      <c r="C36" s="34" t="n">
        <f aca="false">B36+6</f>
        <v>46551</v>
      </c>
      <c r="D36" s="33" t="n">
        <f aca="false">(YEAR(B36)-YEAR(सारांश!$B$4))*12+MONTH(B36)-MONTH(सारांश!$B$4)+IF(DAY(B36)&gt;=DAY(सारांश!$B$4),1,0)</f>
        <v>7</v>
      </c>
      <c r="E36" s="35" t="s">
        <v>18</v>
      </c>
      <c r="F36" s="32" t="s">
        <v>133</v>
      </c>
      <c r="G36" s="32" t="s">
        <v>137</v>
      </c>
      <c r="H36" s="32" t="s">
        <v>127</v>
      </c>
      <c r="I36" s="32" t="s">
        <v>180</v>
      </c>
      <c r="J36" s="14" t="n">
        <f aca="false">COUNTIFS('दैनिक योजना'!$D$6:$D$552,A36,'दैनिक योजना'!$W$6:$W$552,"पूर्ण")+COUNTIFS('दैनिक योजना'!$D$6:$D$552,A36,'दैनिक योजना'!$W$6:$W$552,"दोहराया")</f>
        <v>0</v>
      </c>
      <c r="K36" s="16" t="n">
        <f aca="false">IFERROR(J36/COUNTIF('दैनिक योजना'!$D$6:$D$552,A36),0)</f>
        <v>0</v>
      </c>
      <c r="L36" s="14"/>
      <c r="M36" s="32"/>
    </row>
    <row r="37" customFormat="false" ht="58.5" hidden="false" customHeight="true" outlineLevel="0" collapsed="false">
      <c r="A37" s="33" t="n">
        <v>31</v>
      </c>
      <c r="B37" s="34" t="n">
        <f aca="false">सारांश!$B$4+1+7*(A37-1)</f>
        <v>46552</v>
      </c>
      <c r="C37" s="34" t="n">
        <f aca="false">B37+6</f>
        <v>46558</v>
      </c>
      <c r="D37" s="33" t="n">
        <f aca="false">(YEAR(B37)-YEAR(सारांश!$B$4))*12+MONTH(B37)-MONTH(सारांश!$B$4)+IF(DAY(B37)&gt;=DAY(सारांश!$B$4),1,0)</f>
        <v>7</v>
      </c>
      <c r="E37" s="35" t="s">
        <v>18</v>
      </c>
      <c r="F37" s="32" t="s">
        <v>136</v>
      </c>
      <c r="G37" s="32" t="s">
        <v>139</v>
      </c>
      <c r="H37" s="32" t="s">
        <v>127</v>
      </c>
      <c r="I37" s="32" t="s">
        <v>180</v>
      </c>
      <c r="J37" s="14" t="n">
        <f aca="false">COUNTIFS('दैनिक योजना'!$D$6:$D$552,A37,'दैनिक योजना'!$W$6:$W$552,"पूर्ण")+COUNTIFS('दैनिक योजना'!$D$6:$D$552,A37,'दैनिक योजना'!$W$6:$W$552,"दोहराया")</f>
        <v>0</v>
      </c>
      <c r="K37" s="16" t="n">
        <f aca="false">IFERROR(J37/COUNTIF('दैनिक योजना'!$D$6:$D$552,A37),0)</f>
        <v>0</v>
      </c>
      <c r="L37" s="14"/>
      <c r="M37" s="32"/>
    </row>
    <row r="38" customFormat="false" ht="75.75" hidden="false" customHeight="true" outlineLevel="0" collapsed="false">
      <c r="A38" s="33" t="n">
        <v>32</v>
      </c>
      <c r="B38" s="34" t="n">
        <f aca="false">सारांश!$B$4+1+7*(A38-1)</f>
        <v>46559</v>
      </c>
      <c r="C38" s="34" t="n">
        <f aca="false">B38+6</f>
        <v>46565</v>
      </c>
      <c r="D38" s="33" t="n">
        <f aca="false">(YEAR(B38)-YEAR(सारांश!$B$4))*12+MONTH(B38)-MONTH(सारांश!$B$4)+IF(DAY(B38)&gt;=DAY(सारांश!$B$4),1,0)</f>
        <v>8</v>
      </c>
      <c r="E38" s="35" t="s">
        <v>18</v>
      </c>
      <c r="F38" s="32" t="s">
        <v>138</v>
      </c>
      <c r="G38" s="32" t="s">
        <v>141</v>
      </c>
      <c r="H38" s="32" t="s">
        <v>135</v>
      </c>
      <c r="I38" s="32" t="s">
        <v>180</v>
      </c>
      <c r="J38" s="14" t="n">
        <f aca="false">COUNTIFS('दैनिक योजना'!$D$6:$D$552,A38,'दैनिक योजना'!$W$6:$W$552,"पूर्ण")+COUNTIFS('दैनिक योजना'!$D$6:$D$552,A38,'दैनिक योजना'!$W$6:$W$552,"दोहराया")</f>
        <v>0</v>
      </c>
      <c r="K38" s="16" t="n">
        <f aca="false">IFERROR(J38/COUNTIF('दैनिक योजना'!$D$6:$D$552,A38),0)</f>
        <v>0</v>
      </c>
      <c r="L38" s="14"/>
      <c r="M38" s="32"/>
    </row>
    <row r="39" customFormat="false" ht="58.5" hidden="false" customHeight="true" outlineLevel="0" collapsed="false">
      <c r="A39" s="33" t="n">
        <v>33</v>
      </c>
      <c r="B39" s="34" t="n">
        <f aca="false">सारांश!$B$4+1+7*(A39-1)</f>
        <v>46566</v>
      </c>
      <c r="C39" s="34" t="n">
        <f aca="false">B39+6</f>
        <v>46572</v>
      </c>
      <c r="D39" s="33" t="n">
        <f aca="false">(YEAR(B39)-YEAR(सारांश!$B$4))*12+MONTH(B39)-MONTH(सारांश!$B$4)+IF(DAY(B39)&gt;=DAY(सारांश!$B$4),1,0)</f>
        <v>8</v>
      </c>
      <c r="E39" s="35" t="s">
        <v>18</v>
      </c>
      <c r="F39" s="32" t="s">
        <v>140</v>
      </c>
      <c r="G39" s="32" t="s">
        <v>182</v>
      </c>
      <c r="H39" s="32" t="s">
        <v>127</v>
      </c>
      <c r="I39" s="32" t="s">
        <v>180</v>
      </c>
      <c r="J39" s="14" t="n">
        <f aca="false">COUNTIFS('दैनिक योजना'!$D$6:$D$552,A39,'दैनिक योजना'!$W$6:$W$552,"पूर्ण")+COUNTIFS('दैनिक योजना'!$D$6:$D$552,A39,'दैनिक योजना'!$W$6:$W$552,"दोहराया")</f>
        <v>0</v>
      </c>
      <c r="K39" s="16" t="n">
        <f aca="false">IFERROR(J39/COUNTIF('दैनिक योजना'!$D$6:$D$552,A39),0)</f>
        <v>0</v>
      </c>
      <c r="L39" s="14"/>
      <c r="M39" s="32"/>
    </row>
    <row r="40" customFormat="false" ht="58.5" hidden="false" customHeight="true" outlineLevel="0" collapsed="false">
      <c r="A40" s="33" t="n">
        <v>34</v>
      </c>
      <c r="B40" s="34" t="n">
        <f aca="false">सारांश!$B$4+1+7*(A40-1)</f>
        <v>46573</v>
      </c>
      <c r="C40" s="34" t="n">
        <f aca="false">B40+6</f>
        <v>46579</v>
      </c>
      <c r="D40" s="33" t="n">
        <f aca="false">(YEAR(B40)-YEAR(सारांश!$B$4))*12+MONTH(B40)-MONTH(सारांश!$B$4)+IF(DAY(B40)&gt;=DAY(सारांश!$B$4),1,0)</f>
        <v>8</v>
      </c>
      <c r="E40" s="35" t="s">
        <v>18</v>
      </c>
      <c r="F40" s="32" t="s">
        <v>142</v>
      </c>
      <c r="G40" s="32" t="s">
        <v>161</v>
      </c>
      <c r="H40" s="32" t="s">
        <v>127</v>
      </c>
      <c r="I40" s="32" t="s">
        <v>180</v>
      </c>
      <c r="J40" s="14" t="n">
        <f aca="false">COUNTIFS('दैनिक योजना'!$D$6:$D$552,A40,'दैनिक योजना'!$W$6:$W$552,"पूर्ण")+COUNTIFS('दैनिक योजना'!$D$6:$D$552,A40,'दैनिक योजना'!$W$6:$W$552,"दोहराया")</f>
        <v>0</v>
      </c>
      <c r="K40" s="16" t="n">
        <f aca="false">IFERROR(J40/COUNTIF('दैनिक योजना'!$D$6:$D$552,A40),0)</f>
        <v>0</v>
      </c>
      <c r="L40" s="14"/>
      <c r="M40" s="32"/>
    </row>
    <row r="41" customFormat="false" ht="58.5" hidden="false" customHeight="true" outlineLevel="0" collapsed="false">
      <c r="A41" s="33" t="n">
        <v>35</v>
      </c>
      <c r="B41" s="34" t="n">
        <f aca="false">सारांश!$B$4+1+7*(A41-1)</f>
        <v>46580</v>
      </c>
      <c r="C41" s="34" t="n">
        <f aca="false">B41+6</f>
        <v>46586</v>
      </c>
      <c r="D41" s="33" t="n">
        <f aca="false">(YEAR(B41)-YEAR(सारांश!$B$4))*12+MONTH(B41)-MONTH(सारांश!$B$4)+IF(DAY(B41)&gt;=DAY(सारांश!$B$4),1,0)</f>
        <v>8</v>
      </c>
      <c r="E41" s="35" t="s">
        <v>18</v>
      </c>
      <c r="F41" s="32" t="s">
        <v>144</v>
      </c>
      <c r="G41" s="32" t="s">
        <v>163</v>
      </c>
      <c r="H41" s="32" t="s">
        <v>127</v>
      </c>
      <c r="I41" s="32" t="s">
        <v>180</v>
      </c>
      <c r="J41" s="14" t="n">
        <f aca="false">COUNTIFS('दैनिक योजना'!$D$6:$D$552,A41,'दैनिक योजना'!$W$6:$W$552,"पूर्ण")+COUNTIFS('दैनिक योजना'!$D$6:$D$552,A41,'दैनिक योजना'!$W$6:$W$552,"दोहराया")</f>
        <v>0</v>
      </c>
      <c r="K41" s="16" t="n">
        <f aca="false">IFERROR(J41/COUNTIF('दैनिक योजना'!$D$6:$D$552,A41),0)</f>
        <v>0</v>
      </c>
      <c r="L41" s="14"/>
      <c r="M41" s="32"/>
    </row>
    <row r="42" customFormat="false" ht="75.75" hidden="false" customHeight="true" outlineLevel="0" collapsed="false">
      <c r="A42" s="33" t="n">
        <v>36</v>
      </c>
      <c r="B42" s="34" t="n">
        <f aca="false">सारांश!$B$4+1+7*(A42-1)</f>
        <v>46587</v>
      </c>
      <c r="C42" s="34" t="n">
        <f aca="false">B42+6</f>
        <v>46593</v>
      </c>
      <c r="D42" s="33" t="n">
        <f aca="false">(YEAR(B42)-YEAR(सारांश!$B$4))*12+MONTH(B42)-MONTH(सारांश!$B$4)+IF(DAY(B42)&gt;=DAY(सारांश!$B$4),1,0)</f>
        <v>9</v>
      </c>
      <c r="E42" s="35" t="s">
        <v>18</v>
      </c>
      <c r="F42" s="32" t="s">
        <v>146</v>
      </c>
      <c r="G42" s="32" t="s">
        <v>165</v>
      </c>
      <c r="H42" s="32" t="s">
        <v>135</v>
      </c>
      <c r="I42" s="32" t="s">
        <v>180</v>
      </c>
      <c r="J42" s="14" t="n">
        <f aca="false">COUNTIFS('दैनिक योजना'!$D$6:$D$552,A42,'दैनिक योजना'!$W$6:$W$552,"पूर्ण")+COUNTIFS('दैनिक योजना'!$D$6:$D$552,A42,'दैनिक योजना'!$W$6:$W$552,"दोहराया")</f>
        <v>0</v>
      </c>
      <c r="K42" s="16" t="n">
        <f aca="false">IFERROR(J42/COUNTIF('दैनिक योजना'!$D$6:$D$552,A42),0)</f>
        <v>0</v>
      </c>
      <c r="L42" s="14"/>
      <c r="M42" s="32"/>
    </row>
    <row r="43" customFormat="false" ht="58.5" hidden="false" customHeight="true" outlineLevel="0" collapsed="false">
      <c r="A43" s="33" t="n">
        <v>37</v>
      </c>
      <c r="B43" s="34" t="n">
        <f aca="false">सारांश!$B$4+1+7*(A43-1)</f>
        <v>46594</v>
      </c>
      <c r="C43" s="34" t="n">
        <f aca="false">B43+6</f>
        <v>46600</v>
      </c>
      <c r="D43" s="33" t="n">
        <f aca="false">(YEAR(B43)-YEAR(सारांश!$B$4))*12+MONTH(B43)-MONTH(सारांश!$B$4)+IF(DAY(B43)&gt;=DAY(सारांश!$B$4),1,0)</f>
        <v>9</v>
      </c>
      <c r="E43" s="35" t="s">
        <v>18</v>
      </c>
      <c r="F43" s="32" t="s">
        <v>148</v>
      </c>
      <c r="G43" s="32" t="s">
        <v>169</v>
      </c>
      <c r="H43" s="32" t="s">
        <v>127</v>
      </c>
      <c r="I43" s="32" t="s">
        <v>180</v>
      </c>
      <c r="J43" s="14" t="n">
        <f aca="false">COUNTIFS('दैनिक योजना'!$D$6:$D$552,A43,'दैनिक योजना'!$W$6:$W$552,"पूर्ण")+COUNTIFS('दैनिक योजना'!$D$6:$D$552,A43,'दैनिक योजना'!$W$6:$W$552,"दोहराया")</f>
        <v>0</v>
      </c>
      <c r="K43" s="16" t="n">
        <f aca="false">IFERROR(J43/COUNTIF('दैनिक योजना'!$D$6:$D$552,A43),0)</f>
        <v>0</v>
      </c>
      <c r="L43" s="14"/>
      <c r="M43" s="32"/>
    </row>
    <row r="44" customFormat="false" ht="58.5" hidden="false" customHeight="true" outlineLevel="0" collapsed="false">
      <c r="A44" s="33" t="n">
        <v>38</v>
      </c>
      <c r="B44" s="34" t="n">
        <f aca="false">सारांश!$B$4+1+7*(A44-1)</f>
        <v>46601</v>
      </c>
      <c r="C44" s="34" t="n">
        <f aca="false">B44+6</f>
        <v>46607</v>
      </c>
      <c r="D44" s="33" t="n">
        <f aca="false">(YEAR(B44)-YEAR(सारांश!$B$4))*12+MONTH(B44)-MONTH(सारांश!$B$4)+IF(DAY(B44)&gt;=DAY(सारांश!$B$4),1,0)</f>
        <v>9</v>
      </c>
      <c r="E44" s="35" t="s">
        <v>18</v>
      </c>
      <c r="F44" s="32" t="s">
        <v>150</v>
      </c>
      <c r="G44" s="32" t="s">
        <v>171</v>
      </c>
      <c r="H44" s="32" t="s">
        <v>127</v>
      </c>
      <c r="I44" s="32" t="s">
        <v>180</v>
      </c>
      <c r="J44" s="14" t="n">
        <f aca="false">COUNTIFS('दैनिक योजना'!$D$6:$D$552,A44,'दैनिक योजना'!$W$6:$W$552,"पूर्ण")+COUNTIFS('दैनिक योजना'!$D$6:$D$552,A44,'दैनिक योजना'!$W$6:$W$552,"दोहराया")</f>
        <v>0</v>
      </c>
      <c r="K44" s="16" t="n">
        <f aca="false">IFERROR(J44/COUNTIF('दैनिक योजना'!$D$6:$D$552,A44),0)</f>
        <v>0</v>
      </c>
      <c r="L44" s="14"/>
      <c r="M44" s="32"/>
    </row>
    <row r="45" customFormat="false" ht="58.5" hidden="false" customHeight="true" outlineLevel="0" collapsed="false">
      <c r="A45" s="33" t="n">
        <v>39</v>
      </c>
      <c r="B45" s="34" t="n">
        <f aca="false">सारांश!$B$4+1+7*(A45-1)</f>
        <v>46608</v>
      </c>
      <c r="C45" s="34" t="n">
        <f aca="false">B45+6</f>
        <v>46614</v>
      </c>
      <c r="D45" s="33" t="n">
        <f aca="false">(YEAR(B45)-YEAR(सारांश!$B$4))*12+MONTH(B45)-MONTH(सारांश!$B$4)+IF(DAY(B45)&gt;=DAY(सारांश!$B$4),1,0)</f>
        <v>9</v>
      </c>
      <c r="E45" s="35" t="s">
        <v>18</v>
      </c>
      <c r="F45" s="32" t="s">
        <v>152</v>
      </c>
      <c r="G45" s="32" t="s">
        <v>183</v>
      </c>
      <c r="H45" s="32" t="s">
        <v>127</v>
      </c>
      <c r="I45" s="32" t="s">
        <v>180</v>
      </c>
      <c r="J45" s="14" t="n">
        <f aca="false">COUNTIFS('दैनिक योजना'!$D$6:$D$552,A45,'दैनिक योजना'!$W$6:$W$552,"पूर्ण")+COUNTIFS('दैनिक योजना'!$D$6:$D$552,A45,'दैनिक योजना'!$W$6:$W$552,"दोहराया")</f>
        <v>0</v>
      </c>
      <c r="K45" s="16" t="n">
        <f aca="false">IFERROR(J45/COUNTIF('दैनिक योजना'!$D$6:$D$552,A45),0)</f>
        <v>0</v>
      </c>
      <c r="L45" s="14"/>
      <c r="M45" s="32"/>
    </row>
    <row r="46" customFormat="false" ht="75.75" hidden="false" customHeight="true" outlineLevel="0" collapsed="false">
      <c r="A46" s="33" t="n">
        <v>40</v>
      </c>
      <c r="B46" s="34" t="n">
        <f aca="false">सारांश!$B$4+1+7*(A46-1)</f>
        <v>46615</v>
      </c>
      <c r="C46" s="34" t="n">
        <f aca="false">B46+6</f>
        <v>46621</v>
      </c>
      <c r="D46" s="33" t="n">
        <f aca="false">(YEAR(B46)-YEAR(सारांश!$B$4))*12+MONTH(B46)-MONTH(सारांश!$B$4)+IF(DAY(B46)&gt;=DAY(सारांश!$B$4),1,0)</f>
        <v>10</v>
      </c>
      <c r="E46" s="35" t="s">
        <v>18</v>
      </c>
      <c r="F46" s="32" t="s">
        <v>154</v>
      </c>
      <c r="G46" s="32" t="s">
        <v>184</v>
      </c>
      <c r="H46" s="32" t="s">
        <v>135</v>
      </c>
      <c r="I46" s="32" t="s">
        <v>180</v>
      </c>
      <c r="J46" s="14" t="n">
        <f aca="false">COUNTIFS('दैनिक योजना'!$D$6:$D$552,A46,'दैनिक योजना'!$W$6:$W$552,"पूर्ण")+COUNTIFS('दैनिक योजना'!$D$6:$D$552,A46,'दैनिक योजना'!$W$6:$W$552,"दोहराया")</f>
        <v>0</v>
      </c>
      <c r="K46" s="16" t="n">
        <f aca="false">IFERROR(J46/COUNTIF('दैनिक योजना'!$D$6:$D$552,A46),0)</f>
        <v>0</v>
      </c>
      <c r="L46" s="14"/>
      <c r="M46" s="32"/>
    </row>
    <row r="47" customFormat="false" ht="58.5" hidden="false" customHeight="true" outlineLevel="0" collapsed="false">
      <c r="A47" s="33" t="n">
        <v>41</v>
      </c>
      <c r="B47" s="34" t="n">
        <f aca="false">सारांश!$B$4+1+7*(A47-1)</f>
        <v>46622</v>
      </c>
      <c r="C47" s="34" t="n">
        <f aca="false">B47+6</f>
        <v>46628</v>
      </c>
      <c r="D47" s="33" t="n">
        <f aca="false">(YEAR(B47)-YEAR(सारांश!$B$4))*12+MONTH(B47)-MONTH(सारांश!$B$4)+IF(DAY(B47)&gt;=DAY(सारांश!$B$4),1,0)</f>
        <v>10</v>
      </c>
      <c r="E47" s="35" t="s">
        <v>18</v>
      </c>
      <c r="F47" s="32" t="s">
        <v>156</v>
      </c>
      <c r="G47" s="32" t="s">
        <v>185</v>
      </c>
      <c r="H47" s="32" t="s">
        <v>127</v>
      </c>
      <c r="I47" s="32" t="s">
        <v>180</v>
      </c>
      <c r="J47" s="14" t="n">
        <f aca="false">COUNTIFS('दैनिक योजना'!$D$6:$D$552,A47,'दैनिक योजना'!$W$6:$W$552,"पूर्ण")+COUNTIFS('दैनिक योजना'!$D$6:$D$552,A47,'दैनिक योजना'!$W$6:$W$552,"दोहराया")</f>
        <v>0</v>
      </c>
      <c r="K47" s="16" t="n">
        <f aca="false">IFERROR(J47/COUNTIF('दैनिक योजना'!$D$6:$D$552,A47),0)</f>
        <v>0</v>
      </c>
      <c r="L47" s="14"/>
      <c r="M47" s="32"/>
    </row>
    <row r="48" customFormat="false" ht="58.5" hidden="false" customHeight="true" outlineLevel="0" collapsed="false">
      <c r="A48" s="33" t="n">
        <v>42</v>
      </c>
      <c r="B48" s="34" t="n">
        <f aca="false">सारांश!$B$4+1+7*(A48-1)</f>
        <v>46629</v>
      </c>
      <c r="C48" s="34" t="n">
        <f aca="false">B48+6</f>
        <v>46635</v>
      </c>
      <c r="D48" s="33" t="n">
        <f aca="false">(YEAR(B48)-YEAR(सारांश!$B$4))*12+MONTH(B48)-MONTH(सारांश!$B$4)+IF(DAY(B48)&gt;=DAY(सारांश!$B$4),1,0)</f>
        <v>10</v>
      </c>
      <c r="E48" s="35" t="s">
        <v>18</v>
      </c>
      <c r="F48" s="32" t="s">
        <v>158</v>
      </c>
      <c r="G48" s="32" t="s">
        <v>186</v>
      </c>
      <c r="H48" s="32" t="s">
        <v>127</v>
      </c>
      <c r="I48" s="32" t="s">
        <v>180</v>
      </c>
      <c r="J48" s="14" t="n">
        <f aca="false">COUNTIFS('दैनिक योजना'!$D$6:$D$552,A48,'दैनिक योजना'!$W$6:$W$552,"पूर्ण")+COUNTIFS('दैनिक योजना'!$D$6:$D$552,A48,'दैनिक योजना'!$W$6:$W$552,"दोहराया")</f>
        <v>0</v>
      </c>
      <c r="K48" s="16" t="n">
        <f aca="false">IFERROR(J48/COUNTIF('दैनिक योजना'!$D$6:$D$552,A48),0)</f>
        <v>0</v>
      </c>
      <c r="L48" s="14"/>
      <c r="M48" s="32"/>
    </row>
    <row r="49" customFormat="false" ht="58.5" hidden="false" customHeight="true" outlineLevel="0" collapsed="false">
      <c r="A49" s="33" t="n">
        <v>43</v>
      </c>
      <c r="B49" s="34" t="n">
        <f aca="false">सारांश!$B$4+1+7*(A49-1)</f>
        <v>46636</v>
      </c>
      <c r="C49" s="34" t="n">
        <f aca="false">B49+6</f>
        <v>46642</v>
      </c>
      <c r="D49" s="33" t="n">
        <f aca="false">(YEAR(B49)-YEAR(सारांश!$B$4))*12+MONTH(B49)-MONTH(सारांश!$B$4)+IF(DAY(B49)&gt;=DAY(सारांश!$B$4),1,0)</f>
        <v>10</v>
      </c>
      <c r="E49" s="35" t="s">
        <v>18</v>
      </c>
      <c r="F49" s="32" t="s">
        <v>160</v>
      </c>
      <c r="G49" s="32" t="s">
        <v>187</v>
      </c>
      <c r="H49" s="32" t="s">
        <v>127</v>
      </c>
      <c r="I49" s="32" t="s">
        <v>180</v>
      </c>
      <c r="J49" s="14" t="n">
        <f aca="false">COUNTIFS('दैनिक योजना'!$D$6:$D$552,A49,'दैनिक योजना'!$W$6:$W$552,"पूर्ण")+COUNTIFS('दैनिक योजना'!$D$6:$D$552,A49,'दैनिक योजना'!$W$6:$W$552,"दोहराया")</f>
        <v>0</v>
      </c>
      <c r="K49" s="16" t="n">
        <f aca="false">IFERROR(J49/COUNTIF('दैनिक योजना'!$D$6:$D$552,A49),0)</f>
        <v>0</v>
      </c>
      <c r="L49" s="14"/>
      <c r="M49" s="32"/>
    </row>
    <row r="50" customFormat="false" ht="75.75" hidden="false" customHeight="true" outlineLevel="0" collapsed="false">
      <c r="A50" s="33" t="n">
        <v>44</v>
      </c>
      <c r="B50" s="34" t="n">
        <f aca="false">सारांश!$B$4+1+7*(A50-1)</f>
        <v>46643</v>
      </c>
      <c r="C50" s="34" t="n">
        <f aca="false">B50+6</f>
        <v>46649</v>
      </c>
      <c r="D50" s="33" t="n">
        <f aca="false">(YEAR(B50)-YEAR(सारांश!$B$4))*12+MONTH(B50)-MONTH(सारांश!$B$4)+IF(DAY(B50)&gt;=DAY(सारांश!$B$4),1,0)</f>
        <v>10</v>
      </c>
      <c r="E50" s="35" t="s">
        <v>18</v>
      </c>
      <c r="F50" s="32" t="s">
        <v>162</v>
      </c>
      <c r="G50" s="32" t="s">
        <v>188</v>
      </c>
      <c r="H50" s="32" t="s">
        <v>135</v>
      </c>
      <c r="I50" s="32" t="s">
        <v>180</v>
      </c>
      <c r="J50" s="14" t="n">
        <f aca="false">COUNTIFS('दैनिक योजना'!$D$6:$D$552,A50,'दैनिक योजना'!$W$6:$W$552,"पूर्ण")+COUNTIFS('दैनिक योजना'!$D$6:$D$552,A50,'दैनिक योजना'!$W$6:$W$552,"दोहराया")</f>
        <v>0</v>
      </c>
      <c r="K50" s="16" t="n">
        <f aca="false">IFERROR(J50/COUNTIF('दैनिक योजना'!$D$6:$D$552,A50),0)</f>
        <v>0</v>
      </c>
      <c r="L50" s="14"/>
      <c r="M50" s="32"/>
    </row>
    <row r="51" customFormat="false" ht="58.5" hidden="false" customHeight="true" outlineLevel="0" collapsed="false">
      <c r="A51" s="33" t="n">
        <v>45</v>
      </c>
      <c r="B51" s="34" t="n">
        <f aca="false">सारांश!$B$4+1+7*(A51-1)</f>
        <v>46650</v>
      </c>
      <c r="C51" s="34" t="n">
        <f aca="false">B51+6</f>
        <v>46656</v>
      </c>
      <c r="D51" s="33" t="n">
        <f aca="false">(YEAR(B51)-YEAR(सारांश!$B$4))*12+MONTH(B51)-MONTH(सारांश!$B$4)+IF(DAY(B51)&gt;=DAY(सारांश!$B$4),1,0)</f>
        <v>11</v>
      </c>
      <c r="E51" s="35" t="s">
        <v>18</v>
      </c>
      <c r="F51" s="32" t="s">
        <v>164</v>
      </c>
      <c r="G51" s="32" t="s">
        <v>189</v>
      </c>
      <c r="H51" s="32" t="s">
        <v>127</v>
      </c>
      <c r="I51" s="32" t="s">
        <v>180</v>
      </c>
      <c r="J51" s="14" t="n">
        <f aca="false">COUNTIFS('दैनिक योजना'!$D$6:$D$552,A51,'दैनिक योजना'!$W$6:$W$552,"पूर्ण")+COUNTIFS('दैनिक योजना'!$D$6:$D$552,A51,'दैनिक योजना'!$W$6:$W$552,"दोहराया")</f>
        <v>0</v>
      </c>
      <c r="K51" s="16" t="n">
        <f aca="false">IFERROR(J51/COUNTIF('दैनिक योजना'!$D$6:$D$552,A51),0)</f>
        <v>0</v>
      </c>
      <c r="L51" s="14"/>
      <c r="M51" s="32"/>
    </row>
    <row r="52" customFormat="false" ht="58.5" hidden="false" customHeight="true" outlineLevel="0" collapsed="false">
      <c r="A52" s="33" t="n">
        <v>46</v>
      </c>
      <c r="B52" s="34" t="n">
        <f aca="false">सारांश!$B$4+1+7*(A52-1)</f>
        <v>46657</v>
      </c>
      <c r="C52" s="34" t="n">
        <f aca="false">B52+6</f>
        <v>46663</v>
      </c>
      <c r="D52" s="33" t="n">
        <f aca="false">(YEAR(B52)-YEAR(सारांश!$B$4))*12+MONTH(B52)-MONTH(सारांश!$B$4)+IF(DAY(B52)&gt;=DAY(सारांश!$B$4),1,0)</f>
        <v>11</v>
      </c>
      <c r="E52" s="35" t="s">
        <v>18</v>
      </c>
      <c r="F52" s="32" t="s">
        <v>166</v>
      </c>
      <c r="G52" s="32" t="s">
        <v>190</v>
      </c>
      <c r="H52" s="32" t="s">
        <v>127</v>
      </c>
      <c r="I52" s="32" t="s">
        <v>180</v>
      </c>
      <c r="J52" s="14" t="n">
        <f aca="false">COUNTIFS('दैनिक योजना'!$D$6:$D$552,A52,'दैनिक योजना'!$W$6:$W$552,"पूर्ण")+COUNTIFS('दैनिक योजना'!$D$6:$D$552,A52,'दैनिक योजना'!$W$6:$W$552,"दोहराया")</f>
        <v>0</v>
      </c>
      <c r="K52" s="16" t="n">
        <f aca="false">IFERROR(J52/COUNTIF('दैनिक योजना'!$D$6:$D$552,A52),0)</f>
        <v>0</v>
      </c>
      <c r="L52" s="14"/>
      <c r="M52" s="32"/>
    </row>
    <row r="53" customFormat="false" ht="58.5" hidden="false" customHeight="true" outlineLevel="0" collapsed="false">
      <c r="A53" s="33" t="n">
        <v>47</v>
      </c>
      <c r="B53" s="34" t="n">
        <f aca="false">सारांश!$B$4+1+7*(A53-1)</f>
        <v>46664</v>
      </c>
      <c r="C53" s="34" t="n">
        <f aca="false">B53+6</f>
        <v>46670</v>
      </c>
      <c r="D53" s="33" t="n">
        <f aca="false">(YEAR(B53)-YEAR(सारांश!$B$4))*12+MONTH(B53)-MONTH(सारांश!$B$4)+IF(DAY(B53)&gt;=DAY(सारांश!$B$4),1,0)</f>
        <v>11</v>
      </c>
      <c r="E53" s="35" t="s">
        <v>18</v>
      </c>
      <c r="F53" s="32" t="s">
        <v>168</v>
      </c>
      <c r="G53" s="32" t="s">
        <v>191</v>
      </c>
      <c r="H53" s="32" t="s">
        <v>127</v>
      </c>
      <c r="I53" s="32" t="s">
        <v>180</v>
      </c>
      <c r="J53" s="14" t="n">
        <f aca="false">COUNTIFS('दैनिक योजना'!$D$6:$D$552,A53,'दैनिक योजना'!$W$6:$W$552,"पूर्ण")+COUNTIFS('दैनिक योजना'!$D$6:$D$552,A53,'दैनिक योजना'!$W$6:$W$552,"दोहराया")</f>
        <v>0</v>
      </c>
      <c r="K53" s="16" t="n">
        <f aca="false">IFERROR(J53/COUNTIF('दैनिक योजना'!$D$6:$D$552,A53),0)</f>
        <v>0</v>
      </c>
      <c r="L53" s="14"/>
      <c r="M53" s="32"/>
    </row>
    <row r="54" customFormat="false" ht="75.75" hidden="false" customHeight="true" outlineLevel="0" collapsed="false">
      <c r="A54" s="33" t="n">
        <v>48</v>
      </c>
      <c r="B54" s="34" t="n">
        <f aca="false">सारांश!$B$4+1+7*(A54-1)</f>
        <v>46671</v>
      </c>
      <c r="C54" s="34" t="n">
        <f aca="false">B54+6</f>
        <v>46677</v>
      </c>
      <c r="D54" s="33" t="n">
        <f aca="false">(YEAR(B54)-YEAR(सारांश!$B$4))*12+MONTH(B54)-MONTH(सारांश!$B$4)+IF(DAY(B54)&gt;=DAY(सारांश!$B$4),1,0)</f>
        <v>11</v>
      </c>
      <c r="E54" s="35" t="s">
        <v>18</v>
      </c>
      <c r="F54" s="32" t="s">
        <v>170</v>
      </c>
      <c r="G54" s="32" t="s">
        <v>192</v>
      </c>
      <c r="H54" s="32" t="s">
        <v>135</v>
      </c>
      <c r="I54" s="32" t="s">
        <v>180</v>
      </c>
      <c r="J54" s="14" t="n">
        <f aca="false">COUNTIFS('दैनिक योजना'!$D$6:$D$552,A54,'दैनिक योजना'!$W$6:$W$552,"पूर्ण")+COUNTIFS('दैनिक योजना'!$D$6:$D$552,A54,'दैनिक योजना'!$W$6:$W$552,"दोहराया")</f>
        <v>0</v>
      </c>
      <c r="K54" s="16" t="n">
        <f aca="false">IFERROR(J54/COUNTIF('दैनिक योजना'!$D$6:$D$552,A54),0)</f>
        <v>0</v>
      </c>
      <c r="L54" s="14"/>
      <c r="M54" s="32"/>
    </row>
    <row r="55" customFormat="false" ht="58.5" hidden="false" customHeight="true" outlineLevel="0" collapsed="false">
      <c r="A55" s="33" t="n">
        <v>49</v>
      </c>
      <c r="B55" s="34" t="n">
        <f aca="false">सारांश!$B$4+1+7*(A55-1)</f>
        <v>46678</v>
      </c>
      <c r="C55" s="34" t="n">
        <f aca="false">B55+6</f>
        <v>46684</v>
      </c>
      <c r="D55" s="33" t="n">
        <f aca="false">(YEAR(B55)-YEAR(सारांश!$B$4))*12+MONTH(B55)-MONTH(सारांश!$B$4)+IF(DAY(B55)&gt;=DAY(सारांश!$B$4),1,0)</f>
        <v>12</v>
      </c>
      <c r="E55" s="35" t="s">
        <v>18</v>
      </c>
      <c r="F55" s="32" t="s">
        <v>172</v>
      </c>
      <c r="G55" s="32" t="s">
        <v>193</v>
      </c>
      <c r="H55" s="32" t="s">
        <v>127</v>
      </c>
      <c r="I55" s="32" t="s">
        <v>180</v>
      </c>
      <c r="J55" s="14" t="n">
        <f aca="false">COUNTIFS('दैनिक योजना'!$D$6:$D$552,A55,'दैनिक योजना'!$W$6:$W$552,"पूर्ण")+COUNTIFS('दैनिक योजना'!$D$6:$D$552,A55,'दैनिक योजना'!$W$6:$W$552,"दोहराया")</f>
        <v>0</v>
      </c>
      <c r="K55" s="16" t="n">
        <f aca="false">IFERROR(J55/COUNTIF('दैनिक योजना'!$D$6:$D$552,A55),0)</f>
        <v>0</v>
      </c>
      <c r="L55" s="14"/>
      <c r="M55" s="32"/>
    </row>
    <row r="56" customFormat="false" ht="58.5" hidden="false" customHeight="true" outlineLevel="0" collapsed="false">
      <c r="A56" s="33" t="n">
        <v>50</v>
      </c>
      <c r="B56" s="34" t="n">
        <f aca="false">सारांश!$B$4+1+7*(A56-1)</f>
        <v>46685</v>
      </c>
      <c r="C56" s="34" t="n">
        <f aca="false">B56+6</f>
        <v>46691</v>
      </c>
      <c r="D56" s="33" t="n">
        <f aca="false">(YEAR(B56)-YEAR(सारांश!$B$4))*12+MONTH(B56)-MONTH(सारांश!$B$4)+IF(DAY(B56)&gt;=DAY(सारांश!$B$4),1,0)</f>
        <v>12</v>
      </c>
      <c r="E56" s="35" t="s">
        <v>18</v>
      </c>
      <c r="F56" s="32" t="s">
        <v>174</v>
      </c>
      <c r="G56" s="32" t="s">
        <v>194</v>
      </c>
      <c r="H56" s="32" t="s">
        <v>127</v>
      </c>
      <c r="I56" s="32" t="s">
        <v>180</v>
      </c>
      <c r="J56" s="14" t="n">
        <f aca="false">COUNTIFS('दैनिक योजना'!$D$6:$D$552,A56,'दैनिक योजना'!$W$6:$W$552,"पूर्ण")+COUNTIFS('दैनिक योजना'!$D$6:$D$552,A56,'दैनिक योजना'!$W$6:$W$552,"दोहराया")</f>
        <v>0</v>
      </c>
      <c r="K56" s="16" t="n">
        <f aca="false">IFERROR(J56/COUNTIF('दैनिक योजना'!$D$6:$D$552,A56),0)</f>
        <v>0</v>
      </c>
      <c r="L56" s="14"/>
      <c r="M56" s="32"/>
    </row>
    <row r="57" customFormat="false" ht="58.5" hidden="false" customHeight="true" outlineLevel="0" collapsed="false">
      <c r="A57" s="33" t="n">
        <v>51</v>
      </c>
      <c r="B57" s="34" t="n">
        <f aca="false">सारांश!$B$4+1+7*(A57-1)</f>
        <v>46692</v>
      </c>
      <c r="C57" s="34" t="n">
        <f aca="false">B57+6</f>
        <v>46698</v>
      </c>
      <c r="D57" s="33" t="n">
        <f aca="false">(YEAR(B57)-YEAR(सारांश!$B$4))*12+MONTH(B57)-MONTH(सारांश!$B$4)+IF(DAY(B57)&gt;=DAY(सारांश!$B$4),1,0)</f>
        <v>12</v>
      </c>
      <c r="E57" s="35" t="s">
        <v>18</v>
      </c>
      <c r="F57" s="32" t="s">
        <v>176</v>
      </c>
      <c r="G57" s="32" t="s">
        <v>195</v>
      </c>
      <c r="H57" s="32" t="s">
        <v>127</v>
      </c>
      <c r="I57" s="32" t="s">
        <v>180</v>
      </c>
      <c r="J57" s="14" t="n">
        <f aca="false">COUNTIFS('दैनिक योजना'!$D$6:$D$552,A57,'दैनिक योजना'!$W$6:$W$552,"पूर्ण")+COUNTIFS('दैनिक योजना'!$D$6:$D$552,A57,'दैनिक योजना'!$W$6:$W$552,"दोहराया")</f>
        <v>0</v>
      </c>
      <c r="K57" s="16" t="n">
        <f aca="false">IFERROR(J57/COUNTIF('दैनिक योजना'!$D$6:$D$552,A57),0)</f>
        <v>0</v>
      </c>
      <c r="L57" s="14"/>
      <c r="M57" s="32"/>
    </row>
    <row r="58" customFormat="false" ht="75.75" hidden="false" customHeight="true" outlineLevel="0" collapsed="false">
      <c r="A58" s="33" t="n">
        <v>52</v>
      </c>
      <c r="B58" s="34" t="n">
        <f aca="false">सारांश!$B$4+1+7*(A58-1)</f>
        <v>46699</v>
      </c>
      <c r="C58" s="34" t="n">
        <f aca="false">B58+6</f>
        <v>46705</v>
      </c>
      <c r="D58" s="33" t="n">
        <f aca="false">(YEAR(B58)-YEAR(सारांश!$B$4))*12+MONTH(B58)-MONTH(सारांश!$B$4)+IF(DAY(B58)&gt;=DAY(सारांश!$B$4),1,0)</f>
        <v>12</v>
      </c>
      <c r="E58" s="35" t="s">
        <v>18</v>
      </c>
      <c r="F58" s="32" t="s">
        <v>178</v>
      </c>
      <c r="G58" s="32" t="s">
        <v>196</v>
      </c>
      <c r="H58" s="32" t="s">
        <v>135</v>
      </c>
      <c r="I58" s="32" t="s">
        <v>180</v>
      </c>
      <c r="J58" s="14" t="n">
        <f aca="false">COUNTIFS('दैनिक योजना'!$D$6:$D$552,A58,'दैनिक योजना'!$W$6:$W$552,"पूर्ण")+COUNTIFS('दैनिक योजना'!$D$6:$D$552,A58,'दैनिक योजना'!$W$6:$W$552,"दोहराया")</f>
        <v>0</v>
      </c>
      <c r="K58" s="16" t="n">
        <f aca="false">IFERROR(J58/COUNTIF('दैनिक योजना'!$D$6:$D$552,A58),0)</f>
        <v>0</v>
      </c>
      <c r="L58" s="14"/>
      <c r="M58" s="32"/>
    </row>
    <row r="59" customFormat="false" ht="58.5" hidden="false" customHeight="true" outlineLevel="0" collapsed="false">
      <c r="A59" s="36" t="n">
        <v>53</v>
      </c>
      <c r="B59" s="37" t="n">
        <f aca="false">सारांश!$B$4+1+7*(A59-1)</f>
        <v>46706</v>
      </c>
      <c r="C59" s="37" t="n">
        <f aca="false">B59+6</f>
        <v>46712</v>
      </c>
      <c r="D59" s="36" t="n">
        <f aca="false">(YEAR(B59)-YEAR(सारांश!$B$4))*12+MONTH(B59)-MONTH(सारांश!$B$4)+IF(DAY(B59)&gt;=DAY(सारांश!$B$4),1,0)</f>
        <v>13</v>
      </c>
      <c r="E59" s="38" t="s">
        <v>20</v>
      </c>
      <c r="F59" s="32" t="s">
        <v>197</v>
      </c>
      <c r="G59" s="32" t="s">
        <v>198</v>
      </c>
      <c r="H59" s="32" t="s">
        <v>127</v>
      </c>
      <c r="I59" s="32" t="s">
        <v>199</v>
      </c>
      <c r="J59" s="14" t="n">
        <f aca="false">COUNTIFS('दैनिक योजना'!$D$6:$D$552,A59,'दैनिक योजना'!$W$6:$W$552,"पूर्ण")+COUNTIFS('दैनिक योजना'!$D$6:$D$552,A59,'दैनिक योजना'!$W$6:$W$552,"दोहराया")</f>
        <v>0</v>
      </c>
      <c r="K59" s="16" t="n">
        <f aca="false">IFERROR(J59/COUNTIF('दैनिक योजना'!$D$6:$D$552,A59),0)</f>
        <v>0</v>
      </c>
      <c r="L59" s="14"/>
      <c r="M59" s="32"/>
    </row>
    <row r="60" customFormat="false" ht="75.75" hidden="false" customHeight="true" outlineLevel="0" collapsed="false">
      <c r="A60" s="36" t="n">
        <v>54</v>
      </c>
      <c r="B60" s="37" t="n">
        <f aca="false">सारांश!$B$4+1+7*(A60-1)</f>
        <v>46713</v>
      </c>
      <c r="C60" s="37" t="n">
        <f aca="false">B60+6</f>
        <v>46719</v>
      </c>
      <c r="D60" s="36" t="n">
        <f aca="false">(YEAR(B60)-YEAR(सारांश!$B$4))*12+MONTH(B60)-MONTH(सारांश!$B$4)+IF(DAY(B60)&gt;=DAY(सारांश!$B$4),1,0)</f>
        <v>13</v>
      </c>
      <c r="E60" s="38" t="s">
        <v>20</v>
      </c>
      <c r="F60" s="32" t="s">
        <v>200</v>
      </c>
      <c r="G60" s="32" t="s">
        <v>132</v>
      </c>
      <c r="H60" s="32" t="s">
        <v>127</v>
      </c>
      <c r="I60" s="32" t="s">
        <v>199</v>
      </c>
      <c r="J60" s="14" t="n">
        <f aca="false">COUNTIFS('दैनिक योजना'!$D$6:$D$552,A60,'दैनिक योजना'!$W$6:$W$552,"पूर्ण")+COUNTIFS('दैनिक योजना'!$D$6:$D$552,A60,'दैनिक योजना'!$W$6:$W$552,"दोहराया")</f>
        <v>0</v>
      </c>
      <c r="K60" s="16" t="n">
        <f aca="false">IFERROR(J60/COUNTIF('दैनिक योजना'!$D$6:$D$552,A60),0)</f>
        <v>0</v>
      </c>
      <c r="L60" s="14"/>
      <c r="M60" s="32"/>
    </row>
    <row r="61" customFormat="false" ht="58.5" hidden="false" customHeight="true" outlineLevel="0" collapsed="false">
      <c r="A61" s="36" t="n">
        <v>55</v>
      </c>
      <c r="B61" s="37" t="n">
        <f aca="false">सारांश!$B$4+1+7*(A61-1)</f>
        <v>46720</v>
      </c>
      <c r="C61" s="37" t="n">
        <f aca="false">B61+6</f>
        <v>46726</v>
      </c>
      <c r="D61" s="36" t="n">
        <f aca="false">(YEAR(B61)-YEAR(सारांश!$B$4))*12+MONTH(B61)-MONTH(सारांश!$B$4)+IF(DAY(B61)&gt;=DAY(सारांश!$B$4),1,0)</f>
        <v>13</v>
      </c>
      <c r="E61" s="38" t="s">
        <v>20</v>
      </c>
      <c r="F61" s="32" t="s">
        <v>201</v>
      </c>
      <c r="G61" s="32" t="s">
        <v>137</v>
      </c>
      <c r="H61" s="32" t="s">
        <v>127</v>
      </c>
      <c r="I61" s="32" t="s">
        <v>199</v>
      </c>
      <c r="J61" s="14" t="n">
        <f aca="false">COUNTIFS('दैनिक योजना'!$D$6:$D$552,A61,'दैनिक योजना'!$W$6:$W$552,"पूर्ण")+COUNTIFS('दैनिक योजना'!$D$6:$D$552,A61,'दैनिक योजना'!$W$6:$W$552,"दोहराया")</f>
        <v>0</v>
      </c>
      <c r="K61" s="16" t="n">
        <f aca="false">IFERROR(J61/COUNTIF('दैनिक योजना'!$D$6:$D$552,A61),0)</f>
        <v>0</v>
      </c>
      <c r="L61" s="14"/>
      <c r="M61" s="32"/>
    </row>
    <row r="62" customFormat="false" ht="75.75" hidden="false" customHeight="true" outlineLevel="0" collapsed="false">
      <c r="A62" s="36" t="n">
        <v>56</v>
      </c>
      <c r="B62" s="37" t="n">
        <f aca="false">सारांश!$B$4+1+7*(A62-1)</f>
        <v>46727</v>
      </c>
      <c r="C62" s="37" t="n">
        <f aca="false">B62+6</f>
        <v>46733</v>
      </c>
      <c r="D62" s="36" t="n">
        <f aca="false">(YEAR(B62)-YEAR(सारांश!$B$4))*12+MONTH(B62)-MONTH(सारांश!$B$4)+IF(DAY(B62)&gt;=DAY(सारांश!$B$4),1,0)</f>
        <v>13</v>
      </c>
      <c r="E62" s="38" t="s">
        <v>20</v>
      </c>
      <c r="F62" s="32" t="s">
        <v>202</v>
      </c>
      <c r="G62" s="32" t="s">
        <v>203</v>
      </c>
      <c r="H62" s="32" t="s">
        <v>135</v>
      </c>
      <c r="I62" s="32" t="s">
        <v>199</v>
      </c>
      <c r="J62" s="14" t="n">
        <f aca="false">COUNTIFS('दैनिक योजना'!$D$6:$D$552,A62,'दैनिक योजना'!$W$6:$W$552,"पूर्ण")+COUNTIFS('दैनिक योजना'!$D$6:$D$552,A62,'दैनिक योजना'!$W$6:$W$552,"दोहराया")</f>
        <v>0</v>
      </c>
      <c r="K62" s="16" t="n">
        <f aca="false">IFERROR(J62/COUNTIF('दैनिक योजना'!$D$6:$D$552,A62),0)</f>
        <v>0</v>
      </c>
      <c r="L62" s="14"/>
      <c r="M62" s="32"/>
    </row>
    <row r="63" customFormat="false" ht="75.75" hidden="false" customHeight="true" outlineLevel="0" collapsed="false">
      <c r="A63" s="36" t="n">
        <v>57</v>
      </c>
      <c r="B63" s="37" t="n">
        <f aca="false">सारांश!$B$4+1+7*(A63-1)</f>
        <v>46734</v>
      </c>
      <c r="C63" s="37" t="n">
        <f aca="false">B63+6</f>
        <v>46740</v>
      </c>
      <c r="D63" s="36" t="n">
        <f aca="false">(YEAR(B63)-YEAR(सारांश!$B$4))*12+MONTH(B63)-MONTH(सारांश!$B$4)+IF(DAY(B63)&gt;=DAY(सारांश!$B$4),1,0)</f>
        <v>13</v>
      </c>
      <c r="E63" s="38" t="s">
        <v>20</v>
      </c>
      <c r="F63" s="32" t="s">
        <v>204</v>
      </c>
      <c r="G63" s="32" t="s">
        <v>145</v>
      </c>
      <c r="H63" s="32" t="s">
        <v>127</v>
      </c>
      <c r="I63" s="32" t="s">
        <v>199</v>
      </c>
      <c r="J63" s="14" t="n">
        <f aca="false">COUNTIFS('दैनिक योजना'!$D$6:$D$552,A63,'दैनिक योजना'!$W$6:$W$552,"पूर्ण")+COUNTIFS('दैनिक योजना'!$D$6:$D$552,A63,'दैनिक योजना'!$W$6:$W$552,"दोहराया")</f>
        <v>0</v>
      </c>
      <c r="K63" s="16" t="n">
        <f aca="false">IFERROR(J63/COUNTIF('दैनिक योजना'!$D$6:$D$552,A63),0)</f>
        <v>0</v>
      </c>
      <c r="L63" s="14"/>
      <c r="M63" s="32"/>
    </row>
    <row r="64" customFormat="false" ht="58.5" hidden="false" customHeight="true" outlineLevel="0" collapsed="false">
      <c r="A64" s="36" t="n">
        <v>58</v>
      </c>
      <c r="B64" s="37" t="n">
        <f aca="false">सारांश!$B$4+1+7*(A64-1)</f>
        <v>46741</v>
      </c>
      <c r="C64" s="37" t="n">
        <f aca="false">B64+6</f>
        <v>46747</v>
      </c>
      <c r="D64" s="36" t="n">
        <f aca="false">(YEAR(B64)-YEAR(सारांश!$B$4))*12+MONTH(B64)-MONTH(सारांश!$B$4)+IF(DAY(B64)&gt;=DAY(सारांश!$B$4),1,0)</f>
        <v>14</v>
      </c>
      <c r="E64" s="38" t="s">
        <v>20</v>
      </c>
      <c r="F64" s="32" t="s">
        <v>205</v>
      </c>
      <c r="G64" s="32" t="s">
        <v>149</v>
      </c>
      <c r="H64" s="32" t="s">
        <v>127</v>
      </c>
      <c r="I64" s="32" t="s">
        <v>199</v>
      </c>
      <c r="J64" s="14" t="n">
        <f aca="false">COUNTIFS('दैनिक योजना'!$D$6:$D$552,A64,'दैनिक योजना'!$W$6:$W$552,"पूर्ण")+COUNTIFS('दैनिक योजना'!$D$6:$D$552,A64,'दैनिक योजना'!$W$6:$W$552,"दोहराया")</f>
        <v>0</v>
      </c>
      <c r="K64" s="16" t="n">
        <f aca="false">IFERROR(J64/COUNTIF('दैनिक योजना'!$D$6:$D$552,A64),0)</f>
        <v>0</v>
      </c>
      <c r="L64" s="14"/>
      <c r="M64" s="32"/>
    </row>
    <row r="65" customFormat="false" ht="75.75" hidden="false" customHeight="true" outlineLevel="0" collapsed="false">
      <c r="A65" s="36" t="n">
        <v>59</v>
      </c>
      <c r="B65" s="37" t="n">
        <f aca="false">सारांश!$B$4+1+7*(A65-1)</f>
        <v>46748</v>
      </c>
      <c r="C65" s="37" t="n">
        <f aca="false">B65+6</f>
        <v>46754</v>
      </c>
      <c r="D65" s="36" t="n">
        <f aca="false">(YEAR(B65)-YEAR(सारांश!$B$4))*12+MONTH(B65)-MONTH(सारांश!$B$4)+IF(DAY(B65)&gt;=DAY(सारांश!$B$4),1,0)</f>
        <v>14</v>
      </c>
      <c r="E65" s="38" t="s">
        <v>20</v>
      </c>
      <c r="F65" s="32" t="s">
        <v>206</v>
      </c>
      <c r="G65" s="32" t="s">
        <v>207</v>
      </c>
      <c r="H65" s="32" t="s">
        <v>127</v>
      </c>
      <c r="I65" s="32" t="s">
        <v>199</v>
      </c>
      <c r="J65" s="14" t="n">
        <f aca="false">COUNTIFS('दैनिक योजना'!$D$6:$D$552,A65,'दैनिक योजना'!$W$6:$W$552,"पूर्ण")+COUNTIFS('दैनिक योजना'!$D$6:$D$552,A65,'दैनिक योजना'!$W$6:$W$552,"दोहराया")</f>
        <v>0</v>
      </c>
      <c r="K65" s="16" t="n">
        <f aca="false">IFERROR(J65/COUNTIF('दैनिक योजना'!$D$6:$D$552,A65),0)</f>
        <v>0</v>
      </c>
      <c r="L65" s="14"/>
      <c r="M65" s="32"/>
    </row>
    <row r="66" customFormat="false" ht="75.75" hidden="false" customHeight="true" outlineLevel="0" collapsed="false">
      <c r="A66" s="36" t="n">
        <v>60</v>
      </c>
      <c r="B66" s="37" t="n">
        <f aca="false">सारांश!$B$4+1+7*(A66-1)</f>
        <v>46755</v>
      </c>
      <c r="C66" s="37" t="n">
        <f aca="false">B66+6</f>
        <v>46761</v>
      </c>
      <c r="D66" s="36" t="n">
        <f aca="false">(YEAR(B66)-YEAR(सारांश!$B$4))*12+MONTH(B66)-MONTH(सारांश!$B$4)+IF(DAY(B66)&gt;=DAY(सारांश!$B$4),1,0)</f>
        <v>14</v>
      </c>
      <c r="E66" s="38" t="s">
        <v>20</v>
      </c>
      <c r="F66" s="32" t="s">
        <v>208</v>
      </c>
      <c r="G66" s="32" t="s">
        <v>157</v>
      </c>
      <c r="H66" s="32" t="s">
        <v>135</v>
      </c>
      <c r="I66" s="32" t="s">
        <v>199</v>
      </c>
      <c r="J66" s="14" t="n">
        <f aca="false">COUNTIFS('दैनिक योजना'!$D$6:$D$552,A66,'दैनिक योजना'!$W$6:$W$552,"पूर्ण")+COUNTIFS('दैनिक योजना'!$D$6:$D$552,A66,'दैनिक योजना'!$W$6:$W$552,"दोहराया")</f>
        <v>0</v>
      </c>
      <c r="K66" s="16" t="n">
        <f aca="false">IFERROR(J66/COUNTIF('दैनिक योजना'!$D$6:$D$552,A66),0)</f>
        <v>0</v>
      </c>
      <c r="L66" s="14"/>
      <c r="M66" s="32"/>
    </row>
    <row r="67" customFormat="false" ht="75.75" hidden="false" customHeight="true" outlineLevel="0" collapsed="false">
      <c r="A67" s="36" t="n">
        <v>61</v>
      </c>
      <c r="B67" s="37" t="n">
        <f aca="false">सारांश!$B$4+1+7*(A67-1)</f>
        <v>46762</v>
      </c>
      <c r="C67" s="37" t="n">
        <f aca="false">B67+6</f>
        <v>46768</v>
      </c>
      <c r="D67" s="36" t="n">
        <f aca="false">(YEAR(B67)-YEAR(सारांश!$B$4))*12+MONTH(B67)-MONTH(सारांश!$B$4)+IF(DAY(B67)&gt;=DAY(सारांश!$B$4),1,0)</f>
        <v>14</v>
      </c>
      <c r="E67" s="38" t="s">
        <v>20</v>
      </c>
      <c r="F67" s="32" t="s">
        <v>209</v>
      </c>
      <c r="G67" s="32" t="s">
        <v>210</v>
      </c>
      <c r="H67" s="32" t="s">
        <v>127</v>
      </c>
      <c r="I67" s="32" t="s">
        <v>199</v>
      </c>
      <c r="J67" s="14" t="n">
        <f aca="false">COUNTIFS('दैनिक योजना'!$D$6:$D$552,A67,'दैनिक योजना'!$W$6:$W$552,"पूर्ण")+COUNTIFS('दैनिक योजना'!$D$6:$D$552,A67,'दैनिक योजना'!$W$6:$W$552,"दोहराया")</f>
        <v>0</v>
      </c>
      <c r="K67" s="16" t="n">
        <f aca="false">IFERROR(J67/COUNTIF('दैनिक योजना'!$D$6:$D$552,A67),0)</f>
        <v>0</v>
      </c>
      <c r="L67" s="14"/>
      <c r="M67" s="32"/>
    </row>
    <row r="68" customFormat="false" ht="42" hidden="false" customHeight="true" outlineLevel="0" collapsed="false">
      <c r="A68" s="36" t="n">
        <v>62</v>
      </c>
      <c r="B68" s="37" t="n">
        <f aca="false">सारांश!$B$4+1+7*(A68-1)</f>
        <v>46769</v>
      </c>
      <c r="C68" s="37" t="n">
        <f aca="false">B68+6</f>
        <v>46775</v>
      </c>
      <c r="D68" s="36" t="n">
        <f aca="false">(YEAR(B68)-YEAR(सारांश!$B$4))*12+MONTH(B68)-MONTH(सारांश!$B$4)+IF(DAY(B68)&gt;=DAY(सारांश!$B$4),1,0)</f>
        <v>15</v>
      </c>
      <c r="E68" s="38" t="s">
        <v>20</v>
      </c>
      <c r="F68" s="32" t="s">
        <v>211</v>
      </c>
      <c r="G68" s="32" t="s">
        <v>163</v>
      </c>
      <c r="H68" s="32" t="s">
        <v>127</v>
      </c>
      <c r="I68" s="32" t="s">
        <v>199</v>
      </c>
      <c r="J68" s="14" t="n">
        <f aca="false">COUNTIFS('दैनिक योजना'!$D$6:$D$552,A68,'दैनिक योजना'!$W$6:$W$552,"पूर्ण")+COUNTIFS('दैनिक योजना'!$D$6:$D$552,A68,'दैनिक योजना'!$W$6:$W$552,"दोहराया")</f>
        <v>0</v>
      </c>
      <c r="K68" s="16" t="n">
        <f aca="false">IFERROR(J68/COUNTIF('दैनिक योजना'!$D$6:$D$552,A68),0)</f>
        <v>0</v>
      </c>
      <c r="L68" s="14"/>
      <c r="M68" s="32"/>
    </row>
    <row r="69" customFormat="false" ht="75.75" hidden="false" customHeight="true" outlineLevel="0" collapsed="false">
      <c r="A69" s="36" t="n">
        <v>63</v>
      </c>
      <c r="B69" s="37" t="n">
        <f aca="false">सारांश!$B$4+1+7*(A69-1)</f>
        <v>46776</v>
      </c>
      <c r="C69" s="37" t="n">
        <f aca="false">B69+6</f>
        <v>46782</v>
      </c>
      <c r="D69" s="36" t="n">
        <f aca="false">(YEAR(B69)-YEAR(सारांश!$B$4))*12+MONTH(B69)-MONTH(सारांश!$B$4)+IF(DAY(B69)&gt;=DAY(सारांश!$B$4),1,0)</f>
        <v>15</v>
      </c>
      <c r="E69" s="38" t="s">
        <v>20</v>
      </c>
      <c r="F69" s="32" t="s">
        <v>212</v>
      </c>
      <c r="G69" s="32" t="s">
        <v>213</v>
      </c>
      <c r="H69" s="32" t="s">
        <v>127</v>
      </c>
      <c r="I69" s="32" t="s">
        <v>199</v>
      </c>
      <c r="J69" s="14" t="n">
        <f aca="false">COUNTIFS('दैनिक योजना'!$D$6:$D$552,A69,'दैनिक योजना'!$W$6:$W$552,"पूर्ण")+COUNTIFS('दैनिक योजना'!$D$6:$D$552,A69,'दैनिक योजना'!$W$6:$W$552,"दोहराया")</f>
        <v>0</v>
      </c>
      <c r="K69" s="16" t="n">
        <f aca="false">IFERROR(J69/COUNTIF('दैनिक योजना'!$D$6:$D$552,A69),0)</f>
        <v>0</v>
      </c>
      <c r="L69" s="14"/>
      <c r="M69" s="32"/>
    </row>
    <row r="70" customFormat="false" ht="75.75" hidden="false" customHeight="true" outlineLevel="0" collapsed="false">
      <c r="A70" s="36" t="n">
        <v>64</v>
      </c>
      <c r="B70" s="37" t="n">
        <f aca="false">सारांश!$B$4+1+7*(A70-1)</f>
        <v>46783</v>
      </c>
      <c r="C70" s="37" t="n">
        <f aca="false">B70+6</f>
        <v>46789</v>
      </c>
      <c r="D70" s="36" t="n">
        <f aca="false">(YEAR(B70)-YEAR(सारांश!$B$4))*12+MONTH(B70)-MONTH(सारांश!$B$4)+IF(DAY(B70)&gt;=DAY(सारांश!$B$4),1,0)</f>
        <v>15</v>
      </c>
      <c r="E70" s="38" t="s">
        <v>20</v>
      </c>
      <c r="F70" s="32" t="s">
        <v>214</v>
      </c>
      <c r="G70" s="32" t="s">
        <v>215</v>
      </c>
      <c r="H70" s="32" t="s">
        <v>135</v>
      </c>
      <c r="I70" s="32" t="s">
        <v>199</v>
      </c>
      <c r="J70" s="14" t="n">
        <f aca="false">COUNTIFS('दैनिक योजना'!$D$6:$D$552,A70,'दैनिक योजना'!$W$6:$W$552,"पूर्ण")+COUNTIFS('दैनिक योजना'!$D$6:$D$552,A70,'दैनिक योजना'!$W$6:$W$552,"दोहराया")</f>
        <v>0</v>
      </c>
      <c r="K70" s="16" t="n">
        <f aca="false">IFERROR(J70/COUNTIF('दैनिक योजना'!$D$6:$D$552,A70),0)</f>
        <v>0</v>
      </c>
      <c r="L70" s="14"/>
      <c r="M70" s="32"/>
    </row>
    <row r="71" customFormat="false" ht="75.75" hidden="false" customHeight="true" outlineLevel="0" collapsed="false">
      <c r="A71" s="36" t="n">
        <v>65</v>
      </c>
      <c r="B71" s="37" t="n">
        <f aca="false">सारांश!$B$4+1+7*(A71-1)</f>
        <v>46790</v>
      </c>
      <c r="C71" s="37" t="n">
        <f aca="false">B71+6</f>
        <v>46796</v>
      </c>
      <c r="D71" s="36" t="n">
        <f aca="false">(YEAR(B71)-YEAR(सारांश!$B$4))*12+MONTH(B71)-MONTH(सारांश!$B$4)+IF(DAY(B71)&gt;=DAY(सारांश!$B$4),1,0)</f>
        <v>15</v>
      </c>
      <c r="E71" s="38" t="s">
        <v>20</v>
      </c>
      <c r="F71" s="32" t="s">
        <v>216</v>
      </c>
      <c r="G71" s="32" t="s">
        <v>217</v>
      </c>
      <c r="H71" s="32" t="s">
        <v>127</v>
      </c>
      <c r="I71" s="32" t="s">
        <v>199</v>
      </c>
      <c r="J71" s="14" t="n">
        <f aca="false">COUNTIFS('दैनिक योजना'!$D$6:$D$552,A71,'दैनिक योजना'!$W$6:$W$552,"पूर्ण")+COUNTIFS('दैनिक योजना'!$D$6:$D$552,A71,'दैनिक योजना'!$W$6:$W$552,"दोहराया")</f>
        <v>0</v>
      </c>
      <c r="K71" s="16" t="n">
        <f aca="false">IFERROR(J71/COUNTIF('दैनिक योजना'!$D$6:$D$552,A71),0)</f>
        <v>0</v>
      </c>
      <c r="L71" s="14"/>
      <c r="M71" s="32"/>
    </row>
    <row r="72" customFormat="false" ht="58.5" hidden="false" customHeight="true" outlineLevel="0" collapsed="false">
      <c r="A72" s="36" t="n">
        <v>66</v>
      </c>
      <c r="B72" s="37" t="n">
        <f aca="false">सारांश!$B$4+1+7*(A72-1)</f>
        <v>46797</v>
      </c>
      <c r="C72" s="37" t="n">
        <f aca="false">B72+6</f>
        <v>46803</v>
      </c>
      <c r="D72" s="36" t="n">
        <f aca="false">(YEAR(B72)-YEAR(सारांश!$B$4))*12+MONTH(B72)-MONTH(सारांश!$B$4)+IF(DAY(B72)&gt;=DAY(सारांश!$B$4),1,0)</f>
        <v>15</v>
      </c>
      <c r="E72" s="38" t="s">
        <v>20</v>
      </c>
      <c r="F72" s="32" t="s">
        <v>218</v>
      </c>
      <c r="G72" s="32" t="s">
        <v>179</v>
      </c>
      <c r="H72" s="32" t="s">
        <v>127</v>
      </c>
      <c r="I72" s="32" t="s">
        <v>199</v>
      </c>
      <c r="J72" s="14" t="n">
        <f aca="false">COUNTIFS('दैनिक योजना'!$D$6:$D$552,A72,'दैनिक योजना'!$W$6:$W$552,"पूर्ण")+COUNTIFS('दैनिक योजना'!$D$6:$D$552,A72,'दैनिक योजना'!$W$6:$W$552,"दोहराया")</f>
        <v>0</v>
      </c>
      <c r="K72" s="16" t="n">
        <f aca="false">IFERROR(J72/COUNTIF('दैनिक योजना'!$D$6:$D$552,A72),0)</f>
        <v>0</v>
      </c>
      <c r="L72" s="14"/>
      <c r="M72" s="32"/>
    </row>
    <row r="73" customFormat="false" ht="42" hidden="false" customHeight="true" outlineLevel="0" collapsed="false">
      <c r="A73" s="39" t="n">
        <v>67</v>
      </c>
      <c r="B73" s="40" t="n">
        <f aca="false">सारांश!$B$4+1+7*(A73-1)</f>
        <v>46804</v>
      </c>
      <c r="C73" s="40" t="n">
        <f aca="false">B73+6</f>
        <v>46810</v>
      </c>
      <c r="D73" s="39" t="n">
        <f aca="false">(YEAR(B73)-YEAR(सारांश!$B$4))*12+MONTH(B73)-MONTH(सारांश!$B$4)+IF(DAY(B73)&gt;=DAY(सारांश!$B$4),1,0)</f>
        <v>16</v>
      </c>
      <c r="E73" s="41" t="s">
        <v>22</v>
      </c>
      <c r="F73" s="32" t="s">
        <v>103</v>
      </c>
      <c r="G73" s="32" t="s">
        <v>104</v>
      </c>
      <c r="H73" s="32" t="s">
        <v>127</v>
      </c>
      <c r="I73" s="32" t="s">
        <v>219</v>
      </c>
      <c r="J73" s="14" t="n">
        <f aca="false">COUNTIFS('दैनिक योजना'!$D$6:$D$552,A73,'दैनिक योजना'!$W$6:$W$552,"पूर्ण")+COUNTIFS('दैनिक योजना'!$D$6:$D$552,A73,'दैनिक योजना'!$W$6:$W$552,"दोहराया")</f>
        <v>0</v>
      </c>
      <c r="K73" s="16" t="n">
        <f aca="false">IFERROR(J73/COUNTIF('दैनिक योजना'!$D$6:$D$552,A73),0)</f>
        <v>0</v>
      </c>
      <c r="L73" s="14"/>
      <c r="M73" s="32"/>
    </row>
    <row r="74" customFormat="false" ht="75.75" hidden="false" customHeight="true" outlineLevel="0" collapsed="false">
      <c r="A74" s="39" t="n">
        <v>68</v>
      </c>
      <c r="B74" s="40" t="n">
        <f aca="false">सारांश!$B$4+1+7*(A74-1)</f>
        <v>46811</v>
      </c>
      <c r="C74" s="40" t="n">
        <f aca="false">B74+6</f>
        <v>46817</v>
      </c>
      <c r="D74" s="39" t="n">
        <f aca="false">(YEAR(B74)-YEAR(सारांश!$B$4))*12+MONTH(B74)-MONTH(सारांश!$B$4)+IF(DAY(B74)&gt;=DAY(सारांश!$B$4),1,0)</f>
        <v>16</v>
      </c>
      <c r="E74" s="41" t="s">
        <v>22</v>
      </c>
      <c r="F74" s="32" t="s">
        <v>103</v>
      </c>
      <c r="G74" s="32" t="s">
        <v>104</v>
      </c>
      <c r="H74" s="32" t="s">
        <v>135</v>
      </c>
      <c r="I74" s="32" t="s">
        <v>219</v>
      </c>
      <c r="J74" s="14" t="n">
        <f aca="false">COUNTIFS('दैनिक योजना'!$D$6:$D$552,A74,'दैनिक योजना'!$W$6:$W$552,"पूर्ण")+COUNTIFS('दैनिक योजना'!$D$6:$D$552,A74,'दैनिक योजना'!$W$6:$W$552,"दोहराया")</f>
        <v>0</v>
      </c>
      <c r="K74" s="16" t="n">
        <f aca="false">IFERROR(J74/COUNTIF('दैनिक योजना'!$D$6:$D$552,A74),0)</f>
        <v>0</v>
      </c>
      <c r="L74" s="14"/>
      <c r="M74" s="32"/>
    </row>
    <row r="75" customFormat="false" ht="42" hidden="false" customHeight="true" outlineLevel="0" collapsed="false">
      <c r="A75" s="39" t="n">
        <v>69</v>
      </c>
      <c r="B75" s="40" t="n">
        <f aca="false">सारांश!$B$4+1+7*(A75-1)</f>
        <v>46818</v>
      </c>
      <c r="C75" s="40" t="n">
        <f aca="false">B75+6</f>
        <v>46824</v>
      </c>
      <c r="D75" s="39" t="n">
        <f aca="false">(YEAR(B75)-YEAR(सारांश!$B$4))*12+MONTH(B75)-MONTH(सारांश!$B$4)+IF(DAY(B75)&gt;=DAY(सारांश!$B$4),1,0)</f>
        <v>16</v>
      </c>
      <c r="E75" s="41" t="s">
        <v>22</v>
      </c>
      <c r="F75" s="32" t="s">
        <v>103</v>
      </c>
      <c r="G75" s="32" t="s">
        <v>104</v>
      </c>
      <c r="H75" s="32" t="s">
        <v>127</v>
      </c>
      <c r="I75" s="32" t="s">
        <v>219</v>
      </c>
      <c r="J75" s="14" t="n">
        <f aca="false">COUNTIFS('दैनिक योजना'!$D$6:$D$552,A75,'दैनिक योजना'!$W$6:$W$552,"पूर्ण")+COUNTIFS('दैनिक योजना'!$D$6:$D$552,A75,'दैनिक योजना'!$W$6:$W$552,"दोहराया")</f>
        <v>0</v>
      </c>
      <c r="K75" s="16" t="n">
        <f aca="false">IFERROR(J75/COUNTIF('दैनिक योजना'!$D$6:$D$552,A75),0)</f>
        <v>0</v>
      </c>
      <c r="L75" s="14"/>
      <c r="M75" s="32"/>
    </row>
    <row r="76" customFormat="false" ht="42" hidden="false" customHeight="true" outlineLevel="0" collapsed="false">
      <c r="A76" s="39" t="n">
        <v>70</v>
      </c>
      <c r="B76" s="40" t="n">
        <f aca="false">सारांश!$B$4+1+7*(A76-1)</f>
        <v>46825</v>
      </c>
      <c r="C76" s="40" t="n">
        <f aca="false">B76+6</f>
        <v>46831</v>
      </c>
      <c r="D76" s="39" t="n">
        <f aca="false">(YEAR(B76)-YEAR(सारांश!$B$4))*12+MONTH(B76)-MONTH(सारांश!$B$4)+IF(DAY(B76)&gt;=DAY(सारांश!$B$4),1,0)</f>
        <v>16</v>
      </c>
      <c r="E76" s="41" t="s">
        <v>22</v>
      </c>
      <c r="F76" s="32" t="s">
        <v>103</v>
      </c>
      <c r="G76" s="32" t="s">
        <v>104</v>
      </c>
      <c r="H76" s="32" t="s">
        <v>127</v>
      </c>
      <c r="I76" s="32" t="s">
        <v>219</v>
      </c>
      <c r="J76" s="14" t="n">
        <f aca="false">COUNTIFS('दैनिक योजना'!$D$6:$D$552,A76,'दैनिक योजना'!$W$6:$W$552,"पूर्ण")+COUNTIFS('दैनिक योजना'!$D$6:$D$552,A76,'दैनिक योजना'!$W$6:$W$552,"दोहराया")</f>
        <v>0</v>
      </c>
      <c r="K76" s="16" t="n">
        <f aca="false">IFERROR(J76/COUNTIF('दैनिक योजना'!$D$6:$D$552,A76),0)</f>
        <v>0</v>
      </c>
      <c r="L76" s="14"/>
      <c r="M76" s="32"/>
    </row>
    <row r="77" customFormat="false" ht="42" hidden="false" customHeight="true" outlineLevel="0" collapsed="false">
      <c r="A77" s="39" t="n">
        <v>71</v>
      </c>
      <c r="B77" s="40" t="n">
        <f aca="false">सारांश!$B$4+1+7*(A77-1)</f>
        <v>46832</v>
      </c>
      <c r="C77" s="40" t="n">
        <f aca="false">B77+6</f>
        <v>46838</v>
      </c>
      <c r="D77" s="39" t="n">
        <f aca="false">(YEAR(B77)-YEAR(सारांश!$B$4))*12+MONTH(B77)-MONTH(सारांश!$B$4)+IF(DAY(B77)&gt;=DAY(सारांश!$B$4),1,0)</f>
        <v>17</v>
      </c>
      <c r="E77" s="41" t="s">
        <v>22</v>
      </c>
      <c r="F77" s="32" t="s">
        <v>103</v>
      </c>
      <c r="G77" s="32" t="s">
        <v>104</v>
      </c>
      <c r="H77" s="32" t="s">
        <v>127</v>
      </c>
      <c r="I77" s="32" t="s">
        <v>219</v>
      </c>
      <c r="J77" s="14" t="n">
        <f aca="false">COUNTIFS('दैनिक योजना'!$D$6:$D$552,A77,'दैनिक योजना'!$W$6:$W$552,"पूर्ण")+COUNTIFS('दैनिक योजना'!$D$6:$D$552,A77,'दैनिक योजना'!$W$6:$W$552,"दोहराया")</f>
        <v>0</v>
      </c>
      <c r="K77" s="16" t="n">
        <f aca="false">IFERROR(J77/COUNTIF('दैनिक योजना'!$D$6:$D$552,A77),0)</f>
        <v>0</v>
      </c>
      <c r="L77" s="14"/>
      <c r="M77" s="32"/>
    </row>
    <row r="78" customFormat="false" ht="75.75" hidden="false" customHeight="true" outlineLevel="0" collapsed="false">
      <c r="A78" s="39" t="n">
        <v>72</v>
      </c>
      <c r="B78" s="40" t="n">
        <f aca="false">सारांश!$B$4+1+7*(A78-1)</f>
        <v>46839</v>
      </c>
      <c r="C78" s="40" t="n">
        <f aca="false">B78+6</f>
        <v>46845</v>
      </c>
      <c r="D78" s="39" t="n">
        <f aca="false">(YEAR(B78)-YEAR(सारांश!$B$4))*12+MONTH(B78)-MONTH(सारांश!$B$4)+IF(DAY(B78)&gt;=DAY(सारांश!$B$4),1,0)</f>
        <v>17</v>
      </c>
      <c r="E78" s="41" t="s">
        <v>22</v>
      </c>
      <c r="F78" s="32" t="s">
        <v>103</v>
      </c>
      <c r="G78" s="32" t="s">
        <v>104</v>
      </c>
      <c r="H78" s="32" t="s">
        <v>135</v>
      </c>
      <c r="I78" s="32" t="s">
        <v>219</v>
      </c>
      <c r="J78" s="14" t="n">
        <f aca="false">COUNTIFS('दैनिक योजना'!$D$6:$D$552,A78,'दैनिक योजना'!$W$6:$W$552,"पूर्ण")+COUNTIFS('दैनिक योजना'!$D$6:$D$552,A78,'दैनिक योजना'!$W$6:$W$552,"दोहराया")</f>
        <v>0</v>
      </c>
      <c r="K78" s="16" t="n">
        <f aca="false">IFERROR(J78/COUNTIF('दैनिक योजना'!$D$6:$D$552,A78),0)</f>
        <v>0</v>
      </c>
      <c r="L78" s="14"/>
      <c r="M78" s="32"/>
    </row>
    <row r="79" customFormat="false" ht="42" hidden="false" customHeight="true" outlineLevel="0" collapsed="false">
      <c r="A79" s="39" t="n">
        <v>73</v>
      </c>
      <c r="B79" s="40" t="n">
        <f aca="false">सारांश!$B$4+1+7*(A79-1)</f>
        <v>46846</v>
      </c>
      <c r="C79" s="40" t="n">
        <f aca="false">B79+6</f>
        <v>46852</v>
      </c>
      <c r="D79" s="39" t="n">
        <f aca="false">(YEAR(B79)-YEAR(सारांश!$B$4))*12+MONTH(B79)-MONTH(सारांश!$B$4)+IF(DAY(B79)&gt;=DAY(सारांश!$B$4),1,0)</f>
        <v>17</v>
      </c>
      <c r="E79" s="41" t="s">
        <v>22</v>
      </c>
      <c r="F79" s="32" t="s">
        <v>103</v>
      </c>
      <c r="G79" s="32" t="s">
        <v>104</v>
      </c>
      <c r="H79" s="32" t="s">
        <v>127</v>
      </c>
      <c r="I79" s="32" t="s">
        <v>219</v>
      </c>
      <c r="J79" s="14" t="n">
        <f aca="false">COUNTIFS('दैनिक योजना'!$D$6:$D$552,A79,'दैनिक योजना'!$W$6:$W$552,"पूर्ण")+COUNTIFS('दैनिक योजना'!$D$6:$D$552,A79,'दैनिक योजना'!$W$6:$W$552,"दोहराया")</f>
        <v>0</v>
      </c>
      <c r="K79" s="16" t="n">
        <f aca="false">IFERROR(J79/COUNTIF('दैनिक योजना'!$D$6:$D$552,A79),0)</f>
        <v>0</v>
      </c>
      <c r="L79" s="14"/>
      <c r="M79" s="32"/>
    </row>
    <row r="80" customFormat="false" ht="42" hidden="false" customHeight="true" outlineLevel="0" collapsed="false">
      <c r="A80" s="39" t="n">
        <v>74</v>
      </c>
      <c r="B80" s="40" t="n">
        <f aca="false">सारांश!$B$4+1+7*(A80-1)</f>
        <v>46853</v>
      </c>
      <c r="C80" s="40" t="n">
        <f aca="false">B80+6</f>
        <v>46859</v>
      </c>
      <c r="D80" s="39" t="n">
        <f aca="false">(YEAR(B80)-YEAR(सारांश!$B$4))*12+MONTH(B80)-MONTH(सारांश!$B$4)+IF(DAY(B80)&gt;=DAY(सारांश!$B$4),1,0)</f>
        <v>17</v>
      </c>
      <c r="E80" s="41" t="s">
        <v>22</v>
      </c>
      <c r="F80" s="32" t="s">
        <v>103</v>
      </c>
      <c r="G80" s="32" t="s">
        <v>104</v>
      </c>
      <c r="H80" s="32" t="s">
        <v>127</v>
      </c>
      <c r="I80" s="32" t="s">
        <v>219</v>
      </c>
      <c r="J80" s="14" t="n">
        <f aca="false">COUNTIFS('दैनिक योजना'!$D$6:$D$552,A80,'दैनिक योजना'!$W$6:$W$552,"पूर्ण")+COUNTIFS('दैनिक योजना'!$D$6:$D$552,A80,'दैनिक योजना'!$W$6:$W$552,"दोहराया")</f>
        <v>0</v>
      </c>
      <c r="K80" s="16" t="n">
        <f aca="false">IFERROR(J80/COUNTIF('दैनिक योजना'!$D$6:$D$552,A80),0)</f>
        <v>0</v>
      </c>
      <c r="L80" s="14"/>
      <c r="M80" s="32"/>
    </row>
    <row r="81" customFormat="false" ht="42" hidden="false" customHeight="true" outlineLevel="0" collapsed="false">
      <c r="A81" s="42" t="n">
        <v>75</v>
      </c>
      <c r="B81" s="43" t="n">
        <f aca="false">सारांश!$B$4+1+7*(A81-1)</f>
        <v>46860</v>
      </c>
      <c r="C81" s="43" t="n">
        <f aca="false">B81+6</f>
        <v>46866</v>
      </c>
      <c r="D81" s="42" t="n">
        <f aca="false">(YEAR(B81)-YEAR(सारांश!$B$4))*12+MONTH(B81)-MONTH(सारांश!$B$4)+IF(DAY(B81)&gt;=DAY(सारांश!$B$4),1,0)</f>
        <v>18</v>
      </c>
      <c r="E81" s="44" t="s">
        <v>24</v>
      </c>
      <c r="F81" s="32" t="s">
        <v>103</v>
      </c>
      <c r="G81" s="32" t="s">
        <v>220</v>
      </c>
      <c r="H81" s="32" t="s">
        <v>127</v>
      </c>
      <c r="I81" s="32" t="s">
        <v>221</v>
      </c>
      <c r="J81" s="14" t="n">
        <f aca="false">COUNTIFS('दैनिक योजना'!$D$6:$D$552,A81,'दैनिक योजना'!$W$6:$W$552,"पूर्ण")+COUNTIFS('दैनिक योजना'!$D$6:$D$552,A81,'दैनिक योजना'!$W$6:$W$552,"दोहराया")</f>
        <v>0</v>
      </c>
      <c r="K81" s="16" t="n">
        <f aca="false">IFERROR(J81/COUNTIF('दैनिक योजना'!$D$6:$D$552,A81),0)</f>
        <v>0</v>
      </c>
      <c r="L81" s="14"/>
      <c r="M81" s="32"/>
    </row>
    <row r="82" customFormat="false" ht="75.75" hidden="false" customHeight="true" outlineLevel="0" collapsed="false">
      <c r="A82" s="42" t="n">
        <v>76</v>
      </c>
      <c r="B82" s="43" t="n">
        <f aca="false">सारांश!$B$4+1+7*(A82-1)</f>
        <v>46867</v>
      </c>
      <c r="C82" s="43" t="n">
        <f aca="false">B82+6</f>
        <v>46873</v>
      </c>
      <c r="D82" s="42" t="n">
        <f aca="false">(YEAR(B82)-YEAR(सारांश!$B$4))*12+MONTH(B82)-MONTH(सारांश!$B$4)+IF(DAY(B82)&gt;=DAY(सारांश!$B$4),1,0)</f>
        <v>18</v>
      </c>
      <c r="E82" s="44" t="s">
        <v>24</v>
      </c>
      <c r="F82" s="32" t="s">
        <v>103</v>
      </c>
      <c r="G82" s="32" t="s">
        <v>220</v>
      </c>
      <c r="H82" s="32" t="s">
        <v>135</v>
      </c>
      <c r="I82" s="32" t="s">
        <v>221</v>
      </c>
      <c r="J82" s="14" t="n">
        <f aca="false">COUNTIFS('दैनिक योजना'!$D$6:$D$552,A82,'दैनिक योजना'!$W$6:$W$552,"पूर्ण")+COUNTIFS('दैनिक योजना'!$D$6:$D$552,A82,'दैनिक योजना'!$W$6:$W$552,"दोहराया")</f>
        <v>0</v>
      </c>
      <c r="K82" s="16" t="n">
        <f aca="false">IFERROR(J82/COUNTIF('दैनिक योजना'!$D$6:$D$552,A82),0)</f>
        <v>0</v>
      </c>
      <c r="L82" s="14"/>
      <c r="M82" s="32"/>
    </row>
    <row r="83" customFormat="false" ht="42" hidden="false" customHeight="true" outlineLevel="0" collapsed="false">
      <c r="A83" s="42" t="n">
        <v>77</v>
      </c>
      <c r="B83" s="43" t="n">
        <f aca="false">सारांश!$B$4+1+7*(A83-1)</f>
        <v>46874</v>
      </c>
      <c r="C83" s="43" t="n">
        <f aca="false">B83+6</f>
        <v>46880</v>
      </c>
      <c r="D83" s="42" t="n">
        <f aca="false">(YEAR(B83)-YEAR(सारांश!$B$4))*12+MONTH(B83)-MONTH(सारांश!$B$4)+IF(DAY(B83)&gt;=DAY(सारांश!$B$4),1,0)</f>
        <v>18</v>
      </c>
      <c r="E83" s="44" t="s">
        <v>24</v>
      </c>
      <c r="F83" s="32" t="s">
        <v>103</v>
      </c>
      <c r="G83" s="32" t="s">
        <v>220</v>
      </c>
      <c r="H83" s="32" t="s">
        <v>127</v>
      </c>
      <c r="I83" s="32" t="s">
        <v>221</v>
      </c>
      <c r="J83" s="14" t="n">
        <f aca="false">COUNTIFS('दैनिक योजना'!$D$6:$D$552,A83,'दैनिक योजना'!$W$6:$W$552,"पूर्ण")+COUNTIFS('दैनिक योजना'!$D$6:$D$552,A83,'दैनिक योजना'!$W$6:$W$552,"दोहराया")</f>
        <v>0</v>
      </c>
      <c r="K83" s="16" t="n">
        <f aca="false">IFERROR(J83/COUNTIF('दैनिक योजना'!$D$6:$D$552,A83),0)</f>
        <v>0</v>
      </c>
      <c r="L83" s="14"/>
      <c r="M83" s="32"/>
    </row>
    <row r="84" customFormat="false" ht="58.5" hidden="false" customHeight="true" outlineLevel="0" collapsed="false">
      <c r="A84" s="42" t="n">
        <v>78</v>
      </c>
      <c r="B84" s="43" t="n">
        <f aca="false">सारांश!$B$4+1+7*(A84-1)</f>
        <v>46881</v>
      </c>
      <c r="C84" s="43" t="n">
        <f aca="false">B84+6</f>
        <v>46887</v>
      </c>
      <c r="D84" s="42" t="n">
        <f aca="false">(YEAR(B84)-YEAR(सारांश!$B$4))*12+MONTH(B84)-MONTH(सारांश!$B$4)+IF(DAY(B84)&gt;=DAY(सारांश!$B$4),1,0)</f>
        <v>18</v>
      </c>
      <c r="E84" s="44" t="s">
        <v>24</v>
      </c>
      <c r="F84" s="32" t="s">
        <v>220</v>
      </c>
      <c r="G84" s="32" t="s">
        <v>220</v>
      </c>
      <c r="H84" s="32" t="s">
        <v>222</v>
      </c>
      <c r="I84" s="32" t="s">
        <v>221</v>
      </c>
      <c r="J84" s="14" t="n">
        <f aca="false">COUNTIFS('दैनिक योजना'!$D$6:$D$552,A84,'दैनिक योजना'!$W$6:$W$552,"पूर्ण")+COUNTIFS('दैनिक योजना'!$D$6:$D$552,A84,'दैनिक योजना'!$W$6:$W$552,"दोहराया")</f>
        <v>0</v>
      </c>
      <c r="K84" s="16" t="n">
        <f aca="false">IFERROR(J84/COUNTIF('दैनिक योजना'!$D$6:$D$552,A84),0)</f>
        <v>0</v>
      </c>
      <c r="L84" s="14"/>
      <c r="M84" s="32"/>
    </row>
  </sheetData>
  <conditionalFormatting sqref="K6:K84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{70CB8DEE-2B6B-4234-82CD-A12640CF321E}</x14:id>
        </ext>
      </extLst>
    </cfRule>
  </conditionalFormatting>
  <dataValidations count="1">
    <dataValidation allowBlank="true" errorStyle="stop" operator="between" showDropDown="false" showErrorMessage="false" showInputMessage="false" sqref="L6:L8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CB8DEE-2B6B-4234-82CD-A12640CF321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K6:K84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394"/>
    <pageSetUpPr fitToPage="false"/>
  </sheetPr>
  <dimension ref="A1:Y5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44"/>
    <col collapsed="false" customWidth="true" hidden="false" outlineLevel="0" max="9" min="9" style="1" width="60"/>
    <col collapsed="false" customWidth="true" hidden="false" outlineLevel="0" max="10" min="10" style="1" width="57"/>
    <col collapsed="false" customWidth="true" hidden="false" outlineLevel="0" max="11" min="11" style="1" width="51"/>
    <col collapsed="false" customWidth="true" hidden="false" outlineLevel="0" max="12" min="12" style="1" width="18"/>
    <col collapsed="false" customWidth="true" hidden="false" outlineLevel="0" max="13" min="13" style="1" width="44"/>
    <col collapsed="false" customWidth="true" hidden="false" outlineLevel="0" max="14" min="14" style="1" width="37"/>
    <col collapsed="false" customWidth="true" hidden="false" outlineLevel="0" max="15" min="15" style="1" width="34"/>
    <col collapsed="false" customWidth="true" hidden="false" outlineLevel="0" max="16" min="16" style="1" width="28"/>
    <col collapsed="false" customWidth="true" hidden="false" outlineLevel="0" max="17" min="17" style="1" width="8"/>
    <col collapsed="false" customWidth="true" hidden="false" outlineLevel="0" max="18" min="18" style="1" width="55"/>
    <col collapsed="false" customWidth="true" hidden="false" outlineLevel="0" max="19" min="19" style="1" width="46"/>
    <col collapsed="false" customWidth="true" hidden="false" outlineLevel="0" max="22" min="20" style="1" width="18"/>
    <col collapsed="false" customWidth="true" hidden="false" outlineLevel="0" max="23" min="23" style="1" width="15"/>
    <col collapsed="false" customWidth="true" hidden="false" outlineLevel="0" max="24" min="24" style="1" width="25"/>
    <col collapsed="false" customWidth="true" hidden="false" outlineLevel="0" max="25" min="25" style="0" width="36"/>
  </cols>
  <sheetData>
    <row r="1" customFormat="false" ht="39.75" hidden="false" customHeight="true" outlineLevel="0" collapsed="false">
      <c r="A1" s="2" t="s">
        <v>223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5.5" hidden="false" customHeight="true" outlineLevel="0" collapsed="false">
      <c r="A2" s="4" t="s">
        <v>224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5" customFormat="false" ht="39.75" hidden="false" customHeight="true" outlineLevel="0" collapsed="false">
      <c r="A5" s="12" t="s">
        <v>225</v>
      </c>
      <c r="B5" s="12" t="s">
        <v>226</v>
      </c>
      <c r="C5" s="12" t="s">
        <v>227</v>
      </c>
      <c r="D5" s="12" t="s">
        <v>112</v>
      </c>
      <c r="E5" s="12" t="s">
        <v>46</v>
      </c>
      <c r="F5" s="12" t="s">
        <v>7</v>
      </c>
      <c r="G5" s="12" t="s">
        <v>228</v>
      </c>
      <c r="H5" s="12" t="s">
        <v>229</v>
      </c>
      <c r="I5" s="12" t="s">
        <v>230</v>
      </c>
      <c r="J5" s="12" t="s">
        <v>231</v>
      </c>
      <c r="K5" s="12" t="s">
        <v>232</v>
      </c>
      <c r="L5" s="12" t="s">
        <v>233</v>
      </c>
      <c r="M5" s="12" t="s">
        <v>234</v>
      </c>
      <c r="N5" s="12" t="s">
        <v>235</v>
      </c>
      <c r="O5" s="12" t="s">
        <v>236</v>
      </c>
      <c r="P5" s="12" t="s">
        <v>237</v>
      </c>
      <c r="Q5" s="12" t="s">
        <v>238</v>
      </c>
      <c r="R5" s="12" t="s">
        <v>239</v>
      </c>
      <c r="S5" s="12" t="s">
        <v>240</v>
      </c>
      <c r="T5" s="12" t="s">
        <v>241</v>
      </c>
      <c r="U5" s="12" t="s">
        <v>242</v>
      </c>
      <c r="V5" s="12" t="s">
        <v>243</v>
      </c>
      <c r="W5" s="12" t="s">
        <v>244</v>
      </c>
      <c r="X5" s="12" t="s">
        <v>120</v>
      </c>
      <c r="Y5" s="12" t="s">
        <v>245</v>
      </c>
    </row>
    <row r="6" customFormat="false" ht="75.75" hidden="false" customHeight="true" outlineLevel="0" collapsed="false">
      <c r="A6" s="45" t="n">
        <v>1</v>
      </c>
      <c r="B6" s="46" t="n">
        <f aca="false">सारांश!$B$4+A6-1</f>
        <v>46341</v>
      </c>
      <c r="C6" s="45" t="str">
        <f aca="false">CHOOSE(WEEKDAY(B6,2),"सोमवार","मंगलवार","बुधवार","गुरुवार","शुक्रवार","शनिवार","रविवार")</f>
        <v>रविवार</v>
      </c>
      <c r="D6" s="45" t="n">
        <f aca="false">IF(A6=1,0,INT((A6-2)/7)+1)</f>
        <v>0</v>
      </c>
      <c r="E6" s="45" t="n">
        <f aca="false">(YEAR(B6)-YEAR(सारांश!$B$4))*12+MONTH(B6)-MONTH(सारांश!$B$4)+IF(DAY(B6)&gt;=DAY(सारांश!$B$4),1,0)</f>
        <v>1</v>
      </c>
      <c r="F6" s="47" t="s">
        <v>14</v>
      </c>
      <c r="G6" s="14" t="s">
        <v>246</v>
      </c>
      <c r="H6" s="32" t="s">
        <v>247</v>
      </c>
      <c r="I6" s="32" t="s">
        <v>248</v>
      </c>
      <c r="J6" s="48" t="s">
        <v>249</v>
      </c>
      <c r="K6" s="48" t="s">
        <v>250</v>
      </c>
      <c r="L6" s="14" t="s">
        <v>251</v>
      </c>
      <c r="M6" s="32" t="s">
        <v>252</v>
      </c>
      <c r="N6" s="32" t="s">
        <v>253</v>
      </c>
      <c r="O6" s="32" t="s">
        <v>254</v>
      </c>
      <c r="P6" s="32" t="s">
        <v>255</v>
      </c>
      <c r="Q6" s="14" t="n">
        <v>6</v>
      </c>
      <c r="R6" s="32" t="s">
        <v>256</v>
      </c>
      <c r="S6" s="32" t="s">
        <v>257</v>
      </c>
      <c r="T6" s="49" t="s">
        <v>258</v>
      </c>
      <c r="U6" s="49" t="s">
        <v>259</v>
      </c>
      <c r="V6" s="49" t="s">
        <v>259</v>
      </c>
      <c r="W6" s="14" t="s">
        <v>260</v>
      </c>
      <c r="X6" s="14"/>
    </row>
    <row r="7" customFormat="false" ht="126.75" hidden="false" customHeight="true" outlineLevel="0" collapsed="false">
      <c r="A7" s="29" t="n">
        <v>2</v>
      </c>
      <c r="B7" s="30" t="n">
        <f aca="false">सारांश!$B$4+A7-1</f>
        <v>46342</v>
      </c>
      <c r="C7" s="29" t="str">
        <f aca="false">CHOOSE(WEEKDAY(B7,2),"सोमवार","मंगलवार","बुधवार","गुरुवार","शुक्रवार","शनिवार","रविवार")</f>
        <v>सोमवार</v>
      </c>
      <c r="D7" s="29" t="n">
        <f aca="false">IF(A7=1,0,INT((A7-2)/7)+1)</f>
        <v>1</v>
      </c>
      <c r="E7" s="29" t="n">
        <f aca="false">(YEAR(B7)-YEAR(सारांश!$B$4))*12+MONTH(B7)-MONTH(सारांश!$B$4)+IF(DAY(B7)&gt;=DAY(सारांश!$B$4),1,0)</f>
        <v>1</v>
      </c>
      <c r="F7" s="31" t="s">
        <v>16</v>
      </c>
      <c r="G7" s="14" t="s">
        <v>261</v>
      </c>
      <c r="H7" s="32" t="s">
        <v>262</v>
      </c>
      <c r="I7" s="32" t="s">
        <v>263</v>
      </c>
      <c r="J7" s="48" t="s">
        <v>264</v>
      </c>
      <c r="K7" s="48" t="s">
        <v>265</v>
      </c>
      <c r="L7" s="14" t="s">
        <v>266</v>
      </c>
      <c r="M7" s="32" t="s">
        <v>267</v>
      </c>
      <c r="N7" s="32" t="s">
        <v>268</v>
      </c>
      <c r="O7" s="32" t="s">
        <v>269</v>
      </c>
      <c r="P7" s="32" t="s">
        <v>270</v>
      </c>
      <c r="Q7" s="14" t="n">
        <v>7.5</v>
      </c>
      <c r="R7" s="32" t="s">
        <v>271</v>
      </c>
      <c r="S7" s="32" t="s">
        <v>272</v>
      </c>
      <c r="T7" s="49" t="s">
        <v>258</v>
      </c>
      <c r="U7" s="49" t="s">
        <v>259</v>
      </c>
      <c r="V7" s="49" t="s">
        <v>259</v>
      </c>
      <c r="W7" s="14" t="s">
        <v>260</v>
      </c>
      <c r="X7" s="14"/>
      <c r="Y7" s="48" t="s">
        <v>273</v>
      </c>
    </row>
    <row r="8" customFormat="false" ht="126.75" hidden="false" customHeight="true" outlineLevel="0" collapsed="false">
      <c r="A8" s="29" t="n">
        <v>3</v>
      </c>
      <c r="B8" s="30" t="n">
        <f aca="false">सारांश!$B$4+A8-1</f>
        <v>46343</v>
      </c>
      <c r="C8" s="29" t="str">
        <f aca="false">CHOOSE(WEEKDAY(B8,2),"सोमवार","मंगलवार","बुधवार","गुरुवार","शुक्रवार","शनिवार","रविवार")</f>
        <v>मंगलवार</v>
      </c>
      <c r="D8" s="29" t="n">
        <f aca="false">IF(A8=1,0,INT((A8-2)/7)+1)</f>
        <v>1</v>
      </c>
      <c r="E8" s="29" t="n">
        <f aca="false">(YEAR(B8)-YEAR(सारांश!$B$4))*12+MONTH(B8)-MONTH(सारांश!$B$4)+IF(DAY(B8)&gt;=DAY(सारांश!$B$4),1,0)</f>
        <v>1</v>
      </c>
      <c r="F8" s="31" t="s">
        <v>16</v>
      </c>
      <c r="G8" s="14" t="s">
        <v>261</v>
      </c>
      <c r="H8" s="32" t="s">
        <v>274</v>
      </c>
      <c r="I8" s="32" t="s">
        <v>263</v>
      </c>
      <c r="J8" s="48" t="s">
        <v>264</v>
      </c>
      <c r="K8" s="48" t="s">
        <v>265</v>
      </c>
      <c r="L8" s="14" t="s">
        <v>266</v>
      </c>
      <c r="M8" s="32" t="s">
        <v>275</v>
      </c>
      <c r="N8" s="32" t="s">
        <v>276</v>
      </c>
      <c r="O8" s="32" t="s">
        <v>269</v>
      </c>
      <c r="P8" s="32" t="s">
        <v>270</v>
      </c>
      <c r="Q8" s="14" t="n">
        <v>7.5</v>
      </c>
      <c r="R8" s="32" t="s">
        <v>271</v>
      </c>
      <c r="S8" s="32" t="s">
        <v>272</v>
      </c>
      <c r="T8" s="49" t="s">
        <v>258</v>
      </c>
      <c r="U8" s="49" t="s">
        <v>259</v>
      </c>
      <c r="V8" s="49" t="s">
        <v>259</v>
      </c>
      <c r="W8" s="14" t="s">
        <v>260</v>
      </c>
      <c r="X8" s="14"/>
      <c r="Y8" s="48" t="s">
        <v>273</v>
      </c>
    </row>
    <row r="9" customFormat="false" ht="126.75" hidden="false" customHeight="true" outlineLevel="0" collapsed="false">
      <c r="A9" s="29" t="n">
        <v>4</v>
      </c>
      <c r="B9" s="30" t="n">
        <f aca="false">सारांश!$B$4+A9-1</f>
        <v>46344</v>
      </c>
      <c r="C9" s="29" t="str">
        <f aca="false">CHOOSE(WEEKDAY(B9,2),"सोमवार","मंगलवार","बुधवार","गुरुवार","शुक्रवार","शनिवार","रविवार")</f>
        <v>बुधवार</v>
      </c>
      <c r="D9" s="29" t="n">
        <f aca="false">IF(A9=1,0,INT((A9-2)/7)+1)</f>
        <v>1</v>
      </c>
      <c r="E9" s="29" t="n">
        <f aca="false">(YEAR(B9)-YEAR(सारांश!$B$4))*12+MONTH(B9)-MONTH(सारांश!$B$4)+IF(DAY(B9)&gt;=DAY(सारांश!$B$4),1,0)</f>
        <v>1</v>
      </c>
      <c r="F9" s="31" t="s">
        <v>16</v>
      </c>
      <c r="G9" s="14" t="s">
        <v>261</v>
      </c>
      <c r="H9" s="32" t="s">
        <v>277</v>
      </c>
      <c r="I9" s="32" t="s">
        <v>263</v>
      </c>
      <c r="J9" s="48" t="s">
        <v>264</v>
      </c>
      <c r="K9" s="48" t="s">
        <v>265</v>
      </c>
      <c r="L9" s="14" t="s">
        <v>266</v>
      </c>
      <c r="M9" s="32" t="s">
        <v>278</v>
      </c>
      <c r="N9" s="32" t="s">
        <v>279</v>
      </c>
      <c r="O9" s="32" t="s">
        <v>269</v>
      </c>
      <c r="P9" s="32" t="s">
        <v>270</v>
      </c>
      <c r="Q9" s="14" t="n">
        <v>7.5</v>
      </c>
      <c r="R9" s="32" t="s">
        <v>271</v>
      </c>
      <c r="S9" s="32" t="s">
        <v>272</v>
      </c>
      <c r="T9" s="49" t="s">
        <v>258</v>
      </c>
      <c r="U9" s="49" t="s">
        <v>259</v>
      </c>
      <c r="V9" s="49" t="s">
        <v>259</v>
      </c>
      <c r="W9" s="14" t="s">
        <v>260</v>
      </c>
      <c r="X9" s="14"/>
      <c r="Y9" s="48" t="s">
        <v>273</v>
      </c>
    </row>
    <row r="10" customFormat="false" ht="109.5" hidden="false" customHeight="true" outlineLevel="0" collapsed="false">
      <c r="A10" s="29" t="n">
        <v>5</v>
      </c>
      <c r="B10" s="30" t="n">
        <f aca="false">सारांश!$B$4+A10-1</f>
        <v>46345</v>
      </c>
      <c r="C10" s="29" t="str">
        <f aca="false">CHOOSE(WEEKDAY(B10,2),"सोमवार","मंगलवार","बुधवार","गुरुवार","शुक्रवार","शनिवार","रविवार")</f>
        <v>गुरुवार</v>
      </c>
      <c r="D10" s="29" t="n">
        <f aca="false">IF(A10=1,0,INT((A10-2)/7)+1)</f>
        <v>1</v>
      </c>
      <c r="E10" s="29" t="n">
        <f aca="false">(YEAR(B10)-YEAR(सारांश!$B$4))*12+MONTH(B10)-MONTH(सारांश!$B$4)+IF(DAY(B10)&gt;=DAY(सारांश!$B$4),1,0)</f>
        <v>1</v>
      </c>
      <c r="F10" s="31" t="s">
        <v>16</v>
      </c>
      <c r="G10" s="14" t="s">
        <v>261</v>
      </c>
      <c r="H10" s="32" t="s">
        <v>280</v>
      </c>
      <c r="I10" s="32" t="s">
        <v>281</v>
      </c>
      <c r="J10" s="48" t="s">
        <v>282</v>
      </c>
      <c r="K10" s="48" t="s">
        <v>265</v>
      </c>
      <c r="L10" s="14" t="s">
        <v>266</v>
      </c>
      <c r="M10" s="32" t="s">
        <v>283</v>
      </c>
      <c r="N10" s="32" t="s">
        <v>284</v>
      </c>
      <c r="O10" s="32" t="s">
        <v>269</v>
      </c>
      <c r="P10" s="32" t="s">
        <v>270</v>
      </c>
      <c r="Q10" s="14" t="n">
        <v>7.5</v>
      </c>
      <c r="R10" s="32" t="s">
        <v>271</v>
      </c>
      <c r="S10" s="32" t="s">
        <v>272</v>
      </c>
      <c r="T10" s="49" t="s">
        <v>258</v>
      </c>
      <c r="U10" s="49" t="s">
        <v>259</v>
      </c>
      <c r="V10" s="49" t="s">
        <v>259</v>
      </c>
      <c r="W10" s="14" t="s">
        <v>260</v>
      </c>
      <c r="X10" s="14"/>
      <c r="Y10" s="48" t="s">
        <v>273</v>
      </c>
    </row>
    <row r="11" customFormat="false" ht="109.5" hidden="false" customHeight="true" outlineLevel="0" collapsed="false">
      <c r="A11" s="29" t="n">
        <v>6</v>
      </c>
      <c r="B11" s="30" t="n">
        <f aca="false">सारांश!$B$4+A11-1</f>
        <v>46346</v>
      </c>
      <c r="C11" s="29" t="str">
        <f aca="false">CHOOSE(WEEKDAY(B11,2),"सोमवार","मंगलवार","बुधवार","गुरुवार","शुक्रवार","शनिवार","रविवार")</f>
        <v>शुक्रवार</v>
      </c>
      <c r="D11" s="29" t="n">
        <f aca="false">IF(A11=1,0,INT((A11-2)/7)+1)</f>
        <v>1</v>
      </c>
      <c r="E11" s="29" t="n">
        <f aca="false">(YEAR(B11)-YEAR(सारांश!$B$4))*12+MONTH(B11)-MONTH(सारांश!$B$4)+IF(DAY(B11)&gt;=DAY(सारांश!$B$4),1,0)</f>
        <v>1</v>
      </c>
      <c r="F11" s="31" t="s">
        <v>16</v>
      </c>
      <c r="G11" s="14" t="s">
        <v>261</v>
      </c>
      <c r="H11" s="32" t="s">
        <v>285</v>
      </c>
      <c r="I11" s="32" t="s">
        <v>281</v>
      </c>
      <c r="J11" s="48" t="s">
        <v>282</v>
      </c>
      <c r="K11" s="48" t="s">
        <v>265</v>
      </c>
      <c r="L11" s="14" t="s">
        <v>266</v>
      </c>
      <c r="M11" s="32" t="s">
        <v>286</v>
      </c>
      <c r="N11" s="32" t="s">
        <v>287</v>
      </c>
      <c r="O11" s="32" t="s">
        <v>269</v>
      </c>
      <c r="P11" s="32" t="s">
        <v>270</v>
      </c>
      <c r="Q11" s="14" t="n">
        <v>7.5</v>
      </c>
      <c r="R11" s="32" t="s">
        <v>271</v>
      </c>
      <c r="S11" s="32" t="s">
        <v>272</v>
      </c>
      <c r="T11" s="49" t="s">
        <v>258</v>
      </c>
      <c r="U11" s="49" t="s">
        <v>259</v>
      </c>
      <c r="V11" s="49" t="s">
        <v>259</v>
      </c>
      <c r="W11" s="14" t="s">
        <v>260</v>
      </c>
      <c r="X11" s="14"/>
      <c r="Y11" s="48" t="s">
        <v>273</v>
      </c>
    </row>
    <row r="12" customFormat="false" ht="109.5" hidden="false" customHeight="true" outlineLevel="0" collapsed="false">
      <c r="A12" s="29" t="n">
        <v>7</v>
      </c>
      <c r="B12" s="30" t="n">
        <f aca="false">सारांश!$B$4+A12-1</f>
        <v>46347</v>
      </c>
      <c r="C12" s="29" t="str">
        <f aca="false">CHOOSE(WEEKDAY(B12,2),"सोमवार","मंगलवार","बुधवार","गुरुवार","शुक्रवार","शनिवार","रविवार")</f>
        <v>शनिवार</v>
      </c>
      <c r="D12" s="29" t="n">
        <f aca="false">IF(A12=1,0,INT((A12-2)/7)+1)</f>
        <v>1</v>
      </c>
      <c r="E12" s="29" t="n">
        <f aca="false">(YEAR(B12)-YEAR(सारांश!$B$4))*12+MONTH(B12)-MONTH(सारांश!$B$4)+IF(DAY(B12)&gt;=DAY(सारांश!$B$4),1,0)</f>
        <v>1</v>
      </c>
      <c r="F12" s="31" t="s">
        <v>16</v>
      </c>
      <c r="G12" s="14" t="s">
        <v>261</v>
      </c>
      <c r="H12" s="32" t="s">
        <v>288</v>
      </c>
      <c r="I12" s="32" t="s">
        <v>281</v>
      </c>
      <c r="J12" s="48" t="s">
        <v>282</v>
      </c>
      <c r="K12" s="48" t="s">
        <v>265</v>
      </c>
      <c r="L12" s="14" t="s">
        <v>266</v>
      </c>
      <c r="M12" s="32" t="s">
        <v>289</v>
      </c>
      <c r="N12" s="32" t="s">
        <v>290</v>
      </c>
      <c r="O12" s="32" t="s">
        <v>269</v>
      </c>
      <c r="P12" s="32" t="s">
        <v>270</v>
      </c>
      <c r="Q12" s="14" t="n">
        <v>7.5</v>
      </c>
      <c r="R12" s="32" t="s">
        <v>271</v>
      </c>
      <c r="S12" s="32" t="s">
        <v>272</v>
      </c>
      <c r="T12" s="49" t="s">
        <v>258</v>
      </c>
      <c r="U12" s="49" t="s">
        <v>259</v>
      </c>
      <c r="V12" s="49" t="s">
        <v>259</v>
      </c>
      <c r="W12" s="14" t="s">
        <v>260</v>
      </c>
      <c r="X12" s="14"/>
      <c r="Y12" s="48" t="s">
        <v>273</v>
      </c>
    </row>
    <row r="13" customFormat="false" ht="75.75" hidden="false" customHeight="true" outlineLevel="0" collapsed="false">
      <c r="A13" s="50" t="n">
        <v>8</v>
      </c>
      <c r="B13" s="51" t="n">
        <f aca="false">सारांश!$B$4+A13-1</f>
        <v>46348</v>
      </c>
      <c r="C13" s="50" t="str">
        <f aca="false">CHOOSE(WEEKDAY(B13,2),"सोमवार","मंगलवार","बुधवार","गुरुवार","शुक्रवार","शनिवार","रविवार")</f>
        <v>रविवार</v>
      </c>
      <c r="D13" s="50" t="n">
        <f aca="false">IF(A13=1,0,INT((A13-2)/7)+1)</f>
        <v>1</v>
      </c>
      <c r="E13" s="50" t="n">
        <f aca="false">(YEAR(B13)-YEAR(सारांश!$B$4))*12+MONTH(B13)-MONTH(सारांश!$B$4)+IF(DAY(B13)&gt;=DAY(सारांश!$B$4),1,0)</f>
        <v>1</v>
      </c>
      <c r="F13" s="52" t="s">
        <v>16</v>
      </c>
      <c r="G13" s="50" t="s">
        <v>291</v>
      </c>
      <c r="H13" s="52" t="s">
        <v>127</v>
      </c>
      <c r="I13" s="52" t="s">
        <v>292</v>
      </c>
      <c r="J13" s="53" t="s">
        <v>293</v>
      </c>
      <c r="K13" s="53" t="s">
        <v>294</v>
      </c>
      <c r="L13" s="50" t="s">
        <v>295</v>
      </c>
      <c r="M13" s="52" t="s">
        <v>296</v>
      </c>
      <c r="N13" s="52" t="s">
        <v>297</v>
      </c>
      <c r="O13" s="52" t="s">
        <v>298</v>
      </c>
      <c r="P13" s="52" t="s">
        <v>299</v>
      </c>
      <c r="Q13" s="50" t="n">
        <v>6</v>
      </c>
      <c r="R13" s="52" t="s">
        <v>300</v>
      </c>
      <c r="S13" s="52" t="s">
        <v>257</v>
      </c>
      <c r="T13" s="54" t="s">
        <v>258</v>
      </c>
      <c r="U13" s="54" t="s">
        <v>259</v>
      </c>
      <c r="V13" s="54" t="s">
        <v>259</v>
      </c>
      <c r="W13" s="50" t="s">
        <v>260</v>
      </c>
      <c r="X13" s="50"/>
    </row>
    <row r="14" customFormat="false" ht="126.75" hidden="false" customHeight="true" outlineLevel="0" collapsed="false">
      <c r="A14" s="29" t="n">
        <v>9</v>
      </c>
      <c r="B14" s="30" t="n">
        <f aca="false">सारांश!$B$4+A14-1</f>
        <v>46349</v>
      </c>
      <c r="C14" s="29" t="str">
        <f aca="false">CHOOSE(WEEKDAY(B14,2),"सोमवार","मंगलवार","बुधवार","गुरुवार","शुक्रवार","शनिवार","रविवार")</f>
        <v>सोमवार</v>
      </c>
      <c r="D14" s="29" t="n">
        <f aca="false">IF(A14=1,0,INT((A14-2)/7)+1)</f>
        <v>2</v>
      </c>
      <c r="E14" s="29" t="n">
        <f aca="false">(YEAR(B14)-YEAR(सारांश!$B$4))*12+MONTH(B14)-MONTH(सारांश!$B$4)+IF(DAY(B14)&gt;=DAY(सारांश!$B$4),1,0)</f>
        <v>1</v>
      </c>
      <c r="F14" s="31" t="s">
        <v>16</v>
      </c>
      <c r="G14" s="14" t="s">
        <v>261</v>
      </c>
      <c r="H14" s="32" t="s">
        <v>301</v>
      </c>
      <c r="I14" s="32" t="s">
        <v>302</v>
      </c>
      <c r="J14" s="48" t="s">
        <v>303</v>
      </c>
      <c r="K14" s="48" t="s">
        <v>265</v>
      </c>
      <c r="L14" s="14" t="s">
        <v>266</v>
      </c>
      <c r="M14" s="32" t="s">
        <v>304</v>
      </c>
      <c r="N14" s="32" t="s">
        <v>268</v>
      </c>
      <c r="O14" s="32" t="s">
        <v>269</v>
      </c>
      <c r="P14" s="32" t="s">
        <v>270</v>
      </c>
      <c r="Q14" s="14" t="n">
        <v>7.5</v>
      </c>
      <c r="R14" s="32" t="s">
        <v>271</v>
      </c>
      <c r="S14" s="32" t="s">
        <v>272</v>
      </c>
      <c r="T14" s="49" t="s">
        <v>258</v>
      </c>
      <c r="U14" s="49" t="s">
        <v>259</v>
      </c>
      <c r="V14" s="49" t="s">
        <v>259</v>
      </c>
      <c r="W14" s="14" t="s">
        <v>260</v>
      </c>
      <c r="X14" s="14"/>
      <c r="Y14" s="48" t="s">
        <v>273</v>
      </c>
    </row>
    <row r="15" customFormat="false" ht="126.75" hidden="false" customHeight="true" outlineLevel="0" collapsed="false">
      <c r="A15" s="29" t="n">
        <v>10</v>
      </c>
      <c r="B15" s="30" t="n">
        <f aca="false">सारांश!$B$4+A15-1</f>
        <v>46350</v>
      </c>
      <c r="C15" s="29" t="str">
        <f aca="false">CHOOSE(WEEKDAY(B15,2),"सोमवार","मंगलवार","बुधवार","गुरुवार","शुक्रवार","शनिवार","रविवार")</f>
        <v>मंगलवार</v>
      </c>
      <c r="D15" s="29" t="n">
        <f aca="false">IF(A15=1,0,INT((A15-2)/7)+1)</f>
        <v>2</v>
      </c>
      <c r="E15" s="29" t="n">
        <f aca="false">(YEAR(B15)-YEAR(सारांश!$B$4))*12+MONTH(B15)-MONTH(सारांश!$B$4)+IF(DAY(B15)&gt;=DAY(सारांश!$B$4),1,0)</f>
        <v>1</v>
      </c>
      <c r="F15" s="31" t="s">
        <v>16</v>
      </c>
      <c r="G15" s="14" t="s">
        <v>261</v>
      </c>
      <c r="H15" s="32" t="s">
        <v>305</v>
      </c>
      <c r="I15" s="32" t="s">
        <v>302</v>
      </c>
      <c r="J15" s="48" t="s">
        <v>303</v>
      </c>
      <c r="K15" s="48" t="s">
        <v>265</v>
      </c>
      <c r="L15" s="14" t="s">
        <v>266</v>
      </c>
      <c r="M15" s="32" t="s">
        <v>306</v>
      </c>
      <c r="N15" s="32" t="s">
        <v>276</v>
      </c>
      <c r="O15" s="32" t="s">
        <v>269</v>
      </c>
      <c r="P15" s="32" t="s">
        <v>270</v>
      </c>
      <c r="Q15" s="14" t="n">
        <v>7.5</v>
      </c>
      <c r="R15" s="32" t="s">
        <v>271</v>
      </c>
      <c r="S15" s="32" t="s">
        <v>272</v>
      </c>
      <c r="T15" s="49" t="s">
        <v>258</v>
      </c>
      <c r="U15" s="49" t="s">
        <v>259</v>
      </c>
      <c r="V15" s="49" t="s">
        <v>259</v>
      </c>
      <c r="W15" s="14" t="s">
        <v>260</v>
      </c>
      <c r="X15" s="14"/>
      <c r="Y15" s="48" t="s">
        <v>273</v>
      </c>
    </row>
    <row r="16" customFormat="false" ht="109.5" hidden="false" customHeight="true" outlineLevel="0" collapsed="false">
      <c r="A16" s="29" t="n">
        <v>11</v>
      </c>
      <c r="B16" s="30" t="n">
        <f aca="false">सारांश!$B$4+A16-1</f>
        <v>46351</v>
      </c>
      <c r="C16" s="29" t="str">
        <f aca="false">CHOOSE(WEEKDAY(B16,2),"सोमवार","मंगलवार","बुधवार","गुरुवार","शुक्रवार","शनिवार","रविवार")</f>
        <v>बुधवार</v>
      </c>
      <c r="D16" s="29" t="n">
        <f aca="false">IF(A16=1,0,INT((A16-2)/7)+1)</f>
        <v>2</v>
      </c>
      <c r="E16" s="29" t="n">
        <f aca="false">(YEAR(B16)-YEAR(सारांश!$B$4))*12+MONTH(B16)-MONTH(सारांश!$B$4)+IF(DAY(B16)&gt;=DAY(सारांश!$B$4),1,0)</f>
        <v>1</v>
      </c>
      <c r="F16" s="31" t="s">
        <v>16</v>
      </c>
      <c r="G16" s="14" t="s">
        <v>261</v>
      </c>
      <c r="H16" s="32" t="s">
        <v>307</v>
      </c>
      <c r="I16" s="32" t="s">
        <v>308</v>
      </c>
      <c r="J16" s="48" t="s">
        <v>309</v>
      </c>
      <c r="K16" s="48" t="s">
        <v>265</v>
      </c>
      <c r="L16" s="14" t="s">
        <v>266</v>
      </c>
      <c r="M16" s="32" t="s">
        <v>310</v>
      </c>
      <c r="N16" s="32" t="s">
        <v>279</v>
      </c>
      <c r="O16" s="32" t="s">
        <v>269</v>
      </c>
      <c r="P16" s="32" t="s">
        <v>270</v>
      </c>
      <c r="Q16" s="14" t="n">
        <v>7.5</v>
      </c>
      <c r="R16" s="32" t="s">
        <v>271</v>
      </c>
      <c r="S16" s="32" t="s">
        <v>272</v>
      </c>
      <c r="T16" s="49" t="s">
        <v>258</v>
      </c>
      <c r="U16" s="49" t="s">
        <v>259</v>
      </c>
      <c r="V16" s="49" t="s">
        <v>259</v>
      </c>
      <c r="W16" s="14" t="s">
        <v>260</v>
      </c>
      <c r="X16" s="14"/>
      <c r="Y16" s="48" t="s">
        <v>273</v>
      </c>
    </row>
    <row r="17" customFormat="false" ht="109.5" hidden="false" customHeight="true" outlineLevel="0" collapsed="false">
      <c r="A17" s="29" t="n">
        <v>12</v>
      </c>
      <c r="B17" s="30" t="n">
        <f aca="false">सारांश!$B$4+A17-1</f>
        <v>46352</v>
      </c>
      <c r="C17" s="29" t="str">
        <f aca="false">CHOOSE(WEEKDAY(B17,2),"सोमवार","मंगलवार","बुधवार","गुरुवार","शुक्रवार","शनिवार","रविवार")</f>
        <v>गुरुवार</v>
      </c>
      <c r="D17" s="29" t="n">
        <f aca="false">IF(A17=1,0,INT((A17-2)/7)+1)</f>
        <v>2</v>
      </c>
      <c r="E17" s="29" t="n">
        <f aca="false">(YEAR(B17)-YEAR(सारांश!$B$4))*12+MONTH(B17)-MONTH(सारांश!$B$4)+IF(DAY(B17)&gt;=DAY(सारांश!$B$4),1,0)</f>
        <v>1</v>
      </c>
      <c r="F17" s="31" t="s">
        <v>16</v>
      </c>
      <c r="G17" s="14" t="s">
        <v>261</v>
      </c>
      <c r="H17" s="32" t="s">
        <v>311</v>
      </c>
      <c r="I17" s="32" t="s">
        <v>308</v>
      </c>
      <c r="J17" s="48" t="s">
        <v>309</v>
      </c>
      <c r="K17" s="48" t="s">
        <v>265</v>
      </c>
      <c r="L17" s="14" t="s">
        <v>266</v>
      </c>
      <c r="M17" s="32" t="s">
        <v>312</v>
      </c>
      <c r="N17" s="32" t="s">
        <v>284</v>
      </c>
      <c r="O17" s="32" t="s">
        <v>269</v>
      </c>
      <c r="P17" s="32" t="s">
        <v>270</v>
      </c>
      <c r="Q17" s="14" t="n">
        <v>7.5</v>
      </c>
      <c r="R17" s="32" t="s">
        <v>271</v>
      </c>
      <c r="S17" s="32" t="s">
        <v>272</v>
      </c>
      <c r="T17" s="49" t="s">
        <v>258</v>
      </c>
      <c r="U17" s="49" t="s">
        <v>259</v>
      </c>
      <c r="V17" s="49" t="s">
        <v>259</v>
      </c>
      <c r="W17" s="14" t="s">
        <v>260</v>
      </c>
      <c r="X17" s="14"/>
      <c r="Y17" s="48" t="s">
        <v>273</v>
      </c>
    </row>
    <row r="18" customFormat="false" ht="109.5" hidden="false" customHeight="true" outlineLevel="0" collapsed="false">
      <c r="A18" s="29" t="n">
        <v>13</v>
      </c>
      <c r="B18" s="30" t="n">
        <f aca="false">सारांश!$B$4+A18-1</f>
        <v>46353</v>
      </c>
      <c r="C18" s="29" t="str">
        <f aca="false">CHOOSE(WEEKDAY(B18,2),"सोमवार","मंगलवार","बुधवार","गुरुवार","शुक्रवार","शनिवार","रविवार")</f>
        <v>शुक्रवार</v>
      </c>
      <c r="D18" s="29" t="n">
        <f aca="false">IF(A18=1,0,INT((A18-2)/7)+1)</f>
        <v>2</v>
      </c>
      <c r="E18" s="29" t="n">
        <f aca="false">(YEAR(B18)-YEAR(सारांश!$B$4))*12+MONTH(B18)-MONTH(सारांश!$B$4)+IF(DAY(B18)&gt;=DAY(सारांश!$B$4),1,0)</f>
        <v>1</v>
      </c>
      <c r="F18" s="31" t="s">
        <v>16</v>
      </c>
      <c r="G18" s="14" t="s">
        <v>261</v>
      </c>
      <c r="H18" s="32" t="s">
        <v>313</v>
      </c>
      <c r="I18" s="32" t="s">
        <v>308</v>
      </c>
      <c r="J18" s="48" t="s">
        <v>309</v>
      </c>
      <c r="K18" s="48" t="s">
        <v>265</v>
      </c>
      <c r="L18" s="14" t="s">
        <v>266</v>
      </c>
      <c r="M18" s="32" t="s">
        <v>314</v>
      </c>
      <c r="N18" s="32" t="s">
        <v>287</v>
      </c>
      <c r="O18" s="32" t="s">
        <v>269</v>
      </c>
      <c r="P18" s="32" t="s">
        <v>270</v>
      </c>
      <c r="Q18" s="14" t="n">
        <v>7.5</v>
      </c>
      <c r="R18" s="32" t="s">
        <v>271</v>
      </c>
      <c r="S18" s="32" t="s">
        <v>272</v>
      </c>
      <c r="T18" s="49" t="s">
        <v>258</v>
      </c>
      <c r="U18" s="49" t="s">
        <v>259</v>
      </c>
      <c r="V18" s="49" t="s">
        <v>259</v>
      </c>
      <c r="W18" s="14" t="s">
        <v>260</v>
      </c>
      <c r="X18" s="14"/>
      <c r="Y18" s="48" t="s">
        <v>273</v>
      </c>
    </row>
    <row r="19" customFormat="false" ht="126.75" hidden="false" customHeight="true" outlineLevel="0" collapsed="false">
      <c r="A19" s="29" t="n">
        <v>14</v>
      </c>
      <c r="B19" s="30" t="n">
        <f aca="false">सारांश!$B$4+A19-1</f>
        <v>46354</v>
      </c>
      <c r="C19" s="29" t="str">
        <f aca="false">CHOOSE(WEEKDAY(B19,2),"सोमवार","मंगलवार","बुधवार","गुरुवार","शुक्रवार","शनिवार","रविवार")</f>
        <v>शनिवार</v>
      </c>
      <c r="D19" s="29" t="n">
        <f aca="false">IF(A19=1,0,INT((A19-2)/7)+1)</f>
        <v>2</v>
      </c>
      <c r="E19" s="29" t="n">
        <f aca="false">(YEAR(B19)-YEAR(सारांश!$B$4))*12+MONTH(B19)-MONTH(सारांश!$B$4)+IF(DAY(B19)&gt;=DAY(सारांश!$B$4),1,0)</f>
        <v>1</v>
      </c>
      <c r="F19" s="31" t="s">
        <v>16</v>
      </c>
      <c r="G19" s="14" t="s">
        <v>261</v>
      </c>
      <c r="H19" s="32" t="s">
        <v>315</v>
      </c>
      <c r="I19" s="32" t="s">
        <v>316</v>
      </c>
      <c r="J19" s="48" t="s">
        <v>317</v>
      </c>
      <c r="K19" s="48" t="s">
        <v>265</v>
      </c>
      <c r="L19" s="14" t="s">
        <v>266</v>
      </c>
      <c r="M19" s="32" t="s">
        <v>318</v>
      </c>
      <c r="N19" s="32" t="s">
        <v>290</v>
      </c>
      <c r="O19" s="32" t="s">
        <v>269</v>
      </c>
      <c r="P19" s="32" t="s">
        <v>270</v>
      </c>
      <c r="Q19" s="14" t="n">
        <v>7.5</v>
      </c>
      <c r="R19" s="32" t="s">
        <v>271</v>
      </c>
      <c r="S19" s="32" t="s">
        <v>272</v>
      </c>
      <c r="T19" s="49" t="s">
        <v>258</v>
      </c>
      <c r="U19" s="49" t="s">
        <v>259</v>
      </c>
      <c r="V19" s="49" t="s">
        <v>259</v>
      </c>
      <c r="W19" s="14" t="s">
        <v>260</v>
      </c>
      <c r="X19" s="14"/>
      <c r="Y19" s="48" t="s">
        <v>273</v>
      </c>
    </row>
    <row r="20" customFormat="false" ht="93" hidden="false" customHeight="true" outlineLevel="0" collapsed="false">
      <c r="A20" s="50" t="n">
        <v>15</v>
      </c>
      <c r="B20" s="51" t="n">
        <f aca="false">सारांश!$B$4+A20-1</f>
        <v>46355</v>
      </c>
      <c r="C20" s="50" t="str">
        <f aca="false">CHOOSE(WEEKDAY(B20,2),"सोमवार","मंगलवार","बुधवार","गुरुवार","शुक्रवार","शनिवार","रविवार")</f>
        <v>रविवार</v>
      </c>
      <c r="D20" s="50" t="n">
        <f aca="false">IF(A20=1,0,INT((A20-2)/7)+1)</f>
        <v>2</v>
      </c>
      <c r="E20" s="50" t="n">
        <f aca="false">(YEAR(B20)-YEAR(सारांश!$B$4))*12+MONTH(B20)-MONTH(सारांश!$B$4)+IF(DAY(B20)&gt;=DAY(सारांश!$B$4),1,0)</f>
        <v>1</v>
      </c>
      <c r="F20" s="52" t="s">
        <v>16</v>
      </c>
      <c r="G20" s="50" t="s">
        <v>291</v>
      </c>
      <c r="H20" s="52" t="s">
        <v>127</v>
      </c>
      <c r="I20" s="52" t="s">
        <v>319</v>
      </c>
      <c r="J20" s="53" t="s">
        <v>293</v>
      </c>
      <c r="K20" s="53" t="s">
        <v>294</v>
      </c>
      <c r="L20" s="50" t="s">
        <v>295</v>
      </c>
      <c r="M20" s="52" t="s">
        <v>296</v>
      </c>
      <c r="N20" s="52" t="s">
        <v>297</v>
      </c>
      <c r="O20" s="52" t="s">
        <v>298</v>
      </c>
      <c r="P20" s="52" t="s">
        <v>299</v>
      </c>
      <c r="Q20" s="50" t="n">
        <v>6</v>
      </c>
      <c r="R20" s="52" t="s">
        <v>300</v>
      </c>
      <c r="S20" s="52" t="s">
        <v>257</v>
      </c>
      <c r="T20" s="54" t="s">
        <v>258</v>
      </c>
      <c r="U20" s="54" t="s">
        <v>259</v>
      </c>
      <c r="V20" s="54" t="s">
        <v>259</v>
      </c>
      <c r="W20" s="50" t="s">
        <v>260</v>
      </c>
      <c r="X20" s="50"/>
    </row>
    <row r="21" customFormat="false" ht="126.75" hidden="false" customHeight="true" outlineLevel="0" collapsed="false">
      <c r="A21" s="29" t="n">
        <v>16</v>
      </c>
      <c r="B21" s="30" t="n">
        <f aca="false">सारांश!$B$4+A21-1</f>
        <v>46356</v>
      </c>
      <c r="C21" s="29" t="str">
        <f aca="false">CHOOSE(WEEKDAY(B21,2),"सोमवार","मंगलवार","बुधवार","गुरुवार","शुक्रवार","शनिवार","रविवार")</f>
        <v>सोमवार</v>
      </c>
      <c r="D21" s="29" t="n">
        <f aca="false">IF(A21=1,0,INT((A21-2)/7)+1)</f>
        <v>3</v>
      </c>
      <c r="E21" s="29" t="n">
        <f aca="false">(YEAR(B21)-YEAR(सारांश!$B$4))*12+MONTH(B21)-MONTH(सारांश!$B$4)+IF(DAY(B21)&gt;=DAY(सारांश!$B$4),1,0)</f>
        <v>1</v>
      </c>
      <c r="F21" s="31" t="s">
        <v>16</v>
      </c>
      <c r="G21" s="14" t="s">
        <v>261</v>
      </c>
      <c r="H21" s="32" t="s">
        <v>320</v>
      </c>
      <c r="I21" s="32" t="s">
        <v>321</v>
      </c>
      <c r="J21" s="48" t="s">
        <v>322</v>
      </c>
      <c r="K21" s="48" t="s">
        <v>265</v>
      </c>
      <c r="L21" s="14" t="s">
        <v>266</v>
      </c>
      <c r="M21" s="32" t="s">
        <v>323</v>
      </c>
      <c r="N21" s="32" t="s">
        <v>268</v>
      </c>
      <c r="O21" s="32" t="s">
        <v>269</v>
      </c>
      <c r="P21" s="32" t="s">
        <v>270</v>
      </c>
      <c r="Q21" s="14" t="n">
        <v>7.5</v>
      </c>
      <c r="R21" s="32" t="s">
        <v>271</v>
      </c>
      <c r="S21" s="32" t="s">
        <v>272</v>
      </c>
      <c r="T21" s="49" t="s">
        <v>258</v>
      </c>
      <c r="U21" s="49" t="s">
        <v>259</v>
      </c>
      <c r="V21" s="49" t="s">
        <v>259</v>
      </c>
      <c r="W21" s="14" t="s">
        <v>260</v>
      </c>
      <c r="X21" s="14"/>
      <c r="Y21" s="48" t="s">
        <v>273</v>
      </c>
    </row>
    <row r="22" customFormat="false" ht="126.75" hidden="false" customHeight="true" outlineLevel="0" collapsed="false">
      <c r="A22" s="29" t="n">
        <v>17</v>
      </c>
      <c r="B22" s="30" t="n">
        <f aca="false">सारांश!$B$4+A22-1</f>
        <v>46357</v>
      </c>
      <c r="C22" s="29" t="str">
        <f aca="false">CHOOSE(WEEKDAY(B22,2),"सोमवार","मंगलवार","बुधवार","गुरुवार","शुक्रवार","शनिवार","रविवार")</f>
        <v>मंगलवार</v>
      </c>
      <c r="D22" s="29" t="n">
        <f aca="false">IF(A22=1,0,INT((A22-2)/7)+1)</f>
        <v>3</v>
      </c>
      <c r="E22" s="29" t="n">
        <f aca="false">(YEAR(B22)-YEAR(सारांश!$B$4))*12+MONTH(B22)-MONTH(सारांश!$B$4)+IF(DAY(B22)&gt;=DAY(सारांश!$B$4),1,0)</f>
        <v>1</v>
      </c>
      <c r="F22" s="31" t="s">
        <v>16</v>
      </c>
      <c r="G22" s="14" t="s">
        <v>261</v>
      </c>
      <c r="H22" s="32" t="s">
        <v>324</v>
      </c>
      <c r="I22" s="32" t="s">
        <v>321</v>
      </c>
      <c r="J22" s="48" t="s">
        <v>322</v>
      </c>
      <c r="K22" s="48" t="s">
        <v>265</v>
      </c>
      <c r="L22" s="14" t="s">
        <v>266</v>
      </c>
      <c r="M22" s="32" t="s">
        <v>325</v>
      </c>
      <c r="N22" s="32" t="s">
        <v>276</v>
      </c>
      <c r="O22" s="32" t="s">
        <v>269</v>
      </c>
      <c r="P22" s="32" t="s">
        <v>270</v>
      </c>
      <c r="Q22" s="14" t="n">
        <v>7.5</v>
      </c>
      <c r="R22" s="32" t="s">
        <v>271</v>
      </c>
      <c r="S22" s="32" t="s">
        <v>272</v>
      </c>
      <c r="T22" s="49" t="s">
        <v>258</v>
      </c>
      <c r="U22" s="49" t="s">
        <v>259</v>
      </c>
      <c r="V22" s="49" t="s">
        <v>259</v>
      </c>
      <c r="W22" s="14" t="s">
        <v>260</v>
      </c>
      <c r="X22" s="14"/>
      <c r="Y22" s="48" t="s">
        <v>273</v>
      </c>
    </row>
    <row r="23" customFormat="false" ht="126.75" hidden="false" customHeight="true" outlineLevel="0" collapsed="false">
      <c r="A23" s="29" t="n">
        <v>18</v>
      </c>
      <c r="B23" s="30" t="n">
        <f aca="false">सारांश!$B$4+A23-1</f>
        <v>46358</v>
      </c>
      <c r="C23" s="29" t="str">
        <f aca="false">CHOOSE(WEEKDAY(B23,2),"सोमवार","मंगलवार","बुधवार","गुरुवार","शुक्रवार","शनिवार","रविवार")</f>
        <v>बुधवार</v>
      </c>
      <c r="D23" s="29" t="n">
        <f aca="false">IF(A23=1,0,INT((A23-2)/7)+1)</f>
        <v>3</v>
      </c>
      <c r="E23" s="29" t="n">
        <f aca="false">(YEAR(B23)-YEAR(सारांश!$B$4))*12+MONTH(B23)-MONTH(सारांश!$B$4)+IF(DAY(B23)&gt;=DAY(सारांश!$B$4),1,0)</f>
        <v>1</v>
      </c>
      <c r="F23" s="31" t="s">
        <v>16</v>
      </c>
      <c r="G23" s="14" t="s">
        <v>261</v>
      </c>
      <c r="H23" s="32" t="s">
        <v>326</v>
      </c>
      <c r="I23" s="32" t="s">
        <v>321</v>
      </c>
      <c r="J23" s="48" t="s">
        <v>322</v>
      </c>
      <c r="K23" s="48" t="s">
        <v>265</v>
      </c>
      <c r="L23" s="14" t="s">
        <v>266</v>
      </c>
      <c r="M23" s="32" t="s">
        <v>327</v>
      </c>
      <c r="N23" s="32" t="s">
        <v>279</v>
      </c>
      <c r="O23" s="32" t="s">
        <v>269</v>
      </c>
      <c r="P23" s="32" t="s">
        <v>270</v>
      </c>
      <c r="Q23" s="14" t="n">
        <v>7.5</v>
      </c>
      <c r="R23" s="32" t="s">
        <v>271</v>
      </c>
      <c r="S23" s="32" t="s">
        <v>272</v>
      </c>
      <c r="T23" s="49" t="s">
        <v>258</v>
      </c>
      <c r="U23" s="49" t="s">
        <v>259</v>
      </c>
      <c r="V23" s="49" t="s">
        <v>259</v>
      </c>
      <c r="W23" s="14" t="s">
        <v>260</v>
      </c>
      <c r="X23" s="14"/>
      <c r="Y23" s="48" t="s">
        <v>273</v>
      </c>
    </row>
    <row r="24" customFormat="false" ht="126.75" hidden="false" customHeight="true" outlineLevel="0" collapsed="false">
      <c r="A24" s="29" t="n">
        <v>19</v>
      </c>
      <c r="B24" s="30" t="n">
        <f aca="false">सारांश!$B$4+A24-1</f>
        <v>46359</v>
      </c>
      <c r="C24" s="29" t="str">
        <f aca="false">CHOOSE(WEEKDAY(B24,2),"सोमवार","मंगलवार","बुधवार","गुरुवार","शुक्रवार","शनिवार","रविवार")</f>
        <v>गुरुवार</v>
      </c>
      <c r="D24" s="29" t="n">
        <f aca="false">IF(A24=1,0,INT((A24-2)/7)+1)</f>
        <v>3</v>
      </c>
      <c r="E24" s="29" t="n">
        <f aca="false">(YEAR(B24)-YEAR(सारांश!$B$4))*12+MONTH(B24)-MONTH(सारांश!$B$4)+IF(DAY(B24)&gt;=DAY(सारांश!$B$4),1,0)</f>
        <v>1</v>
      </c>
      <c r="F24" s="31" t="s">
        <v>16</v>
      </c>
      <c r="G24" s="14" t="s">
        <v>261</v>
      </c>
      <c r="H24" s="32" t="s">
        <v>328</v>
      </c>
      <c r="I24" s="32" t="s">
        <v>329</v>
      </c>
      <c r="J24" s="48" t="s">
        <v>330</v>
      </c>
      <c r="K24" s="48" t="s">
        <v>265</v>
      </c>
      <c r="L24" s="14" t="s">
        <v>266</v>
      </c>
      <c r="M24" s="32" t="s">
        <v>331</v>
      </c>
      <c r="N24" s="32" t="s">
        <v>284</v>
      </c>
      <c r="O24" s="32" t="s">
        <v>269</v>
      </c>
      <c r="P24" s="32" t="s">
        <v>270</v>
      </c>
      <c r="Q24" s="14" t="n">
        <v>7.5</v>
      </c>
      <c r="R24" s="32" t="s">
        <v>271</v>
      </c>
      <c r="S24" s="32" t="s">
        <v>272</v>
      </c>
      <c r="T24" s="49" t="s">
        <v>258</v>
      </c>
      <c r="U24" s="49" t="s">
        <v>259</v>
      </c>
      <c r="V24" s="49" t="s">
        <v>259</v>
      </c>
      <c r="W24" s="14" t="s">
        <v>260</v>
      </c>
      <c r="X24" s="14"/>
      <c r="Y24" s="48" t="s">
        <v>273</v>
      </c>
    </row>
    <row r="25" customFormat="false" ht="126.75" hidden="false" customHeight="true" outlineLevel="0" collapsed="false">
      <c r="A25" s="29" t="n">
        <v>20</v>
      </c>
      <c r="B25" s="30" t="n">
        <f aca="false">सारांश!$B$4+A25-1</f>
        <v>46360</v>
      </c>
      <c r="C25" s="29" t="str">
        <f aca="false">CHOOSE(WEEKDAY(B25,2),"सोमवार","मंगलवार","बुधवार","गुरुवार","शुक्रवार","शनिवार","रविवार")</f>
        <v>शुक्रवार</v>
      </c>
      <c r="D25" s="29" t="n">
        <f aca="false">IF(A25=1,0,INT((A25-2)/7)+1)</f>
        <v>3</v>
      </c>
      <c r="E25" s="29" t="n">
        <f aca="false">(YEAR(B25)-YEAR(सारांश!$B$4))*12+MONTH(B25)-MONTH(सारांश!$B$4)+IF(DAY(B25)&gt;=DAY(सारांश!$B$4),1,0)</f>
        <v>1</v>
      </c>
      <c r="F25" s="31" t="s">
        <v>16</v>
      </c>
      <c r="G25" s="14" t="s">
        <v>261</v>
      </c>
      <c r="H25" s="32" t="s">
        <v>332</v>
      </c>
      <c r="I25" s="32" t="s">
        <v>329</v>
      </c>
      <c r="J25" s="48" t="s">
        <v>330</v>
      </c>
      <c r="K25" s="48" t="s">
        <v>265</v>
      </c>
      <c r="L25" s="14" t="s">
        <v>266</v>
      </c>
      <c r="M25" s="32" t="s">
        <v>333</v>
      </c>
      <c r="N25" s="32" t="s">
        <v>287</v>
      </c>
      <c r="O25" s="32" t="s">
        <v>269</v>
      </c>
      <c r="P25" s="32" t="s">
        <v>270</v>
      </c>
      <c r="Q25" s="14" t="n">
        <v>7.5</v>
      </c>
      <c r="R25" s="32" t="s">
        <v>271</v>
      </c>
      <c r="S25" s="32" t="s">
        <v>272</v>
      </c>
      <c r="T25" s="49" t="s">
        <v>258</v>
      </c>
      <c r="U25" s="49" t="s">
        <v>259</v>
      </c>
      <c r="V25" s="49" t="s">
        <v>259</v>
      </c>
      <c r="W25" s="14" t="s">
        <v>260</v>
      </c>
      <c r="X25" s="14"/>
      <c r="Y25" s="48" t="s">
        <v>273</v>
      </c>
    </row>
    <row r="26" customFormat="false" ht="109.5" hidden="false" customHeight="true" outlineLevel="0" collapsed="false">
      <c r="A26" s="29" t="n">
        <v>21</v>
      </c>
      <c r="B26" s="30" t="n">
        <f aca="false">सारांश!$B$4+A26-1</f>
        <v>46361</v>
      </c>
      <c r="C26" s="29" t="str">
        <f aca="false">CHOOSE(WEEKDAY(B26,2),"सोमवार","मंगलवार","बुधवार","गुरुवार","शुक्रवार","शनिवार","रविवार")</f>
        <v>शनिवार</v>
      </c>
      <c r="D26" s="29" t="n">
        <f aca="false">IF(A26=1,0,INT((A26-2)/7)+1)</f>
        <v>3</v>
      </c>
      <c r="E26" s="29" t="n">
        <f aca="false">(YEAR(B26)-YEAR(सारांश!$B$4))*12+MONTH(B26)-MONTH(सारांश!$B$4)+IF(DAY(B26)&gt;=DAY(सारांश!$B$4),1,0)</f>
        <v>1</v>
      </c>
      <c r="F26" s="31" t="s">
        <v>16</v>
      </c>
      <c r="G26" s="14" t="s">
        <v>261</v>
      </c>
      <c r="H26" s="32" t="s">
        <v>334</v>
      </c>
      <c r="I26" s="32" t="s">
        <v>335</v>
      </c>
      <c r="J26" s="48" t="s">
        <v>336</v>
      </c>
      <c r="K26" s="48" t="s">
        <v>265</v>
      </c>
      <c r="L26" s="14" t="s">
        <v>266</v>
      </c>
      <c r="M26" s="32" t="s">
        <v>337</v>
      </c>
      <c r="N26" s="32" t="s">
        <v>290</v>
      </c>
      <c r="O26" s="32" t="s">
        <v>269</v>
      </c>
      <c r="P26" s="32" t="s">
        <v>270</v>
      </c>
      <c r="Q26" s="14" t="n">
        <v>7.5</v>
      </c>
      <c r="R26" s="32" t="s">
        <v>271</v>
      </c>
      <c r="S26" s="32" t="s">
        <v>272</v>
      </c>
      <c r="T26" s="49" t="s">
        <v>258</v>
      </c>
      <c r="U26" s="49" t="s">
        <v>259</v>
      </c>
      <c r="V26" s="49" t="s">
        <v>259</v>
      </c>
      <c r="W26" s="14" t="s">
        <v>260</v>
      </c>
      <c r="X26" s="14"/>
      <c r="Y26" s="48" t="s">
        <v>273</v>
      </c>
    </row>
    <row r="27" customFormat="false" ht="93" hidden="false" customHeight="true" outlineLevel="0" collapsed="false">
      <c r="A27" s="50" t="n">
        <v>22</v>
      </c>
      <c r="B27" s="51" t="n">
        <f aca="false">सारांश!$B$4+A27-1</f>
        <v>46362</v>
      </c>
      <c r="C27" s="50" t="str">
        <f aca="false">CHOOSE(WEEKDAY(B27,2),"सोमवार","मंगलवार","बुधवार","गुरुवार","शुक्रवार","शनिवार","रविवार")</f>
        <v>रविवार</v>
      </c>
      <c r="D27" s="50" t="n">
        <f aca="false">IF(A27=1,0,INT((A27-2)/7)+1)</f>
        <v>3</v>
      </c>
      <c r="E27" s="50" t="n">
        <f aca="false">(YEAR(B27)-YEAR(सारांश!$B$4))*12+MONTH(B27)-MONTH(सारांश!$B$4)+IF(DAY(B27)&gt;=DAY(सारांश!$B$4),1,0)</f>
        <v>1</v>
      </c>
      <c r="F27" s="52" t="s">
        <v>16</v>
      </c>
      <c r="G27" s="50" t="s">
        <v>291</v>
      </c>
      <c r="H27" s="52" t="s">
        <v>127</v>
      </c>
      <c r="I27" s="52" t="s">
        <v>338</v>
      </c>
      <c r="J27" s="53" t="s">
        <v>293</v>
      </c>
      <c r="K27" s="53" t="s">
        <v>294</v>
      </c>
      <c r="L27" s="50" t="s">
        <v>295</v>
      </c>
      <c r="M27" s="52" t="s">
        <v>296</v>
      </c>
      <c r="N27" s="52" t="s">
        <v>297</v>
      </c>
      <c r="O27" s="52" t="s">
        <v>298</v>
      </c>
      <c r="P27" s="52" t="s">
        <v>299</v>
      </c>
      <c r="Q27" s="50" t="n">
        <v>6</v>
      </c>
      <c r="R27" s="52" t="s">
        <v>300</v>
      </c>
      <c r="S27" s="52" t="s">
        <v>257</v>
      </c>
      <c r="T27" s="54" t="s">
        <v>258</v>
      </c>
      <c r="U27" s="54" t="s">
        <v>259</v>
      </c>
      <c r="V27" s="54" t="s">
        <v>259</v>
      </c>
      <c r="W27" s="50" t="s">
        <v>260</v>
      </c>
      <c r="X27" s="50"/>
    </row>
    <row r="28" customFormat="false" ht="109.5" hidden="false" customHeight="true" outlineLevel="0" collapsed="false">
      <c r="A28" s="29" t="n">
        <v>23</v>
      </c>
      <c r="B28" s="30" t="n">
        <f aca="false">सारांश!$B$4+A28-1</f>
        <v>46363</v>
      </c>
      <c r="C28" s="29" t="str">
        <f aca="false">CHOOSE(WEEKDAY(B28,2),"सोमवार","मंगलवार","बुधवार","गुरुवार","शुक्रवार","शनिवार","रविवार")</f>
        <v>सोमवार</v>
      </c>
      <c r="D28" s="29" t="n">
        <f aca="false">IF(A28=1,0,INT((A28-2)/7)+1)</f>
        <v>4</v>
      </c>
      <c r="E28" s="29" t="n">
        <f aca="false">(YEAR(B28)-YEAR(सारांश!$B$4))*12+MONTH(B28)-MONTH(सारांश!$B$4)+IF(DAY(B28)&gt;=DAY(सारांश!$B$4),1,0)</f>
        <v>1</v>
      </c>
      <c r="F28" s="31" t="s">
        <v>16</v>
      </c>
      <c r="G28" s="14" t="s">
        <v>261</v>
      </c>
      <c r="H28" s="32" t="s">
        <v>339</v>
      </c>
      <c r="I28" s="32" t="s">
        <v>335</v>
      </c>
      <c r="J28" s="48" t="s">
        <v>336</v>
      </c>
      <c r="K28" s="48" t="s">
        <v>265</v>
      </c>
      <c r="L28" s="14" t="s">
        <v>266</v>
      </c>
      <c r="M28" s="32" t="s">
        <v>340</v>
      </c>
      <c r="N28" s="32" t="s">
        <v>268</v>
      </c>
      <c r="O28" s="32" t="s">
        <v>269</v>
      </c>
      <c r="P28" s="32" t="s">
        <v>270</v>
      </c>
      <c r="Q28" s="14" t="n">
        <v>7.5</v>
      </c>
      <c r="R28" s="32" t="s">
        <v>271</v>
      </c>
      <c r="S28" s="32" t="s">
        <v>272</v>
      </c>
      <c r="T28" s="49" t="s">
        <v>258</v>
      </c>
      <c r="U28" s="49" t="s">
        <v>259</v>
      </c>
      <c r="V28" s="49" t="s">
        <v>259</v>
      </c>
      <c r="W28" s="14" t="s">
        <v>260</v>
      </c>
      <c r="X28" s="14"/>
      <c r="Y28" s="48" t="s">
        <v>273</v>
      </c>
    </row>
    <row r="29" customFormat="false" ht="109.5" hidden="false" customHeight="true" outlineLevel="0" collapsed="false">
      <c r="A29" s="29" t="n">
        <v>24</v>
      </c>
      <c r="B29" s="30" t="n">
        <f aca="false">सारांश!$B$4+A29-1</f>
        <v>46364</v>
      </c>
      <c r="C29" s="29" t="str">
        <f aca="false">CHOOSE(WEEKDAY(B29,2),"सोमवार","मंगलवार","बुधवार","गुरुवार","शुक्रवार","शनिवार","रविवार")</f>
        <v>मंगलवार</v>
      </c>
      <c r="D29" s="29" t="n">
        <f aca="false">IF(A29=1,0,INT((A29-2)/7)+1)</f>
        <v>4</v>
      </c>
      <c r="E29" s="29" t="n">
        <f aca="false">(YEAR(B29)-YEAR(सारांश!$B$4))*12+MONTH(B29)-MONTH(सारांश!$B$4)+IF(DAY(B29)&gt;=DAY(सारांश!$B$4),1,0)</f>
        <v>1</v>
      </c>
      <c r="F29" s="31" t="s">
        <v>16</v>
      </c>
      <c r="G29" s="14" t="s">
        <v>261</v>
      </c>
      <c r="H29" s="32" t="s">
        <v>341</v>
      </c>
      <c r="I29" s="32" t="s">
        <v>335</v>
      </c>
      <c r="J29" s="48" t="s">
        <v>336</v>
      </c>
      <c r="K29" s="48" t="s">
        <v>265</v>
      </c>
      <c r="L29" s="14" t="s">
        <v>266</v>
      </c>
      <c r="M29" s="32" t="s">
        <v>342</v>
      </c>
      <c r="N29" s="32" t="s">
        <v>276</v>
      </c>
      <c r="O29" s="32" t="s">
        <v>269</v>
      </c>
      <c r="P29" s="32" t="s">
        <v>270</v>
      </c>
      <c r="Q29" s="14" t="n">
        <v>7.5</v>
      </c>
      <c r="R29" s="32" t="s">
        <v>271</v>
      </c>
      <c r="S29" s="32" t="s">
        <v>272</v>
      </c>
      <c r="T29" s="49" t="s">
        <v>258</v>
      </c>
      <c r="U29" s="49" t="s">
        <v>259</v>
      </c>
      <c r="V29" s="49" t="s">
        <v>259</v>
      </c>
      <c r="W29" s="14" t="s">
        <v>260</v>
      </c>
      <c r="X29" s="14"/>
      <c r="Y29" s="48" t="s">
        <v>273</v>
      </c>
    </row>
    <row r="30" customFormat="false" ht="109.5" hidden="false" customHeight="true" outlineLevel="0" collapsed="false">
      <c r="A30" s="29" t="n">
        <v>25</v>
      </c>
      <c r="B30" s="30" t="n">
        <f aca="false">सारांश!$B$4+A30-1</f>
        <v>46365</v>
      </c>
      <c r="C30" s="29" t="str">
        <f aca="false">CHOOSE(WEEKDAY(B30,2),"सोमवार","मंगलवार","बुधवार","गुरुवार","शुक्रवार","शनिवार","रविवार")</f>
        <v>बुधवार</v>
      </c>
      <c r="D30" s="29" t="n">
        <f aca="false">IF(A30=1,0,INT((A30-2)/7)+1)</f>
        <v>4</v>
      </c>
      <c r="E30" s="29" t="n">
        <f aca="false">(YEAR(B30)-YEAR(सारांश!$B$4))*12+MONTH(B30)-MONTH(सारांश!$B$4)+IF(DAY(B30)&gt;=DAY(सारांश!$B$4),1,0)</f>
        <v>1</v>
      </c>
      <c r="F30" s="31" t="s">
        <v>16</v>
      </c>
      <c r="G30" s="14" t="s">
        <v>261</v>
      </c>
      <c r="H30" s="32" t="s">
        <v>343</v>
      </c>
      <c r="I30" s="32" t="s">
        <v>344</v>
      </c>
      <c r="J30" s="48" t="s">
        <v>345</v>
      </c>
      <c r="K30" s="48" t="s">
        <v>265</v>
      </c>
      <c r="L30" s="14" t="s">
        <v>266</v>
      </c>
      <c r="M30" s="32" t="s">
        <v>346</v>
      </c>
      <c r="N30" s="32" t="s">
        <v>279</v>
      </c>
      <c r="O30" s="32" t="s">
        <v>269</v>
      </c>
      <c r="P30" s="32" t="s">
        <v>270</v>
      </c>
      <c r="Q30" s="14" t="n">
        <v>7.5</v>
      </c>
      <c r="R30" s="32" t="s">
        <v>271</v>
      </c>
      <c r="S30" s="32" t="s">
        <v>272</v>
      </c>
      <c r="T30" s="49" t="s">
        <v>258</v>
      </c>
      <c r="U30" s="49" t="s">
        <v>259</v>
      </c>
      <c r="V30" s="49" t="s">
        <v>259</v>
      </c>
      <c r="W30" s="14" t="s">
        <v>260</v>
      </c>
      <c r="X30" s="14"/>
      <c r="Y30" s="48" t="s">
        <v>273</v>
      </c>
    </row>
    <row r="31" customFormat="false" ht="109.5" hidden="false" customHeight="true" outlineLevel="0" collapsed="false">
      <c r="A31" s="29" t="n">
        <v>26</v>
      </c>
      <c r="B31" s="30" t="n">
        <f aca="false">सारांश!$B$4+A31-1</f>
        <v>46366</v>
      </c>
      <c r="C31" s="29" t="str">
        <f aca="false">CHOOSE(WEEKDAY(B31,2),"सोमवार","मंगलवार","बुधवार","गुरुवार","शुक्रवार","शनिवार","रविवार")</f>
        <v>गुरुवार</v>
      </c>
      <c r="D31" s="29" t="n">
        <f aca="false">IF(A31=1,0,INT((A31-2)/7)+1)</f>
        <v>4</v>
      </c>
      <c r="E31" s="29" t="n">
        <f aca="false">(YEAR(B31)-YEAR(सारांश!$B$4))*12+MONTH(B31)-MONTH(सारांश!$B$4)+IF(DAY(B31)&gt;=DAY(सारांश!$B$4),1,0)</f>
        <v>1</v>
      </c>
      <c r="F31" s="31" t="s">
        <v>16</v>
      </c>
      <c r="G31" s="14" t="s">
        <v>261</v>
      </c>
      <c r="H31" s="32" t="s">
        <v>347</v>
      </c>
      <c r="I31" s="32" t="s">
        <v>348</v>
      </c>
      <c r="J31" s="48" t="s">
        <v>349</v>
      </c>
      <c r="K31" s="48" t="s">
        <v>265</v>
      </c>
      <c r="L31" s="14" t="s">
        <v>266</v>
      </c>
      <c r="M31" s="32" t="s">
        <v>350</v>
      </c>
      <c r="N31" s="32" t="s">
        <v>284</v>
      </c>
      <c r="O31" s="32" t="s">
        <v>269</v>
      </c>
      <c r="P31" s="32" t="s">
        <v>270</v>
      </c>
      <c r="Q31" s="14" t="n">
        <v>7.5</v>
      </c>
      <c r="R31" s="32" t="s">
        <v>271</v>
      </c>
      <c r="S31" s="32" t="s">
        <v>272</v>
      </c>
      <c r="T31" s="49" t="s">
        <v>258</v>
      </c>
      <c r="U31" s="49" t="s">
        <v>259</v>
      </c>
      <c r="V31" s="49" t="s">
        <v>259</v>
      </c>
      <c r="W31" s="14" t="s">
        <v>260</v>
      </c>
      <c r="X31" s="14"/>
      <c r="Y31" s="48" t="s">
        <v>273</v>
      </c>
    </row>
    <row r="32" customFormat="false" ht="109.5" hidden="false" customHeight="true" outlineLevel="0" collapsed="false">
      <c r="A32" s="29" t="n">
        <v>27</v>
      </c>
      <c r="B32" s="30" t="n">
        <f aca="false">सारांश!$B$4+A32-1</f>
        <v>46367</v>
      </c>
      <c r="C32" s="29" t="str">
        <f aca="false">CHOOSE(WEEKDAY(B32,2),"सोमवार","मंगलवार","बुधवार","गुरुवार","शुक्रवार","शनिवार","रविवार")</f>
        <v>शुक्रवार</v>
      </c>
      <c r="D32" s="29" t="n">
        <f aca="false">IF(A32=1,0,INT((A32-2)/7)+1)</f>
        <v>4</v>
      </c>
      <c r="E32" s="29" t="n">
        <f aca="false">(YEAR(B32)-YEAR(सारांश!$B$4))*12+MONTH(B32)-MONTH(सारांश!$B$4)+IF(DAY(B32)&gt;=DAY(सारांश!$B$4),1,0)</f>
        <v>1</v>
      </c>
      <c r="F32" s="31" t="s">
        <v>16</v>
      </c>
      <c r="G32" s="14" t="s">
        <v>261</v>
      </c>
      <c r="H32" s="32" t="s">
        <v>351</v>
      </c>
      <c r="I32" s="32" t="s">
        <v>348</v>
      </c>
      <c r="J32" s="48" t="s">
        <v>349</v>
      </c>
      <c r="K32" s="48" t="s">
        <v>265</v>
      </c>
      <c r="L32" s="14" t="s">
        <v>266</v>
      </c>
      <c r="M32" s="32" t="s">
        <v>352</v>
      </c>
      <c r="N32" s="32" t="s">
        <v>287</v>
      </c>
      <c r="O32" s="32" t="s">
        <v>269</v>
      </c>
      <c r="P32" s="32" t="s">
        <v>270</v>
      </c>
      <c r="Q32" s="14" t="n">
        <v>7.5</v>
      </c>
      <c r="R32" s="32" t="s">
        <v>271</v>
      </c>
      <c r="S32" s="32" t="s">
        <v>272</v>
      </c>
      <c r="T32" s="49" t="s">
        <v>258</v>
      </c>
      <c r="U32" s="49" t="s">
        <v>259</v>
      </c>
      <c r="V32" s="49" t="s">
        <v>259</v>
      </c>
      <c r="W32" s="14" t="s">
        <v>260</v>
      </c>
      <c r="X32" s="14"/>
      <c r="Y32" s="48" t="s">
        <v>273</v>
      </c>
    </row>
    <row r="33" customFormat="false" ht="109.5" hidden="false" customHeight="true" outlineLevel="0" collapsed="false">
      <c r="A33" s="29" t="n">
        <v>28</v>
      </c>
      <c r="B33" s="30" t="n">
        <f aca="false">सारांश!$B$4+A33-1</f>
        <v>46368</v>
      </c>
      <c r="C33" s="29" t="str">
        <f aca="false">CHOOSE(WEEKDAY(B33,2),"सोमवार","मंगलवार","बुधवार","गुरुवार","शुक्रवार","शनिवार","रविवार")</f>
        <v>शनिवार</v>
      </c>
      <c r="D33" s="29" t="n">
        <f aca="false">IF(A33=1,0,INT((A33-2)/7)+1)</f>
        <v>4</v>
      </c>
      <c r="E33" s="29" t="n">
        <f aca="false">(YEAR(B33)-YEAR(सारांश!$B$4))*12+MONTH(B33)-MONTH(सारांश!$B$4)+IF(DAY(B33)&gt;=DAY(सारांश!$B$4),1,0)</f>
        <v>1</v>
      </c>
      <c r="F33" s="31" t="s">
        <v>16</v>
      </c>
      <c r="G33" s="14" t="s">
        <v>261</v>
      </c>
      <c r="H33" s="32" t="s">
        <v>353</v>
      </c>
      <c r="I33" s="32" t="s">
        <v>348</v>
      </c>
      <c r="J33" s="48" t="s">
        <v>349</v>
      </c>
      <c r="K33" s="48" t="s">
        <v>265</v>
      </c>
      <c r="L33" s="14" t="s">
        <v>266</v>
      </c>
      <c r="M33" s="32" t="s">
        <v>354</v>
      </c>
      <c r="N33" s="32" t="s">
        <v>290</v>
      </c>
      <c r="O33" s="32" t="s">
        <v>269</v>
      </c>
      <c r="P33" s="32" t="s">
        <v>270</v>
      </c>
      <c r="Q33" s="14" t="n">
        <v>7.5</v>
      </c>
      <c r="R33" s="32" t="s">
        <v>271</v>
      </c>
      <c r="S33" s="32" t="s">
        <v>272</v>
      </c>
      <c r="T33" s="49" t="s">
        <v>258</v>
      </c>
      <c r="U33" s="49" t="s">
        <v>259</v>
      </c>
      <c r="V33" s="49" t="s">
        <v>259</v>
      </c>
      <c r="W33" s="14" t="s">
        <v>260</v>
      </c>
      <c r="X33" s="14"/>
      <c r="Y33" s="48" t="s">
        <v>273</v>
      </c>
    </row>
    <row r="34" customFormat="false" ht="75.75" hidden="false" customHeight="true" outlineLevel="0" collapsed="false">
      <c r="A34" s="50" t="n">
        <v>29</v>
      </c>
      <c r="B34" s="51" t="n">
        <f aca="false">सारांश!$B$4+A34-1</f>
        <v>46369</v>
      </c>
      <c r="C34" s="50" t="str">
        <f aca="false">CHOOSE(WEEKDAY(B34,2),"सोमवार","मंगलवार","बुधवार","गुरुवार","शुक्रवार","शनिवार","रविवार")</f>
        <v>रविवार</v>
      </c>
      <c r="D34" s="50" t="n">
        <f aca="false">IF(A34=1,0,INT((A34-2)/7)+1)</f>
        <v>4</v>
      </c>
      <c r="E34" s="50" t="n">
        <f aca="false">(YEAR(B34)-YEAR(सारांश!$B$4))*12+MONTH(B34)-MONTH(सारांश!$B$4)+IF(DAY(B34)&gt;=DAY(सारांश!$B$4),1,0)</f>
        <v>1</v>
      </c>
      <c r="F34" s="52" t="s">
        <v>16</v>
      </c>
      <c r="G34" s="50" t="s">
        <v>291</v>
      </c>
      <c r="H34" s="52" t="s">
        <v>135</v>
      </c>
      <c r="I34" s="52" t="s">
        <v>355</v>
      </c>
      <c r="J34" s="53" t="s">
        <v>293</v>
      </c>
      <c r="K34" s="53" t="s">
        <v>294</v>
      </c>
      <c r="L34" s="50" t="s">
        <v>295</v>
      </c>
      <c r="M34" s="52" t="s">
        <v>296</v>
      </c>
      <c r="N34" s="52" t="s">
        <v>297</v>
      </c>
      <c r="O34" s="52" t="s">
        <v>298</v>
      </c>
      <c r="P34" s="52" t="s">
        <v>299</v>
      </c>
      <c r="Q34" s="50" t="n">
        <v>6</v>
      </c>
      <c r="R34" s="52" t="s">
        <v>300</v>
      </c>
      <c r="S34" s="52" t="s">
        <v>257</v>
      </c>
      <c r="T34" s="54" t="s">
        <v>258</v>
      </c>
      <c r="U34" s="54" t="s">
        <v>259</v>
      </c>
      <c r="V34" s="54" t="s">
        <v>259</v>
      </c>
      <c r="W34" s="50" t="s">
        <v>260</v>
      </c>
      <c r="X34" s="50"/>
    </row>
    <row r="35" customFormat="false" ht="109.5" hidden="false" customHeight="true" outlineLevel="0" collapsed="false">
      <c r="A35" s="29" t="n">
        <v>30</v>
      </c>
      <c r="B35" s="30" t="n">
        <f aca="false">सारांश!$B$4+A35-1</f>
        <v>46370</v>
      </c>
      <c r="C35" s="29" t="str">
        <f aca="false">CHOOSE(WEEKDAY(B35,2),"सोमवार","मंगलवार","बुधवार","गुरुवार","शुक्रवार","शनिवार","रविवार")</f>
        <v>सोमवार</v>
      </c>
      <c r="D35" s="29" t="n">
        <f aca="false">IF(A35=1,0,INT((A35-2)/7)+1)</f>
        <v>5</v>
      </c>
      <c r="E35" s="29" t="n">
        <f aca="false">(YEAR(B35)-YEAR(सारांश!$B$4))*12+MONTH(B35)-MONTH(सारांश!$B$4)+IF(DAY(B35)&gt;=DAY(सारांश!$B$4),1,0)</f>
        <v>1</v>
      </c>
      <c r="F35" s="31" t="s">
        <v>16</v>
      </c>
      <c r="G35" s="14" t="s">
        <v>261</v>
      </c>
      <c r="H35" s="32" t="s">
        <v>356</v>
      </c>
      <c r="I35" s="32" t="s">
        <v>348</v>
      </c>
      <c r="J35" s="48" t="s">
        <v>349</v>
      </c>
      <c r="K35" s="48" t="s">
        <v>265</v>
      </c>
      <c r="L35" s="14" t="s">
        <v>266</v>
      </c>
      <c r="M35" s="32" t="s">
        <v>357</v>
      </c>
      <c r="N35" s="32" t="s">
        <v>268</v>
      </c>
      <c r="O35" s="32" t="s">
        <v>269</v>
      </c>
      <c r="P35" s="32" t="s">
        <v>270</v>
      </c>
      <c r="Q35" s="14" t="n">
        <v>7.5</v>
      </c>
      <c r="R35" s="32" t="s">
        <v>271</v>
      </c>
      <c r="S35" s="32" t="s">
        <v>272</v>
      </c>
      <c r="T35" s="49" t="s">
        <v>258</v>
      </c>
      <c r="U35" s="49" t="s">
        <v>259</v>
      </c>
      <c r="V35" s="49" t="s">
        <v>259</v>
      </c>
      <c r="W35" s="14" t="s">
        <v>260</v>
      </c>
      <c r="X35" s="14"/>
      <c r="Y35" s="48" t="s">
        <v>273</v>
      </c>
    </row>
    <row r="36" customFormat="false" ht="109.5" hidden="false" customHeight="true" outlineLevel="0" collapsed="false">
      <c r="A36" s="29" t="n">
        <v>31</v>
      </c>
      <c r="B36" s="30" t="n">
        <f aca="false">सारांश!$B$4+A36-1</f>
        <v>46371</v>
      </c>
      <c r="C36" s="29" t="str">
        <f aca="false">CHOOSE(WEEKDAY(B36,2),"सोमवार","मंगलवार","बुधवार","गुरुवार","शुक्रवार","शनिवार","रविवार")</f>
        <v>मंगलवार</v>
      </c>
      <c r="D36" s="29" t="n">
        <f aca="false">IF(A36=1,0,INT((A36-2)/7)+1)</f>
        <v>5</v>
      </c>
      <c r="E36" s="29" t="n">
        <f aca="false">(YEAR(B36)-YEAR(सारांश!$B$4))*12+MONTH(B36)-MONTH(सारांश!$B$4)+IF(DAY(B36)&gt;=DAY(सारांश!$B$4),1,0)</f>
        <v>2</v>
      </c>
      <c r="F36" s="31" t="s">
        <v>16</v>
      </c>
      <c r="G36" s="14" t="s">
        <v>261</v>
      </c>
      <c r="H36" s="32" t="s">
        <v>358</v>
      </c>
      <c r="I36" s="32" t="s">
        <v>348</v>
      </c>
      <c r="J36" s="48" t="s">
        <v>349</v>
      </c>
      <c r="K36" s="48" t="s">
        <v>265</v>
      </c>
      <c r="L36" s="14" t="s">
        <v>266</v>
      </c>
      <c r="M36" s="32" t="s">
        <v>359</v>
      </c>
      <c r="N36" s="32" t="s">
        <v>276</v>
      </c>
      <c r="O36" s="32" t="s">
        <v>269</v>
      </c>
      <c r="P36" s="32" t="s">
        <v>270</v>
      </c>
      <c r="Q36" s="14" t="n">
        <v>7.5</v>
      </c>
      <c r="R36" s="32" t="s">
        <v>271</v>
      </c>
      <c r="S36" s="32" t="s">
        <v>272</v>
      </c>
      <c r="T36" s="49" t="s">
        <v>258</v>
      </c>
      <c r="U36" s="49" t="s">
        <v>259</v>
      </c>
      <c r="V36" s="49" t="s">
        <v>259</v>
      </c>
      <c r="W36" s="14" t="s">
        <v>260</v>
      </c>
      <c r="X36" s="14"/>
      <c r="Y36" s="48" t="s">
        <v>273</v>
      </c>
    </row>
    <row r="37" customFormat="false" ht="126.75" hidden="false" customHeight="true" outlineLevel="0" collapsed="false">
      <c r="A37" s="29" t="n">
        <v>32</v>
      </c>
      <c r="B37" s="30" t="n">
        <f aca="false">सारांश!$B$4+A37-1</f>
        <v>46372</v>
      </c>
      <c r="C37" s="29" t="str">
        <f aca="false">CHOOSE(WEEKDAY(B37,2),"सोमवार","मंगलवार","बुधवार","गुरुवार","शुक्रवार","शनिवार","रविवार")</f>
        <v>बुधवार</v>
      </c>
      <c r="D37" s="29" t="n">
        <f aca="false">IF(A37=1,0,INT((A37-2)/7)+1)</f>
        <v>5</v>
      </c>
      <c r="E37" s="29" t="n">
        <f aca="false">(YEAR(B37)-YEAR(सारांश!$B$4))*12+MONTH(B37)-MONTH(सारांश!$B$4)+IF(DAY(B37)&gt;=DAY(सारांश!$B$4),1,0)</f>
        <v>2</v>
      </c>
      <c r="F37" s="31" t="s">
        <v>16</v>
      </c>
      <c r="G37" s="14" t="s">
        <v>261</v>
      </c>
      <c r="H37" s="32" t="s">
        <v>360</v>
      </c>
      <c r="I37" s="32" t="s">
        <v>361</v>
      </c>
      <c r="J37" s="48" t="s">
        <v>362</v>
      </c>
      <c r="K37" s="48" t="s">
        <v>265</v>
      </c>
      <c r="L37" s="14" t="s">
        <v>266</v>
      </c>
      <c r="M37" s="32" t="s">
        <v>363</v>
      </c>
      <c r="N37" s="32" t="s">
        <v>279</v>
      </c>
      <c r="O37" s="32" t="s">
        <v>269</v>
      </c>
      <c r="P37" s="32" t="s">
        <v>270</v>
      </c>
      <c r="Q37" s="14" t="n">
        <v>7.5</v>
      </c>
      <c r="R37" s="32" t="s">
        <v>271</v>
      </c>
      <c r="S37" s="32" t="s">
        <v>272</v>
      </c>
      <c r="T37" s="49" t="s">
        <v>258</v>
      </c>
      <c r="U37" s="49" t="s">
        <v>259</v>
      </c>
      <c r="V37" s="49" t="s">
        <v>259</v>
      </c>
      <c r="W37" s="14" t="s">
        <v>260</v>
      </c>
      <c r="X37" s="14"/>
      <c r="Y37" s="48" t="s">
        <v>273</v>
      </c>
    </row>
    <row r="38" customFormat="false" ht="126.75" hidden="false" customHeight="true" outlineLevel="0" collapsed="false">
      <c r="A38" s="29" t="n">
        <v>33</v>
      </c>
      <c r="B38" s="30" t="n">
        <f aca="false">सारांश!$B$4+A38-1</f>
        <v>46373</v>
      </c>
      <c r="C38" s="29" t="str">
        <f aca="false">CHOOSE(WEEKDAY(B38,2),"सोमवार","मंगलवार","बुधवार","गुरुवार","शुक्रवार","शनिवार","रविवार")</f>
        <v>गुरुवार</v>
      </c>
      <c r="D38" s="29" t="n">
        <f aca="false">IF(A38=1,0,INT((A38-2)/7)+1)</f>
        <v>5</v>
      </c>
      <c r="E38" s="29" t="n">
        <f aca="false">(YEAR(B38)-YEAR(सारांश!$B$4))*12+MONTH(B38)-MONTH(सारांश!$B$4)+IF(DAY(B38)&gt;=DAY(सारांश!$B$4),1,0)</f>
        <v>2</v>
      </c>
      <c r="F38" s="31" t="s">
        <v>16</v>
      </c>
      <c r="G38" s="14" t="s">
        <v>261</v>
      </c>
      <c r="H38" s="32" t="s">
        <v>364</v>
      </c>
      <c r="I38" s="32" t="s">
        <v>365</v>
      </c>
      <c r="J38" s="48" t="s">
        <v>366</v>
      </c>
      <c r="K38" s="48" t="s">
        <v>265</v>
      </c>
      <c r="L38" s="14" t="s">
        <v>266</v>
      </c>
      <c r="M38" s="32" t="s">
        <v>367</v>
      </c>
      <c r="N38" s="32" t="s">
        <v>284</v>
      </c>
      <c r="O38" s="32" t="s">
        <v>269</v>
      </c>
      <c r="P38" s="32" t="s">
        <v>270</v>
      </c>
      <c r="Q38" s="14" t="n">
        <v>7.5</v>
      </c>
      <c r="R38" s="32" t="s">
        <v>271</v>
      </c>
      <c r="S38" s="32" t="s">
        <v>272</v>
      </c>
      <c r="T38" s="49" t="s">
        <v>258</v>
      </c>
      <c r="U38" s="49" t="s">
        <v>259</v>
      </c>
      <c r="V38" s="49" t="s">
        <v>259</v>
      </c>
      <c r="W38" s="14" t="s">
        <v>260</v>
      </c>
      <c r="X38" s="14"/>
      <c r="Y38" s="48" t="s">
        <v>273</v>
      </c>
    </row>
    <row r="39" customFormat="false" ht="126.75" hidden="false" customHeight="true" outlineLevel="0" collapsed="false">
      <c r="A39" s="29" t="n">
        <v>34</v>
      </c>
      <c r="B39" s="30" t="n">
        <f aca="false">सारांश!$B$4+A39-1</f>
        <v>46374</v>
      </c>
      <c r="C39" s="29" t="str">
        <f aca="false">CHOOSE(WEEKDAY(B39,2),"सोमवार","मंगलवार","बुधवार","गुरुवार","शुक्रवार","शनिवार","रविवार")</f>
        <v>शुक्रवार</v>
      </c>
      <c r="D39" s="29" t="n">
        <f aca="false">IF(A39=1,0,INT((A39-2)/7)+1)</f>
        <v>5</v>
      </c>
      <c r="E39" s="29" t="n">
        <f aca="false">(YEAR(B39)-YEAR(सारांश!$B$4))*12+MONTH(B39)-MONTH(सारांश!$B$4)+IF(DAY(B39)&gt;=DAY(सारांश!$B$4),1,0)</f>
        <v>2</v>
      </c>
      <c r="F39" s="31" t="s">
        <v>16</v>
      </c>
      <c r="G39" s="14" t="s">
        <v>261</v>
      </c>
      <c r="H39" s="32" t="s">
        <v>368</v>
      </c>
      <c r="I39" s="32" t="s">
        <v>365</v>
      </c>
      <c r="J39" s="48" t="s">
        <v>366</v>
      </c>
      <c r="K39" s="48" t="s">
        <v>265</v>
      </c>
      <c r="L39" s="14" t="s">
        <v>266</v>
      </c>
      <c r="M39" s="32" t="s">
        <v>369</v>
      </c>
      <c r="N39" s="32" t="s">
        <v>287</v>
      </c>
      <c r="O39" s="32" t="s">
        <v>269</v>
      </c>
      <c r="P39" s="32" t="s">
        <v>270</v>
      </c>
      <c r="Q39" s="14" t="n">
        <v>7.5</v>
      </c>
      <c r="R39" s="32" t="s">
        <v>271</v>
      </c>
      <c r="S39" s="32" t="s">
        <v>272</v>
      </c>
      <c r="T39" s="49" t="s">
        <v>258</v>
      </c>
      <c r="U39" s="49" t="s">
        <v>259</v>
      </c>
      <c r="V39" s="49" t="s">
        <v>259</v>
      </c>
      <c r="W39" s="14" t="s">
        <v>260</v>
      </c>
      <c r="X39" s="14"/>
      <c r="Y39" s="48" t="s">
        <v>273</v>
      </c>
    </row>
    <row r="40" customFormat="false" ht="126.75" hidden="false" customHeight="true" outlineLevel="0" collapsed="false">
      <c r="A40" s="29" t="n">
        <v>35</v>
      </c>
      <c r="B40" s="30" t="n">
        <f aca="false">सारांश!$B$4+A40-1</f>
        <v>46375</v>
      </c>
      <c r="C40" s="29" t="str">
        <f aca="false">CHOOSE(WEEKDAY(B40,2),"सोमवार","मंगलवार","बुधवार","गुरुवार","शुक्रवार","शनिवार","रविवार")</f>
        <v>शनिवार</v>
      </c>
      <c r="D40" s="29" t="n">
        <f aca="false">IF(A40=1,0,INT((A40-2)/7)+1)</f>
        <v>5</v>
      </c>
      <c r="E40" s="29" t="n">
        <f aca="false">(YEAR(B40)-YEAR(सारांश!$B$4))*12+MONTH(B40)-MONTH(सारांश!$B$4)+IF(DAY(B40)&gt;=DAY(सारांश!$B$4),1,0)</f>
        <v>2</v>
      </c>
      <c r="F40" s="31" t="s">
        <v>16</v>
      </c>
      <c r="G40" s="14" t="s">
        <v>261</v>
      </c>
      <c r="H40" s="32" t="s">
        <v>370</v>
      </c>
      <c r="I40" s="32" t="s">
        <v>365</v>
      </c>
      <c r="J40" s="48" t="s">
        <v>366</v>
      </c>
      <c r="K40" s="48" t="s">
        <v>265</v>
      </c>
      <c r="L40" s="14" t="s">
        <v>266</v>
      </c>
      <c r="M40" s="32" t="s">
        <v>371</v>
      </c>
      <c r="N40" s="32" t="s">
        <v>290</v>
      </c>
      <c r="O40" s="32" t="s">
        <v>269</v>
      </c>
      <c r="P40" s="32" t="s">
        <v>270</v>
      </c>
      <c r="Q40" s="14" t="n">
        <v>7.5</v>
      </c>
      <c r="R40" s="32" t="s">
        <v>271</v>
      </c>
      <c r="S40" s="32" t="s">
        <v>272</v>
      </c>
      <c r="T40" s="49" t="s">
        <v>258</v>
      </c>
      <c r="U40" s="49" t="s">
        <v>259</v>
      </c>
      <c r="V40" s="49" t="s">
        <v>259</v>
      </c>
      <c r="W40" s="14" t="s">
        <v>260</v>
      </c>
      <c r="X40" s="14"/>
      <c r="Y40" s="48" t="s">
        <v>273</v>
      </c>
    </row>
    <row r="41" customFormat="false" ht="93" hidden="false" customHeight="true" outlineLevel="0" collapsed="false">
      <c r="A41" s="50" t="n">
        <v>36</v>
      </c>
      <c r="B41" s="51" t="n">
        <f aca="false">सारांश!$B$4+A41-1</f>
        <v>46376</v>
      </c>
      <c r="C41" s="50" t="str">
        <f aca="false">CHOOSE(WEEKDAY(B41,2),"सोमवार","मंगलवार","बुधवार","गुरुवार","शुक्रवार","शनिवार","रविवार")</f>
        <v>रविवार</v>
      </c>
      <c r="D41" s="50" t="n">
        <f aca="false">IF(A41=1,0,INT((A41-2)/7)+1)</f>
        <v>5</v>
      </c>
      <c r="E41" s="50" t="n">
        <f aca="false">(YEAR(B41)-YEAR(सारांश!$B$4))*12+MONTH(B41)-MONTH(सारांश!$B$4)+IF(DAY(B41)&gt;=DAY(सारांश!$B$4),1,0)</f>
        <v>2</v>
      </c>
      <c r="F41" s="52" t="s">
        <v>16</v>
      </c>
      <c r="G41" s="50" t="s">
        <v>291</v>
      </c>
      <c r="H41" s="52" t="s">
        <v>127</v>
      </c>
      <c r="I41" s="52" t="s">
        <v>372</v>
      </c>
      <c r="J41" s="53" t="s">
        <v>293</v>
      </c>
      <c r="K41" s="53" t="s">
        <v>294</v>
      </c>
      <c r="L41" s="50" t="s">
        <v>295</v>
      </c>
      <c r="M41" s="52" t="s">
        <v>296</v>
      </c>
      <c r="N41" s="52" t="s">
        <v>297</v>
      </c>
      <c r="O41" s="52" t="s">
        <v>298</v>
      </c>
      <c r="P41" s="52" t="s">
        <v>299</v>
      </c>
      <c r="Q41" s="50" t="n">
        <v>6</v>
      </c>
      <c r="R41" s="52" t="s">
        <v>300</v>
      </c>
      <c r="S41" s="52" t="s">
        <v>257</v>
      </c>
      <c r="T41" s="54" t="s">
        <v>258</v>
      </c>
      <c r="U41" s="54" t="s">
        <v>259</v>
      </c>
      <c r="V41" s="54" t="s">
        <v>259</v>
      </c>
      <c r="W41" s="50" t="s">
        <v>260</v>
      </c>
      <c r="X41" s="50"/>
    </row>
    <row r="42" customFormat="false" ht="109.5" hidden="false" customHeight="true" outlineLevel="0" collapsed="false">
      <c r="A42" s="29" t="n">
        <v>37</v>
      </c>
      <c r="B42" s="30" t="n">
        <f aca="false">सारांश!$B$4+A42-1</f>
        <v>46377</v>
      </c>
      <c r="C42" s="29" t="str">
        <f aca="false">CHOOSE(WEEKDAY(B42,2),"सोमवार","मंगलवार","बुधवार","गुरुवार","शुक्रवार","शनिवार","रविवार")</f>
        <v>सोमवार</v>
      </c>
      <c r="D42" s="29" t="n">
        <f aca="false">IF(A42=1,0,INT((A42-2)/7)+1)</f>
        <v>6</v>
      </c>
      <c r="E42" s="29" t="n">
        <f aca="false">(YEAR(B42)-YEAR(सारांश!$B$4))*12+MONTH(B42)-MONTH(सारांश!$B$4)+IF(DAY(B42)&gt;=DAY(सारांश!$B$4),1,0)</f>
        <v>2</v>
      </c>
      <c r="F42" s="31" t="s">
        <v>16</v>
      </c>
      <c r="G42" s="14" t="s">
        <v>261</v>
      </c>
      <c r="H42" s="32" t="s">
        <v>373</v>
      </c>
      <c r="I42" s="32" t="s">
        <v>374</v>
      </c>
      <c r="J42" s="48" t="s">
        <v>375</v>
      </c>
      <c r="K42" s="48" t="s">
        <v>265</v>
      </c>
      <c r="L42" s="14" t="s">
        <v>266</v>
      </c>
      <c r="M42" s="32" t="s">
        <v>376</v>
      </c>
      <c r="N42" s="32" t="s">
        <v>268</v>
      </c>
      <c r="O42" s="32" t="s">
        <v>269</v>
      </c>
      <c r="P42" s="32" t="s">
        <v>270</v>
      </c>
      <c r="Q42" s="14" t="n">
        <v>7.5</v>
      </c>
      <c r="R42" s="32" t="s">
        <v>271</v>
      </c>
      <c r="S42" s="32" t="s">
        <v>272</v>
      </c>
      <c r="T42" s="49" t="s">
        <v>258</v>
      </c>
      <c r="U42" s="49" t="s">
        <v>259</v>
      </c>
      <c r="V42" s="49" t="s">
        <v>259</v>
      </c>
      <c r="W42" s="14" t="s">
        <v>260</v>
      </c>
      <c r="X42" s="14"/>
      <c r="Y42" s="48" t="s">
        <v>273</v>
      </c>
    </row>
    <row r="43" customFormat="false" ht="109.5" hidden="false" customHeight="true" outlineLevel="0" collapsed="false">
      <c r="A43" s="29" t="n">
        <v>38</v>
      </c>
      <c r="B43" s="30" t="n">
        <f aca="false">सारांश!$B$4+A43-1</f>
        <v>46378</v>
      </c>
      <c r="C43" s="29" t="str">
        <f aca="false">CHOOSE(WEEKDAY(B43,2),"सोमवार","मंगलवार","बुधवार","गुरुवार","शुक्रवार","शनिवार","रविवार")</f>
        <v>मंगलवार</v>
      </c>
      <c r="D43" s="29" t="n">
        <f aca="false">IF(A43=1,0,INT((A43-2)/7)+1)</f>
        <v>6</v>
      </c>
      <c r="E43" s="29" t="n">
        <f aca="false">(YEAR(B43)-YEAR(सारांश!$B$4))*12+MONTH(B43)-MONTH(सारांश!$B$4)+IF(DAY(B43)&gt;=DAY(सारांश!$B$4),1,0)</f>
        <v>2</v>
      </c>
      <c r="F43" s="31" t="s">
        <v>16</v>
      </c>
      <c r="G43" s="14" t="s">
        <v>261</v>
      </c>
      <c r="H43" s="32" t="s">
        <v>377</v>
      </c>
      <c r="I43" s="32" t="s">
        <v>374</v>
      </c>
      <c r="J43" s="48" t="s">
        <v>375</v>
      </c>
      <c r="K43" s="48" t="s">
        <v>265</v>
      </c>
      <c r="L43" s="14" t="s">
        <v>266</v>
      </c>
      <c r="M43" s="32" t="s">
        <v>378</v>
      </c>
      <c r="N43" s="32" t="s">
        <v>276</v>
      </c>
      <c r="O43" s="32" t="s">
        <v>269</v>
      </c>
      <c r="P43" s="32" t="s">
        <v>270</v>
      </c>
      <c r="Q43" s="14" t="n">
        <v>7.5</v>
      </c>
      <c r="R43" s="32" t="s">
        <v>271</v>
      </c>
      <c r="S43" s="32" t="s">
        <v>272</v>
      </c>
      <c r="T43" s="49" t="s">
        <v>258</v>
      </c>
      <c r="U43" s="49" t="s">
        <v>259</v>
      </c>
      <c r="V43" s="49" t="s">
        <v>259</v>
      </c>
      <c r="W43" s="14" t="s">
        <v>260</v>
      </c>
      <c r="X43" s="14"/>
      <c r="Y43" s="48" t="s">
        <v>273</v>
      </c>
    </row>
    <row r="44" customFormat="false" ht="126.75" hidden="false" customHeight="true" outlineLevel="0" collapsed="false">
      <c r="A44" s="29" t="n">
        <v>39</v>
      </c>
      <c r="B44" s="30" t="n">
        <f aca="false">सारांश!$B$4+A44-1</f>
        <v>46379</v>
      </c>
      <c r="C44" s="29" t="str">
        <f aca="false">CHOOSE(WEEKDAY(B44,2),"सोमवार","मंगलवार","बुधवार","गुरुवार","शुक्रवार","शनिवार","रविवार")</f>
        <v>बुधवार</v>
      </c>
      <c r="D44" s="29" t="n">
        <f aca="false">IF(A44=1,0,INT((A44-2)/7)+1)</f>
        <v>6</v>
      </c>
      <c r="E44" s="29" t="n">
        <f aca="false">(YEAR(B44)-YEAR(सारांश!$B$4))*12+MONTH(B44)-MONTH(सारांश!$B$4)+IF(DAY(B44)&gt;=DAY(सारांश!$B$4),1,0)</f>
        <v>2</v>
      </c>
      <c r="F44" s="31" t="s">
        <v>16</v>
      </c>
      <c r="G44" s="14" t="s">
        <v>261</v>
      </c>
      <c r="H44" s="32" t="s">
        <v>379</v>
      </c>
      <c r="I44" s="32" t="s">
        <v>380</v>
      </c>
      <c r="J44" s="48" t="s">
        <v>381</v>
      </c>
      <c r="K44" s="48" t="s">
        <v>265</v>
      </c>
      <c r="L44" s="14" t="s">
        <v>266</v>
      </c>
      <c r="M44" s="32" t="s">
        <v>382</v>
      </c>
      <c r="N44" s="32" t="s">
        <v>279</v>
      </c>
      <c r="O44" s="32" t="s">
        <v>269</v>
      </c>
      <c r="P44" s="32" t="s">
        <v>270</v>
      </c>
      <c r="Q44" s="14" t="n">
        <v>7.5</v>
      </c>
      <c r="R44" s="32" t="s">
        <v>271</v>
      </c>
      <c r="S44" s="32" t="s">
        <v>272</v>
      </c>
      <c r="T44" s="49" t="s">
        <v>258</v>
      </c>
      <c r="U44" s="49" t="s">
        <v>259</v>
      </c>
      <c r="V44" s="49" t="s">
        <v>259</v>
      </c>
      <c r="W44" s="14" t="s">
        <v>260</v>
      </c>
      <c r="X44" s="14"/>
      <c r="Y44" s="48" t="s">
        <v>273</v>
      </c>
    </row>
    <row r="45" customFormat="false" ht="126.75" hidden="false" customHeight="true" outlineLevel="0" collapsed="false">
      <c r="A45" s="29" t="n">
        <v>40</v>
      </c>
      <c r="B45" s="30" t="n">
        <f aca="false">सारांश!$B$4+A45-1</f>
        <v>46380</v>
      </c>
      <c r="C45" s="29" t="str">
        <f aca="false">CHOOSE(WEEKDAY(B45,2),"सोमवार","मंगलवार","बुधवार","गुरुवार","शुक्रवार","शनिवार","रविवार")</f>
        <v>गुरुवार</v>
      </c>
      <c r="D45" s="29" t="n">
        <f aca="false">IF(A45=1,0,INT((A45-2)/7)+1)</f>
        <v>6</v>
      </c>
      <c r="E45" s="29" t="n">
        <f aca="false">(YEAR(B45)-YEAR(सारांश!$B$4))*12+MONTH(B45)-MONTH(सारांश!$B$4)+IF(DAY(B45)&gt;=DAY(सारांश!$B$4),1,0)</f>
        <v>2</v>
      </c>
      <c r="F45" s="31" t="s">
        <v>16</v>
      </c>
      <c r="G45" s="14" t="s">
        <v>261</v>
      </c>
      <c r="H45" s="32" t="s">
        <v>383</v>
      </c>
      <c r="I45" s="32" t="s">
        <v>384</v>
      </c>
      <c r="J45" s="48" t="s">
        <v>385</v>
      </c>
      <c r="K45" s="48" t="s">
        <v>265</v>
      </c>
      <c r="L45" s="14" t="s">
        <v>266</v>
      </c>
      <c r="M45" s="32" t="s">
        <v>386</v>
      </c>
      <c r="N45" s="32" t="s">
        <v>284</v>
      </c>
      <c r="O45" s="32" t="s">
        <v>269</v>
      </c>
      <c r="P45" s="32" t="s">
        <v>270</v>
      </c>
      <c r="Q45" s="14" t="n">
        <v>7.5</v>
      </c>
      <c r="R45" s="32" t="s">
        <v>271</v>
      </c>
      <c r="S45" s="32" t="s">
        <v>272</v>
      </c>
      <c r="T45" s="49" t="s">
        <v>258</v>
      </c>
      <c r="U45" s="49" t="s">
        <v>259</v>
      </c>
      <c r="V45" s="49" t="s">
        <v>259</v>
      </c>
      <c r="W45" s="14" t="s">
        <v>260</v>
      </c>
      <c r="X45" s="14"/>
      <c r="Y45" s="48" t="s">
        <v>273</v>
      </c>
    </row>
    <row r="46" customFormat="false" ht="126.75" hidden="false" customHeight="true" outlineLevel="0" collapsed="false">
      <c r="A46" s="29" t="n">
        <v>41</v>
      </c>
      <c r="B46" s="30" t="n">
        <f aca="false">सारांश!$B$4+A46-1</f>
        <v>46381</v>
      </c>
      <c r="C46" s="29" t="str">
        <f aca="false">CHOOSE(WEEKDAY(B46,2),"सोमवार","मंगलवार","बुधवार","गुरुवार","शुक्रवार","शनिवार","रविवार")</f>
        <v>शुक्रवार</v>
      </c>
      <c r="D46" s="29" t="n">
        <f aca="false">IF(A46=1,0,INT((A46-2)/7)+1)</f>
        <v>6</v>
      </c>
      <c r="E46" s="29" t="n">
        <f aca="false">(YEAR(B46)-YEAR(सारांश!$B$4))*12+MONTH(B46)-MONTH(सारांश!$B$4)+IF(DAY(B46)&gt;=DAY(सारांश!$B$4),1,0)</f>
        <v>2</v>
      </c>
      <c r="F46" s="31" t="s">
        <v>16</v>
      </c>
      <c r="G46" s="14" t="s">
        <v>261</v>
      </c>
      <c r="H46" s="32" t="s">
        <v>387</v>
      </c>
      <c r="I46" s="32" t="s">
        <v>384</v>
      </c>
      <c r="J46" s="48" t="s">
        <v>385</v>
      </c>
      <c r="K46" s="48" t="s">
        <v>265</v>
      </c>
      <c r="L46" s="14" t="s">
        <v>266</v>
      </c>
      <c r="M46" s="32" t="s">
        <v>388</v>
      </c>
      <c r="N46" s="32" t="s">
        <v>287</v>
      </c>
      <c r="O46" s="32" t="s">
        <v>269</v>
      </c>
      <c r="P46" s="32" t="s">
        <v>270</v>
      </c>
      <c r="Q46" s="14" t="n">
        <v>7.5</v>
      </c>
      <c r="R46" s="32" t="s">
        <v>271</v>
      </c>
      <c r="S46" s="32" t="s">
        <v>272</v>
      </c>
      <c r="T46" s="49" t="s">
        <v>258</v>
      </c>
      <c r="U46" s="49" t="s">
        <v>259</v>
      </c>
      <c r="V46" s="49" t="s">
        <v>259</v>
      </c>
      <c r="W46" s="14" t="s">
        <v>260</v>
      </c>
      <c r="X46" s="14"/>
      <c r="Y46" s="48" t="s">
        <v>273</v>
      </c>
    </row>
    <row r="47" customFormat="false" ht="126.75" hidden="false" customHeight="true" outlineLevel="0" collapsed="false">
      <c r="A47" s="29" t="n">
        <v>42</v>
      </c>
      <c r="B47" s="30" t="n">
        <f aca="false">सारांश!$B$4+A47-1</f>
        <v>46382</v>
      </c>
      <c r="C47" s="29" t="str">
        <f aca="false">CHOOSE(WEEKDAY(B47,2),"सोमवार","मंगलवार","बुधवार","गुरुवार","शुक्रवार","शनिवार","रविवार")</f>
        <v>शनिवार</v>
      </c>
      <c r="D47" s="29" t="n">
        <f aca="false">IF(A47=1,0,INT((A47-2)/7)+1)</f>
        <v>6</v>
      </c>
      <c r="E47" s="29" t="n">
        <f aca="false">(YEAR(B47)-YEAR(सारांश!$B$4))*12+MONTH(B47)-MONTH(सारांश!$B$4)+IF(DAY(B47)&gt;=DAY(सारांश!$B$4),1,0)</f>
        <v>2</v>
      </c>
      <c r="F47" s="31" t="s">
        <v>16</v>
      </c>
      <c r="G47" s="14" t="s">
        <v>261</v>
      </c>
      <c r="H47" s="32" t="s">
        <v>389</v>
      </c>
      <c r="I47" s="32" t="s">
        <v>384</v>
      </c>
      <c r="J47" s="48" t="s">
        <v>385</v>
      </c>
      <c r="K47" s="48" t="s">
        <v>265</v>
      </c>
      <c r="L47" s="14" t="s">
        <v>266</v>
      </c>
      <c r="M47" s="32" t="s">
        <v>390</v>
      </c>
      <c r="N47" s="32" t="s">
        <v>290</v>
      </c>
      <c r="O47" s="32" t="s">
        <v>269</v>
      </c>
      <c r="P47" s="32" t="s">
        <v>270</v>
      </c>
      <c r="Q47" s="14" t="n">
        <v>7.5</v>
      </c>
      <c r="R47" s="32" t="s">
        <v>271</v>
      </c>
      <c r="S47" s="32" t="s">
        <v>272</v>
      </c>
      <c r="T47" s="49" t="s">
        <v>258</v>
      </c>
      <c r="U47" s="49" t="s">
        <v>259</v>
      </c>
      <c r="V47" s="49" t="s">
        <v>259</v>
      </c>
      <c r="W47" s="14" t="s">
        <v>260</v>
      </c>
      <c r="X47" s="14"/>
      <c r="Y47" s="48" t="s">
        <v>273</v>
      </c>
    </row>
    <row r="48" customFormat="false" ht="93" hidden="false" customHeight="true" outlineLevel="0" collapsed="false">
      <c r="A48" s="50" t="n">
        <v>43</v>
      </c>
      <c r="B48" s="51" t="n">
        <f aca="false">सारांश!$B$4+A48-1</f>
        <v>46383</v>
      </c>
      <c r="C48" s="50" t="str">
        <f aca="false">CHOOSE(WEEKDAY(B48,2),"सोमवार","मंगलवार","बुधवार","गुरुवार","शुक्रवार","शनिवार","रविवार")</f>
        <v>रविवार</v>
      </c>
      <c r="D48" s="50" t="n">
        <f aca="false">IF(A48=1,0,INT((A48-2)/7)+1)</f>
        <v>6</v>
      </c>
      <c r="E48" s="50" t="n">
        <f aca="false">(YEAR(B48)-YEAR(सारांश!$B$4))*12+MONTH(B48)-MONTH(सारांश!$B$4)+IF(DAY(B48)&gt;=DAY(सारांश!$B$4),1,0)</f>
        <v>2</v>
      </c>
      <c r="F48" s="52" t="s">
        <v>16</v>
      </c>
      <c r="G48" s="50" t="s">
        <v>291</v>
      </c>
      <c r="H48" s="52" t="s">
        <v>127</v>
      </c>
      <c r="I48" s="52" t="s">
        <v>391</v>
      </c>
      <c r="J48" s="53" t="s">
        <v>293</v>
      </c>
      <c r="K48" s="53" t="s">
        <v>294</v>
      </c>
      <c r="L48" s="50" t="s">
        <v>295</v>
      </c>
      <c r="M48" s="52" t="s">
        <v>296</v>
      </c>
      <c r="N48" s="52" t="s">
        <v>297</v>
      </c>
      <c r="O48" s="52" t="s">
        <v>298</v>
      </c>
      <c r="P48" s="52" t="s">
        <v>299</v>
      </c>
      <c r="Q48" s="50" t="n">
        <v>6</v>
      </c>
      <c r="R48" s="52" t="s">
        <v>300</v>
      </c>
      <c r="S48" s="52" t="s">
        <v>257</v>
      </c>
      <c r="T48" s="54" t="s">
        <v>258</v>
      </c>
      <c r="U48" s="54" t="s">
        <v>259</v>
      </c>
      <c r="V48" s="54" t="s">
        <v>259</v>
      </c>
      <c r="W48" s="50" t="s">
        <v>260</v>
      </c>
      <c r="X48" s="50"/>
    </row>
    <row r="49" customFormat="false" ht="126.75" hidden="false" customHeight="true" outlineLevel="0" collapsed="false">
      <c r="A49" s="29" t="n">
        <v>44</v>
      </c>
      <c r="B49" s="30" t="n">
        <f aca="false">सारांश!$B$4+A49-1</f>
        <v>46384</v>
      </c>
      <c r="C49" s="29" t="str">
        <f aca="false">CHOOSE(WEEKDAY(B49,2),"सोमवार","मंगलवार","बुधवार","गुरुवार","शुक्रवार","शनिवार","रविवार")</f>
        <v>सोमवार</v>
      </c>
      <c r="D49" s="29" t="n">
        <f aca="false">IF(A49=1,0,INT((A49-2)/7)+1)</f>
        <v>7</v>
      </c>
      <c r="E49" s="29" t="n">
        <f aca="false">(YEAR(B49)-YEAR(सारांश!$B$4))*12+MONTH(B49)-MONTH(सारांश!$B$4)+IF(DAY(B49)&gt;=DAY(सारांश!$B$4),1,0)</f>
        <v>2</v>
      </c>
      <c r="F49" s="31" t="s">
        <v>16</v>
      </c>
      <c r="G49" s="14" t="s">
        <v>261</v>
      </c>
      <c r="H49" s="32" t="s">
        <v>392</v>
      </c>
      <c r="I49" s="32" t="s">
        <v>393</v>
      </c>
      <c r="J49" s="48" t="s">
        <v>394</v>
      </c>
      <c r="K49" s="48" t="s">
        <v>265</v>
      </c>
      <c r="L49" s="14" t="s">
        <v>266</v>
      </c>
      <c r="M49" s="32" t="s">
        <v>395</v>
      </c>
      <c r="N49" s="32" t="s">
        <v>268</v>
      </c>
      <c r="O49" s="32" t="s">
        <v>269</v>
      </c>
      <c r="P49" s="32" t="s">
        <v>270</v>
      </c>
      <c r="Q49" s="14" t="n">
        <v>7.5</v>
      </c>
      <c r="R49" s="32" t="s">
        <v>271</v>
      </c>
      <c r="S49" s="32" t="s">
        <v>272</v>
      </c>
      <c r="T49" s="49" t="s">
        <v>258</v>
      </c>
      <c r="U49" s="49" t="s">
        <v>259</v>
      </c>
      <c r="V49" s="49" t="s">
        <v>259</v>
      </c>
      <c r="W49" s="14" t="s">
        <v>260</v>
      </c>
      <c r="X49" s="14"/>
      <c r="Y49" s="48" t="s">
        <v>273</v>
      </c>
    </row>
    <row r="50" customFormat="false" ht="126.75" hidden="false" customHeight="true" outlineLevel="0" collapsed="false">
      <c r="A50" s="29" t="n">
        <v>45</v>
      </c>
      <c r="B50" s="30" t="n">
        <f aca="false">सारांश!$B$4+A50-1</f>
        <v>46385</v>
      </c>
      <c r="C50" s="29" t="str">
        <f aca="false">CHOOSE(WEEKDAY(B50,2),"सोमवार","मंगलवार","बुधवार","गुरुवार","शुक्रवार","शनिवार","रविवार")</f>
        <v>मंगलवार</v>
      </c>
      <c r="D50" s="29" t="n">
        <f aca="false">IF(A50=1,0,INT((A50-2)/7)+1)</f>
        <v>7</v>
      </c>
      <c r="E50" s="29" t="n">
        <f aca="false">(YEAR(B50)-YEAR(सारांश!$B$4))*12+MONTH(B50)-MONTH(सारांश!$B$4)+IF(DAY(B50)&gt;=DAY(सारांश!$B$4),1,0)</f>
        <v>2</v>
      </c>
      <c r="F50" s="31" t="s">
        <v>16</v>
      </c>
      <c r="G50" s="14" t="s">
        <v>261</v>
      </c>
      <c r="H50" s="32" t="s">
        <v>396</v>
      </c>
      <c r="I50" s="32" t="s">
        <v>393</v>
      </c>
      <c r="J50" s="48" t="s">
        <v>394</v>
      </c>
      <c r="K50" s="48" t="s">
        <v>265</v>
      </c>
      <c r="L50" s="14" t="s">
        <v>266</v>
      </c>
      <c r="M50" s="32" t="s">
        <v>397</v>
      </c>
      <c r="N50" s="32" t="s">
        <v>276</v>
      </c>
      <c r="O50" s="32" t="s">
        <v>269</v>
      </c>
      <c r="P50" s="32" t="s">
        <v>270</v>
      </c>
      <c r="Q50" s="14" t="n">
        <v>7.5</v>
      </c>
      <c r="R50" s="32" t="s">
        <v>271</v>
      </c>
      <c r="S50" s="32" t="s">
        <v>272</v>
      </c>
      <c r="T50" s="49" t="s">
        <v>258</v>
      </c>
      <c r="U50" s="49" t="s">
        <v>259</v>
      </c>
      <c r="V50" s="49" t="s">
        <v>259</v>
      </c>
      <c r="W50" s="14" t="s">
        <v>260</v>
      </c>
      <c r="X50" s="14"/>
      <c r="Y50" s="48" t="s">
        <v>273</v>
      </c>
    </row>
    <row r="51" customFormat="false" ht="126.75" hidden="false" customHeight="true" outlineLevel="0" collapsed="false">
      <c r="A51" s="29" t="n">
        <v>46</v>
      </c>
      <c r="B51" s="30" t="n">
        <f aca="false">सारांश!$B$4+A51-1</f>
        <v>46386</v>
      </c>
      <c r="C51" s="29" t="str">
        <f aca="false">CHOOSE(WEEKDAY(B51,2),"सोमवार","मंगलवार","बुधवार","गुरुवार","शुक्रवार","शनिवार","रविवार")</f>
        <v>बुधवार</v>
      </c>
      <c r="D51" s="29" t="n">
        <f aca="false">IF(A51=1,0,INT((A51-2)/7)+1)</f>
        <v>7</v>
      </c>
      <c r="E51" s="29" t="n">
        <f aca="false">(YEAR(B51)-YEAR(सारांश!$B$4))*12+MONTH(B51)-MONTH(सारांश!$B$4)+IF(DAY(B51)&gt;=DAY(सारांश!$B$4),1,0)</f>
        <v>2</v>
      </c>
      <c r="F51" s="31" t="s">
        <v>16</v>
      </c>
      <c r="G51" s="14" t="s">
        <v>261</v>
      </c>
      <c r="H51" s="32" t="s">
        <v>398</v>
      </c>
      <c r="I51" s="32" t="s">
        <v>393</v>
      </c>
      <c r="J51" s="48" t="s">
        <v>394</v>
      </c>
      <c r="K51" s="48" t="s">
        <v>265</v>
      </c>
      <c r="L51" s="14" t="s">
        <v>266</v>
      </c>
      <c r="M51" s="32" t="s">
        <v>399</v>
      </c>
      <c r="N51" s="32" t="s">
        <v>279</v>
      </c>
      <c r="O51" s="32" t="s">
        <v>269</v>
      </c>
      <c r="P51" s="32" t="s">
        <v>270</v>
      </c>
      <c r="Q51" s="14" t="n">
        <v>7.5</v>
      </c>
      <c r="R51" s="32" t="s">
        <v>271</v>
      </c>
      <c r="S51" s="32" t="s">
        <v>272</v>
      </c>
      <c r="T51" s="49" t="s">
        <v>258</v>
      </c>
      <c r="U51" s="49" t="s">
        <v>259</v>
      </c>
      <c r="V51" s="49" t="s">
        <v>259</v>
      </c>
      <c r="W51" s="14" t="s">
        <v>260</v>
      </c>
      <c r="X51" s="14"/>
      <c r="Y51" s="48" t="s">
        <v>273</v>
      </c>
    </row>
    <row r="52" customFormat="false" ht="126.75" hidden="false" customHeight="true" outlineLevel="0" collapsed="false">
      <c r="A52" s="29" t="n">
        <v>47</v>
      </c>
      <c r="B52" s="30" t="n">
        <f aca="false">सारांश!$B$4+A52-1</f>
        <v>46387</v>
      </c>
      <c r="C52" s="29" t="str">
        <f aca="false">CHOOSE(WEEKDAY(B52,2),"सोमवार","मंगलवार","बुधवार","गुरुवार","शुक्रवार","शनिवार","रविवार")</f>
        <v>गुरुवार</v>
      </c>
      <c r="D52" s="29" t="n">
        <f aca="false">IF(A52=1,0,INT((A52-2)/7)+1)</f>
        <v>7</v>
      </c>
      <c r="E52" s="29" t="n">
        <f aca="false">(YEAR(B52)-YEAR(सारांश!$B$4))*12+MONTH(B52)-MONTH(सारांश!$B$4)+IF(DAY(B52)&gt;=DAY(सारांश!$B$4),1,0)</f>
        <v>2</v>
      </c>
      <c r="F52" s="31" t="s">
        <v>16</v>
      </c>
      <c r="G52" s="14" t="s">
        <v>261</v>
      </c>
      <c r="H52" s="32" t="s">
        <v>400</v>
      </c>
      <c r="I52" s="32" t="s">
        <v>393</v>
      </c>
      <c r="J52" s="48" t="s">
        <v>394</v>
      </c>
      <c r="K52" s="48" t="s">
        <v>265</v>
      </c>
      <c r="L52" s="14" t="s">
        <v>266</v>
      </c>
      <c r="M52" s="32" t="s">
        <v>401</v>
      </c>
      <c r="N52" s="32" t="s">
        <v>284</v>
      </c>
      <c r="O52" s="32" t="s">
        <v>269</v>
      </c>
      <c r="P52" s="32" t="s">
        <v>270</v>
      </c>
      <c r="Q52" s="14" t="n">
        <v>7.5</v>
      </c>
      <c r="R52" s="32" t="s">
        <v>271</v>
      </c>
      <c r="S52" s="32" t="s">
        <v>272</v>
      </c>
      <c r="T52" s="49" t="s">
        <v>258</v>
      </c>
      <c r="U52" s="49" t="s">
        <v>259</v>
      </c>
      <c r="V52" s="49" t="s">
        <v>259</v>
      </c>
      <c r="W52" s="14" t="s">
        <v>260</v>
      </c>
      <c r="X52" s="14"/>
      <c r="Y52" s="48" t="s">
        <v>273</v>
      </c>
    </row>
    <row r="53" customFormat="false" ht="126.75" hidden="false" customHeight="true" outlineLevel="0" collapsed="false">
      <c r="A53" s="29" t="n">
        <v>48</v>
      </c>
      <c r="B53" s="30" t="n">
        <f aca="false">सारांश!$B$4+A53-1</f>
        <v>46388</v>
      </c>
      <c r="C53" s="29" t="str">
        <f aca="false">CHOOSE(WEEKDAY(B53,2),"सोमवार","मंगलवार","बुधवार","गुरुवार","शुक्रवार","शनिवार","रविवार")</f>
        <v>शुक्रवार</v>
      </c>
      <c r="D53" s="29" t="n">
        <f aca="false">IF(A53=1,0,INT((A53-2)/7)+1)</f>
        <v>7</v>
      </c>
      <c r="E53" s="29" t="n">
        <f aca="false">(YEAR(B53)-YEAR(सारांश!$B$4))*12+MONTH(B53)-MONTH(सारांश!$B$4)+IF(DAY(B53)&gt;=DAY(सारांश!$B$4),1,0)</f>
        <v>2</v>
      </c>
      <c r="F53" s="31" t="s">
        <v>16</v>
      </c>
      <c r="G53" s="14" t="s">
        <v>261</v>
      </c>
      <c r="H53" s="32" t="s">
        <v>402</v>
      </c>
      <c r="I53" s="32" t="s">
        <v>393</v>
      </c>
      <c r="J53" s="48" t="s">
        <v>394</v>
      </c>
      <c r="K53" s="48" t="s">
        <v>265</v>
      </c>
      <c r="L53" s="14" t="s">
        <v>266</v>
      </c>
      <c r="M53" s="32" t="s">
        <v>403</v>
      </c>
      <c r="N53" s="32" t="s">
        <v>287</v>
      </c>
      <c r="O53" s="32" t="s">
        <v>269</v>
      </c>
      <c r="P53" s="32" t="s">
        <v>270</v>
      </c>
      <c r="Q53" s="14" t="n">
        <v>7.5</v>
      </c>
      <c r="R53" s="32" t="s">
        <v>271</v>
      </c>
      <c r="S53" s="32" t="s">
        <v>272</v>
      </c>
      <c r="T53" s="49" t="s">
        <v>258</v>
      </c>
      <c r="U53" s="49" t="s">
        <v>259</v>
      </c>
      <c r="V53" s="49" t="s">
        <v>259</v>
      </c>
      <c r="W53" s="14" t="s">
        <v>260</v>
      </c>
      <c r="X53" s="14"/>
      <c r="Y53" s="48" t="s">
        <v>273</v>
      </c>
    </row>
    <row r="54" customFormat="false" ht="126.75" hidden="false" customHeight="true" outlineLevel="0" collapsed="false">
      <c r="A54" s="29" t="n">
        <v>49</v>
      </c>
      <c r="B54" s="30" t="n">
        <f aca="false">सारांश!$B$4+A54-1</f>
        <v>46389</v>
      </c>
      <c r="C54" s="29" t="str">
        <f aca="false">CHOOSE(WEEKDAY(B54,2),"सोमवार","मंगलवार","बुधवार","गुरुवार","शुक्रवार","शनिवार","रविवार")</f>
        <v>शनिवार</v>
      </c>
      <c r="D54" s="29" t="n">
        <f aca="false">IF(A54=1,0,INT((A54-2)/7)+1)</f>
        <v>7</v>
      </c>
      <c r="E54" s="29" t="n">
        <f aca="false">(YEAR(B54)-YEAR(सारांश!$B$4))*12+MONTH(B54)-MONTH(सारांश!$B$4)+IF(DAY(B54)&gt;=DAY(सारांश!$B$4),1,0)</f>
        <v>2</v>
      </c>
      <c r="F54" s="31" t="s">
        <v>16</v>
      </c>
      <c r="G54" s="14" t="s">
        <v>261</v>
      </c>
      <c r="H54" s="32" t="s">
        <v>404</v>
      </c>
      <c r="I54" s="32" t="s">
        <v>405</v>
      </c>
      <c r="J54" s="48" t="s">
        <v>406</v>
      </c>
      <c r="K54" s="48" t="s">
        <v>265</v>
      </c>
      <c r="L54" s="14" t="s">
        <v>266</v>
      </c>
      <c r="M54" s="32" t="s">
        <v>407</v>
      </c>
      <c r="N54" s="32" t="s">
        <v>290</v>
      </c>
      <c r="O54" s="32" t="s">
        <v>269</v>
      </c>
      <c r="P54" s="32" t="s">
        <v>270</v>
      </c>
      <c r="Q54" s="14" t="n">
        <v>7.5</v>
      </c>
      <c r="R54" s="32" t="s">
        <v>271</v>
      </c>
      <c r="S54" s="32" t="s">
        <v>272</v>
      </c>
      <c r="T54" s="49" t="s">
        <v>258</v>
      </c>
      <c r="U54" s="49" t="s">
        <v>259</v>
      </c>
      <c r="V54" s="49" t="s">
        <v>259</v>
      </c>
      <c r="W54" s="14" t="s">
        <v>260</v>
      </c>
      <c r="X54" s="14"/>
      <c r="Y54" s="48" t="s">
        <v>273</v>
      </c>
    </row>
    <row r="55" customFormat="false" ht="93" hidden="false" customHeight="true" outlineLevel="0" collapsed="false">
      <c r="A55" s="50" t="n">
        <v>50</v>
      </c>
      <c r="B55" s="51" t="n">
        <f aca="false">सारांश!$B$4+A55-1</f>
        <v>46390</v>
      </c>
      <c r="C55" s="50" t="str">
        <f aca="false">CHOOSE(WEEKDAY(B55,2),"सोमवार","मंगलवार","बुधवार","गुरुवार","शुक्रवार","शनिवार","रविवार")</f>
        <v>रविवार</v>
      </c>
      <c r="D55" s="50" t="n">
        <f aca="false">IF(A55=1,0,INT((A55-2)/7)+1)</f>
        <v>7</v>
      </c>
      <c r="E55" s="50" t="n">
        <f aca="false">(YEAR(B55)-YEAR(सारांश!$B$4))*12+MONTH(B55)-MONTH(सारांश!$B$4)+IF(DAY(B55)&gt;=DAY(सारांश!$B$4),1,0)</f>
        <v>2</v>
      </c>
      <c r="F55" s="52" t="s">
        <v>16</v>
      </c>
      <c r="G55" s="50" t="s">
        <v>291</v>
      </c>
      <c r="H55" s="52" t="s">
        <v>127</v>
      </c>
      <c r="I55" s="52" t="s">
        <v>408</v>
      </c>
      <c r="J55" s="53" t="s">
        <v>293</v>
      </c>
      <c r="K55" s="53" t="s">
        <v>294</v>
      </c>
      <c r="L55" s="50" t="s">
        <v>295</v>
      </c>
      <c r="M55" s="52" t="s">
        <v>296</v>
      </c>
      <c r="N55" s="52" t="s">
        <v>297</v>
      </c>
      <c r="O55" s="52" t="s">
        <v>298</v>
      </c>
      <c r="P55" s="52" t="s">
        <v>299</v>
      </c>
      <c r="Q55" s="50" t="n">
        <v>6</v>
      </c>
      <c r="R55" s="52" t="s">
        <v>300</v>
      </c>
      <c r="S55" s="52" t="s">
        <v>257</v>
      </c>
      <c r="T55" s="54" t="s">
        <v>258</v>
      </c>
      <c r="U55" s="54" t="s">
        <v>259</v>
      </c>
      <c r="V55" s="54" t="s">
        <v>259</v>
      </c>
      <c r="W55" s="50" t="s">
        <v>260</v>
      </c>
      <c r="X55" s="50"/>
    </row>
    <row r="56" customFormat="false" ht="126.75" hidden="false" customHeight="true" outlineLevel="0" collapsed="false">
      <c r="A56" s="29" t="n">
        <v>51</v>
      </c>
      <c r="B56" s="30" t="n">
        <f aca="false">सारांश!$B$4+A56-1</f>
        <v>46391</v>
      </c>
      <c r="C56" s="29" t="str">
        <f aca="false">CHOOSE(WEEKDAY(B56,2),"सोमवार","मंगलवार","बुधवार","गुरुवार","शुक्रवार","शनिवार","रविवार")</f>
        <v>सोमवार</v>
      </c>
      <c r="D56" s="29" t="n">
        <f aca="false">IF(A56=1,0,INT((A56-2)/7)+1)</f>
        <v>8</v>
      </c>
      <c r="E56" s="29" t="n">
        <f aca="false">(YEAR(B56)-YEAR(सारांश!$B$4))*12+MONTH(B56)-MONTH(सारांश!$B$4)+IF(DAY(B56)&gt;=DAY(सारांश!$B$4),1,0)</f>
        <v>2</v>
      </c>
      <c r="F56" s="31" t="s">
        <v>16</v>
      </c>
      <c r="G56" s="14" t="s">
        <v>261</v>
      </c>
      <c r="H56" s="32" t="s">
        <v>409</v>
      </c>
      <c r="I56" s="32" t="s">
        <v>405</v>
      </c>
      <c r="J56" s="48" t="s">
        <v>406</v>
      </c>
      <c r="K56" s="48" t="s">
        <v>265</v>
      </c>
      <c r="L56" s="14" t="s">
        <v>266</v>
      </c>
      <c r="M56" s="32" t="s">
        <v>410</v>
      </c>
      <c r="N56" s="32" t="s">
        <v>268</v>
      </c>
      <c r="O56" s="32" t="s">
        <v>269</v>
      </c>
      <c r="P56" s="32" t="s">
        <v>270</v>
      </c>
      <c r="Q56" s="14" t="n">
        <v>7.5</v>
      </c>
      <c r="R56" s="32" t="s">
        <v>271</v>
      </c>
      <c r="S56" s="32" t="s">
        <v>272</v>
      </c>
      <c r="T56" s="49" t="s">
        <v>258</v>
      </c>
      <c r="U56" s="49" t="s">
        <v>259</v>
      </c>
      <c r="V56" s="49" t="s">
        <v>259</v>
      </c>
      <c r="W56" s="14" t="s">
        <v>260</v>
      </c>
      <c r="X56" s="14"/>
      <c r="Y56" s="48" t="s">
        <v>273</v>
      </c>
    </row>
    <row r="57" customFormat="false" ht="126.75" hidden="false" customHeight="true" outlineLevel="0" collapsed="false">
      <c r="A57" s="29" t="n">
        <v>52</v>
      </c>
      <c r="B57" s="30" t="n">
        <f aca="false">सारांश!$B$4+A57-1</f>
        <v>46392</v>
      </c>
      <c r="C57" s="29" t="str">
        <f aca="false">CHOOSE(WEEKDAY(B57,2),"सोमवार","मंगलवार","बुधवार","गुरुवार","शुक्रवार","शनिवार","रविवार")</f>
        <v>मंगलवार</v>
      </c>
      <c r="D57" s="29" t="n">
        <f aca="false">IF(A57=1,0,INT((A57-2)/7)+1)</f>
        <v>8</v>
      </c>
      <c r="E57" s="29" t="n">
        <f aca="false">(YEAR(B57)-YEAR(सारांश!$B$4))*12+MONTH(B57)-MONTH(सारांश!$B$4)+IF(DAY(B57)&gt;=DAY(सारांश!$B$4),1,0)</f>
        <v>2</v>
      </c>
      <c r="F57" s="31" t="s">
        <v>16</v>
      </c>
      <c r="G57" s="14" t="s">
        <v>261</v>
      </c>
      <c r="H57" s="32" t="s">
        <v>411</v>
      </c>
      <c r="I57" s="32" t="s">
        <v>405</v>
      </c>
      <c r="J57" s="48" t="s">
        <v>406</v>
      </c>
      <c r="K57" s="48" t="s">
        <v>265</v>
      </c>
      <c r="L57" s="14" t="s">
        <v>266</v>
      </c>
      <c r="M57" s="32" t="s">
        <v>412</v>
      </c>
      <c r="N57" s="32" t="s">
        <v>276</v>
      </c>
      <c r="O57" s="32" t="s">
        <v>269</v>
      </c>
      <c r="P57" s="32" t="s">
        <v>270</v>
      </c>
      <c r="Q57" s="14" t="n">
        <v>7.5</v>
      </c>
      <c r="R57" s="32" t="s">
        <v>271</v>
      </c>
      <c r="S57" s="32" t="s">
        <v>272</v>
      </c>
      <c r="T57" s="49" t="s">
        <v>258</v>
      </c>
      <c r="U57" s="49" t="s">
        <v>259</v>
      </c>
      <c r="V57" s="49" t="s">
        <v>259</v>
      </c>
      <c r="W57" s="14" t="s">
        <v>260</v>
      </c>
      <c r="X57" s="14"/>
      <c r="Y57" s="48" t="s">
        <v>273</v>
      </c>
    </row>
    <row r="58" customFormat="false" ht="126.75" hidden="false" customHeight="true" outlineLevel="0" collapsed="false">
      <c r="A58" s="29" t="n">
        <v>53</v>
      </c>
      <c r="B58" s="30" t="n">
        <f aca="false">सारांश!$B$4+A58-1</f>
        <v>46393</v>
      </c>
      <c r="C58" s="29" t="str">
        <f aca="false">CHOOSE(WEEKDAY(B58,2),"सोमवार","मंगलवार","बुधवार","गुरुवार","शुक्रवार","शनिवार","रविवार")</f>
        <v>बुधवार</v>
      </c>
      <c r="D58" s="29" t="n">
        <f aca="false">IF(A58=1,0,INT((A58-2)/7)+1)</f>
        <v>8</v>
      </c>
      <c r="E58" s="29" t="n">
        <f aca="false">(YEAR(B58)-YEAR(सारांश!$B$4))*12+MONTH(B58)-MONTH(सारांश!$B$4)+IF(DAY(B58)&gt;=DAY(सारांश!$B$4),1,0)</f>
        <v>2</v>
      </c>
      <c r="F58" s="31" t="s">
        <v>16</v>
      </c>
      <c r="G58" s="14" t="s">
        <v>261</v>
      </c>
      <c r="H58" s="32" t="s">
        <v>413</v>
      </c>
      <c r="I58" s="32" t="s">
        <v>414</v>
      </c>
      <c r="J58" s="48" t="s">
        <v>415</v>
      </c>
      <c r="K58" s="48" t="s">
        <v>265</v>
      </c>
      <c r="L58" s="14" t="s">
        <v>266</v>
      </c>
      <c r="M58" s="32" t="s">
        <v>416</v>
      </c>
      <c r="N58" s="32" t="s">
        <v>279</v>
      </c>
      <c r="O58" s="32" t="s">
        <v>269</v>
      </c>
      <c r="P58" s="32" t="s">
        <v>270</v>
      </c>
      <c r="Q58" s="14" t="n">
        <v>7.5</v>
      </c>
      <c r="R58" s="32" t="s">
        <v>271</v>
      </c>
      <c r="S58" s="32" t="s">
        <v>272</v>
      </c>
      <c r="T58" s="49" t="s">
        <v>258</v>
      </c>
      <c r="U58" s="49" t="s">
        <v>259</v>
      </c>
      <c r="V58" s="49" t="s">
        <v>259</v>
      </c>
      <c r="W58" s="14" t="s">
        <v>260</v>
      </c>
      <c r="X58" s="14"/>
      <c r="Y58" s="48" t="s">
        <v>273</v>
      </c>
    </row>
    <row r="59" customFormat="false" ht="126.75" hidden="false" customHeight="true" outlineLevel="0" collapsed="false">
      <c r="A59" s="29" t="n">
        <v>54</v>
      </c>
      <c r="B59" s="30" t="n">
        <f aca="false">सारांश!$B$4+A59-1</f>
        <v>46394</v>
      </c>
      <c r="C59" s="29" t="str">
        <f aca="false">CHOOSE(WEEKDAY(B59,2),"सोमवार","मंगलवार","बुधवार","गुरुवार","शुक्रवार","शनिवार","रविवार")</f>
        <v>गुरुवार</v>
      </c>
      <c r="D59" s="29" t="n">
        <f aca="false">IF(A59=1,0,INT((A59-2)/7)+1)</f>
        <v>8</v>
      </c>
      <c r="E59" s="29" t="n">
        <f aca="false">(YEAR(B59)-YEAR(सारांश!$B$4))*12+MONTH(B59)-MONTH(सारांश!$B$4)+IF(DAY(B59)&gt;=DAY(सारांश!$B$4),1,0)</f>
        <v>2</v>
      </c>
      <c r="F59" s="31" t="s">
        <v>16</v>
      </c>
      <c r="G59" s="14" t="s">
        <v>261</v>
      </c>
      <c r="H59" s="32" t="s">
        <v>417</v>
      </c>
      <c r="I59" s="32" t="s">
        <v>418</v>
      </c>
      <c r="J59" s="48" t="s">
        <v>419</v>
      </c>
      <c r="K59" s="48" t="s">
        <v>265</v>
      </c>
      <c r="L59" s="14" t="s">
        <v>266</v>
      </c>
      <c r="M59" s="32" t="s">
        <v>420</v>
      </c>
      <c r="N59" s="32" t="s">
        <v>284</v>
      </c>
      <c r="O59" s="32" t="s">
        <v>269</v>
      </c>
      <c r="P59" s="32" t="s">
        <v>270</v>
      </c>
      <c r="Q59" s="14" t="n">
        <v>7.5</v>
      </c>
      <c r="R59" s="32" t="s">
        <v>271</v>
      </c>
      <c r="S59" s="32" t="s">
        <v>272</v>
      </c>
      <c r="T59" s="49" t="s">
        <v>258</v>
      </c>
      <c r="U59" s="49" t="s">
        <v>259</v>
      </c>
      <c r="V59" s="49" t="s">
        <v>259</v>
      </c>
      <c r="W59" s="14" t="s">
        <v>260</v>
      </c>
      <c r="X59" s="14"/>
      <c r="Y59" s="48" t="s">
        <v>273</v>
      </c>
    </row>
    <row r="60" customFormat="false" ht="126.75" hidden="false" customHeight="true" outlineLevel="0" collapsed="false">
      <c r="A60" s="29" t="n">
        <v>55</v>
      </c>
      <c r="B60" s="30" t="n">
        <f aca="false">सारांश!$B$4+A60-1</f>
        <v>46395</v>
      </c>
      <c r="C60" s="29" t="str">
        <f aca="false">CHOOSE(WEEKDAY(B60,2),"सोमवार","मंगलवार","बुधवार","गुरुवार","शुक्रवार","शनिवार","रविवार")</f>
        <v>शुक्रवार</v>
      </c>
      <c r="D60" s="29" t="n">
        <f aca="false">IF(A60=1,0,INT((A60-2)/7)+1)</f>
        <v>8</v>
      </c>
      <c r="E60" s="29" t="n">
        <f aca="false">(YEAR(B60)-YEAR(सारांश!$B$4))*12+MONTH(B60)-MONTH(सारांश!$B$4)+IF(DAY(B60)&gt;=DAY(सारांश!$B$4),1,0)</f>
        <v>2</v>
      </c>
      <c r="F60" s="31" t="s">
        <v>16</v>
      </c>
      <c r="G60" s="14" t="s">
        <v>261</v>
      </c>
      <c r="H60" s="32" t="s">
        <v>421</v>
      </c>
      <c r="I60" s="32" t="s">
        <v>418</v>
      </c>
      <c r="J60" s="48" t="s">
        <v>419</v>
      </c>
      <c r="K60" s="48" t="s">
        <v>265</v>
      </c>
      <c r="L60" s="14" t="s">
        <v>266</v>
      </c>
      <c r="M60" s="32" t="s">
        <v>422</v>
      </c>
      <c r="N60" s="32" t="s">
        <v>287</v>
      </c>
      <c r="O60" s="32" t="s">
        <v>269</v>
      </c>
      <c r="P60" s="32" t="s">
        <v>270</v>
      </c>
      <c r="Q60" s="14" t="n">
        <v>7.5</v>
      </c>
      <c r="R60" s="32" t="s">
        <v>271</v>
      </c>
      <c r="S60" s="32" t="s">
        <v>272</v>
      </c>
      <c r="T60" s="49" t="s">
        <v>258</v>
      </c>
      <c r="U60" s="49" t="s">
        <v>259</v>
      </c>
      <c r="V60" s="49" t="s">
        <v>259</v>
      </c>
      <c r="W60" s="14" t="s">
        <v>260</v>
      </c>
      <c r="X60" s="14"/>
      <c r="Y60" s="48" t="s">
        <v>273</v>
      </c>
    </row>
    <row r="61" customFormat="false" ht="126.75" hidden="false" customHeight="true" outlineLevel="0" collapsed="false">
      <c r="A61" s="29" t="n">
        <v>56</v>
      </c>
      <c r="B61" s="30" t="n">
        <f aca="false">सारांश!$B$4+A61-1</f>
        <v>46396</v>
      </c>
      <c r="C61" s="29" t="str">
        <f aca="false">CHOOSE(WEEKDAY(B61,2),"सोमवार","मंगलवार","बुधवार","गुरुवार","शुक्रवार","शनिवार","रविवार")</f>
        <v>शनिवार</v>
      </c>
      <c r="D61" s="29" t="n">
        <f aca="false">IF(A61=1,0,INT((A61-2)/7)+1)</f>
        <v>8</v>
      </c>
      <c r="E61" s="29" t="n">
        <f aca="false">(YEAR(B61)-YEAR(सारांश!$B$4))*12+MONTH(B61)-MONTH(सारांश!$B$4)+IF(DAY(B61)&gt;=DAY(सारांश!$B$4),1,0)</f>
        <v>2</v>
      </c>
      <c r="F61" s="31" t="s">
        <v>16</v>
      </c>
      <c r="G61" s="14" t="s">
        <v>261</v>
      </c>
      <c r="H61" s="32" t="s">
        <v>423</v>
      </c>
      <c r="I61" s="32" t="s">
        <v>418</v>
      </c>
      <c r="J61" s="48" t="s">
        <v>419</v>
      </c>
      <c r="K61" s="48" t="s">
        <v>265</v>
      </c>
      <c r="L61" s="14" t="s">
        <v>266</v>
      </c>
      <c r="M61" s="32" t="s">
        <v>424</v>
      </c>
      <c r="N61" s="32" t="s">
        <v>290</v>
      </c>
      <c r="O61" s="32" t="s">
        <v>269</v>
      </c>
      <c r="P61" s="32" t="s">
        <v>270</v>
      </c>
      <c r="Q61" s="14" t="n">
        <v>7.5</v>
      </c>
      <c r="R61" s="32" t="s">
        <v>271</v>
      </c>
      <c r="S61" s="32" t="s">
        <v>272</v>
      </c>
      <c r="T61" s="49" t="s">
        <v>258</v>
      </c>
      <c r="U61" s="49" t="s">
        <v>259</v>
      </c>
      <c r="V61" s="49" t="s">
        <v>259</v>
      </c>
      <c r="W61" s="14" t="s">
        <v>260</v>
      </c>
      <c r="X61" s="14"/>
      <c r="Y61" s="48" t="s">
        <v>273</v>
      </c>
    </row>
    <row r="62" customFormat="false" ht="93" hidden="false" customHeight="true" outlineLevel="0" collapsed="false">
      <c r="A62" s="50" t="n">
        <v>57</v>
      </c>
      <c r="B62" s="51" t="n">
        <f aca="false">सारांश!$B$4+A62-1</f>
        <v>46397</v>
      </c>
      <c r="C62" s="50" t="str">
        <f aca="false">CHOOSE(WEEKDAY(B62,2),"सोमवार","मंगलवार","बुधवार","गुरुवार","शुक्रवार","शनिवार","रविवार")</f>
        <v>रविवार</v>
      </c>
      <c r="D62" s="50" t="n">
        <f aca="false">IF(A62=1,0,INT((A62-2)/7)+1)</f>
        <v>8</v>
      </c>
      <c r="E62" s="50" t="n">
        <f aca="false">(YEAR(B62)-YEAR(सारांश!$B$4))*12+MONTH(B62)-MONTH(सारांश!$B$4)+IF(DAY(B62)&gt;=DAY(सारांश!$B$4),1,0)</f>
        <v>2</v>
      </c>
      <c r="F62" s="52" t="s">
        <v>16</v>
      </c>
      <c r="G62" s="50" t="s">
        <v>291</v>
      </c>
      <c r="H62" s="52" t="s">
        <v>135</v>
      </c>
      <c r="I62" s="52" t="s">
        <v>425</v>
      </c>
      <c r="J62" s="53" t="s">
        <v>293</v>
      </c>
      <c r="K62" s="53" t="s">
        <v>294</v>
      </c>
      <c r="L62" s="50" t="s">
        <v>295</v>
      </c>
      <c r="M62" s="52" t="s">
        <v>296</v>
      </c>
      <c r="N62" s="52" t="s">
        <v>297</v>
      </c>
      <c r="O62" s="52" t="s">
        <v>298</v>
      </c>
      <c r="P62" s="52" t="s">
        <v>299</v>
      </c>
      <c r="Q62" s="50" t="n">
        <v>6</v>
      </c>
      <c r="R62" s="52" t="s">
        <v>300</v>
      </c>
      <c r="S62" s="52" t="s">
        <v>257</v>
      </c>
      <c r="T62" s="54" t="s">
        <v>258</v>
      </c>
      <c r="U62" s="54" t="s">
        <v>259</v>
      </c>
      <c r="V62" s="54" t="s">
        <v>259</v>
      </c>
      <c r="W62" s="50" t="s">
        <v>260</v>
      </c>
      <c r="X62" s="50"/>
    </row>
    <row r="63" customFormat="false" ht="126.75" hidden="false" customHeight="true" outlineLevel="0" collapsed="false">
      <c r="A63" s="29" t="n">
        <v>58</v>
      </c>
      <c r="B63" s="30" t="n">
        <f aca="false">सारांश!$B$4+A63-1</f>
        <v>46398</v>
      </c>
      <c r="C63" s="29" t="str">
        <f aca="false">CHOOSE(WEEKDAY(B63,2),"सोमवार","मंगलवार","बुधवार","गुरुवार","शुक्रवार","शनिवार","रविवार")</f>
        <v>सोमवार</v>
      </c>
      <c r="D63" s="29" t="n">
        <f aca="false">IF(A63=1,0,INT((A63-2)/7)+1)</f>
        <v>9</v>
      </c>
      <c r="E63" s="29" t="n">
        <f aca="false">(YEAR(B63)-YEAR(सारांश!$B$4))*12+MONTH(B63)-MONTH(सारांश!$B$4)+IF(DAY(B63)&gt;=DAY(सारांश!$B$4),1,0)</f>
        <v>2</v>
      </c>
      <c r="F63" s="31" t="s">
        <v>16</v>
      </c>
      <c r="G63" s="14" t="s">
        <v>261</v>
      </c>
      <c r="H63" s="32" t="s">
        <v>426</v>
      </c>
      <c r="I63" s="32" t="s">
        <v>427</v>
      </c>
      <c r="J63" s="48" t="s">
        <v>428</v>
      </c>
      <c r="K63" s="48" t="s">
        <v>265</v>
      </c>
      <c r="L63" s="14" t="s">
        <v>266</v>
      </c>
      <c r="M63" s="32" t="s">
        <v>429</v>
      </c>
      <c r="N63" s="32" t="s">
        <v>268</v>
      </c>
      <c r="O63" s="32" t="s">
        <v>269</v>
      </c>
      <c r="P63" s="32" t="s">
        <v>270</v>
      </c>
      <c r="Q63" s="14" t="n">
        <v>7.5</v>
      </c>
      <c r="R63" s="32" t="s">
        <v>271</v>
      </c>
      <c r="S63" s="32" t="s">
        <v>272</v>
      </c>
      <c r="T63" s="49" t="s">
        <v>258</v>
      </c>
      <c r="U63" s="49" t="s">
        <v>259</v>
      </c>
      <c r="V63" s="49" t="s">
        <v>259</v>
      </c>
      <c r="W63" s="14" t="s">
        <v>260</v>
      </c>
      <c r="X63" s="14"/>
      <c r="Y63" s="48" t="s">
        <v>273</v>
      </c>
    </row>
    <row r="64" customFormat="false" ht="126.75" hidden="false" customHeight="true" outlineLevel="0" collapsed="false">
      <c r="A64" s="29" t="n">
        <v>59</v>
      </c>
      <c r="B64" s="30" t="n">
        <f aca="false">सारांश!$B$4+A64-1</f>
        <v>46399</v>
      </c>
      <c r="C64" s="29" t="str">
        <f aca="false">CHOOSE(WEEKDAY(B64,2),"सोमवार","मंगलवार","बुधवार","गुरुवार","शुक्रवार","शनिवार","रविवार")</f>
        <v>मंगलवार</v>
      </c>
      <c r="D64" s="29" t="n">
        <f aca="false">IF(A64=1,0,INT((A64-2)/7)+1)</f>
        <v>9</v>
      </c>
      <c r="E64" s="29" t="n">
        <f aca="false">(YEAR(B64)-YEAR(सारांश!$B$4))*12+MONTH(B64)-MONTH(सारांश!$B$4)+IF(DAY(B64)&gt;=DAY(सारांश!$B$4),1,0)</f>
        <v>2</v>
      </c>
      <c r="F64" s="31" t="s">
        <v>16</v>
      </c>
      <c r="G64" s="14" t="s">
        <v>261</v>
      </c>
      <c r="H64" s="32" t="s">
        <v>430</v>
      </c>
      <c r="I64" s="32" t="s">
        <v>427</v>
      </c>
      <c r="J64" s="48" t="s">
        <v>428</v>
      </c>
      <c r="K64" s="48" t="s">
        <v>265</v>
      </c>
      <c r="L64" s="14" t="s">
        <v>266</v>
      </c>
      <c r="M64" s="32" t="s">
        <v>431</v>
      </c>
      <c r="N64" s="32" t="s">
        <v>276</v>
      </c>
      <c r="O64" s="32" t="s">
        <v>269</v>
      </c>
      <c r="P64" s="32" t="s">
        <v>270</v>
      </c>
      <c r="Q64" s="14" t="n">
        <v>7.5</v>
      </c>
      <c r="R64" s="32" t="s">
        <v>271</v>
      </c>
      <c r="S64" s="32" t="s">
        <v>272</v>
      </c>
      <c r="T64" s="49" t="s">
        <v>258</v>
      </c>
      <c r="U64" s="49" t="s">
        <v>259</v>
      </c>
      <c r="V64" s="49" t="s">
        <v>259</v>
      </c>
      <c r="W64" s="14" t="s">
        <v>260</v>
      </c>
      <c r="X64" s="14"/>
      <c r="Y64" s="48" t="s">
        <v>273</v>
      </c>
    </row>
    <row r="65" customFormat="false" ht="126.75" hidden="false" customHeight="true" outlineLevel="0" collapsed="false">
      <c r="A65" s="29" t="n">
        <v>60</v>
      </c>
      <c r="B65" s="30" t="n">
        <f aca="false">सारांश!$B$4+A65-1</f>
        <v>46400</v>
      </c>
      <c r="C65" s="29" t="str">
        <f aca="false">CHOOSE(WEEKDAY(B65,2),"सोमवार","मंगलवार","बुधवार","गुरुवार","शुक्रवार","शनिवार","रविवार")</f>
        <v>बुधवार</v>
      </c>
      <c r="D65" s="29" t="n">
        <f aca="false">IF(A65=1,0,INT((A65-2)/7)+1)</f>
        <v>9</v>
      </c>
      <c r="E65" s="29" t="n">
        <f aca="false">(YEAR(B65)-YEAR(सारांश!$B$4))*12+MONTH(B65)-MONTH(सारांश!$B$4)+IF(DAY(B65)&gt;=DAY(सारांश!$B$4),1,0)</f>
        <v>2</v>
      </c>
      <c r="F65" s="31" t="s">
        <v>16</v>
      </c>
      <c r="G65" s="14" t="s">
        <v>261</v>
      </c>
      <c r="H65" s="32" t="s">
        <v>432</v>
      </c>
      <c r="I65" s="32" t="s">
        <v>427</v>
      </c>
      <c r="J65" s="48" t="s">
        <v>428</v>
      </c>
      <c r="K65" s="48" t="s">
        <v>265</v>
      </c>
      <c r="L65" s="14" t="s">
        <v>433</v>
      </c>
      <c r="M65" s="32" t="s">
        <v>434</v>
      </c>
      <c r="N65" s="32" t="s">
        <v>279</v>
      </c>
      <c r="O65" s="32" t="s">
        <v>269</v>
      </c>
      <c r="P65" s="32" t="s">
        <v>270</v>
      </c>
      <c r="Q65" s="14" t="n">
        <v>7.5</v>
      </c>
      <c r="R65" s="32" t="s">
        <v>271</v>
      </c>
      <c r="S65" s="32" t="s">
        <v>435</v>
      </c>
      <c r="T65" s="49" t="s">
        <v>258</v>
      </c>
      <c r="U65" s="49" t="s">
        <v>259</v>
      </c>
      <c r="V65" s="49" t="s">
        <v>259</v>
      </c>
      <c r="W65" s="14" t="s">
        <v>260</v>
      </c>
      <c r="X65" s="14"/>
      <c r="Y65" s="48" t="s">
        <v>273</v>
      </c>
    </row>
    <row r="66" customFormat="false" ht="126.75" hidden="false" customHeight="true" outlineLevel="0" collapsed="false">
      <c r="A66" s="29" t="n">
        <v>61</v>
      </c>
      <c r="B66" s="30" t="n">
        <f aca="false">सारांश!$B$4+A66-1</f>
        <v>46401</v>
      </c>
      <c r="C66" s="29" t="str">
        <f aca="false">CHOOSE(WEEKDAY(B66,2),"सोमवार","मंगलवार","बुधवार","गुरुवार","शुक्रवार","शनिवार","रविवार")</f>
        <v>गुरुवार</v>
      </c>
      <c r="D66" s="29" t="n">
        <f aca="false">IF(A66=1,0,INT((A66-2)/7)+1)</f>
        <v>9</v>
      </c>
      <c r="E66" s="29" t="n">
        <f aca="false">(YEAR(B66)-YEAR(सारांश!$B$4))*12+MONTH(B66)-MONTH(सारांश!$B$4)+IF(DAY(B66)&gt;=DAY(सारांश!$B$4),1,0)</f>
        <v>2</v>
      </c>
      <c r="F66" s="31" t="s">
        <v>16</v>
      </c>
      <c r="G66" s="14" t="s">
        <v>436</v>
      </c>
      <c r="H66" s="32" t="s">
        <v>437</v>
      </c>
      <c r="I66" s="32" t="s">
        <v>438</v>
      </c>
      <c r="J66" s="48" t="s">
        <v>439</v>
      </c>
      <c r="K66" s="48" t="s">
        <v>265</v>
      </c>
      <c r="L66" s="14" t="s">
        <v>433</v>
      </c>
      <c r="M66" s="32" t="s">
        <v>440</v>
      </c>
      <c r="N66" s="32" t="s">
        <v>284</v>
      </c>
      <c r="O66" s="32" t="s">
        <v>269</v>
      </c>
      <c r="P66" s="32" t="s">
        <v>270</v>
      </c>
      <c r="Q66" s="14" t="n">
        <v>7.5</v>
      </c>
      <c r="R66" s="32" t="s">
        <v>441</v>
      </c>
      <c r="S66" s="32" t="s">
        <v>435</v>
      </c>
      <c r="T66" s="49" t="s">
        <v>258</v>
      </c>
      <c r="U66" s="49" t="s">
        <v>259</v>
      </c>
      <c r="V66" s="49" t="s">
        <v>259</v>
      </c>
      <c r="W66" s="14" t="s">
        <v>260</v>
      </c>
      <c r="X66" s="14"/>
      <c r="Y66" s="48" t="s">
        <v>273</v>
      </c>
    </row>
    <row r="67" customFormat="false" ht="126.75" hidden="false" customHeight="true" outlineLevel="0" collapsed="false">
      <c r="A67" s="29" t="n">
        <v>62</v>
      </c>
      <c r="B67" s="30" t="n">
        <f aca="false">सारांश!$B$4+A67-1</f>
        <v>46402</v>
      </c>
      <c r="C67" s="29" t="str">
        <f aca="false">CHOOSE(WEEKDAY(B67,2),"सोमवार","मंगलवार","बुधवार","गुरुवार","शुक्रवार","शनिवार","रविवार")</f>
        <v>शुक्रवार</v>
      </c>
      <c r="D67" s="29" t="n">
        <f aca="false">IF(A67=1,0,INT((A67-2)/7)+1)</f>
        <v>9</v>
      </c>
      <c r="E67" s="29" t="n">
        <f aca="false">(YEAR(B67)-YEAR(सारांश!$B$4))*12+MONTH(B67)-MONTH(सारांश!$B$4)+IF(DAY(B67)&gt;=DAY(सारांश!$B$4),1,0)</f>
        <v>3</v>
      </c>
      <c r="F67" s="31" t="s">
        <v>16</v>
      </c>
      <c r="G67" s="14" t="s">
        <v>436</v>
      </c>
      <c r="H67" s="32" t="s">
        <v>442</v>
      </c>
      <c r="I67" s="32" t="s">
        <v>438</v>
      </c>
      <c r="J67" s="48" t="s">
        <v>439</v>
      </c>
      <c r="K67" s="48" t="s">
        <v>265</v>
      </c>
      <c r="L67" s="14" t="s">
        <v>433</v>
      </c>
      <c r="M67" s="32" t="s">
        <v>443</v>
      </c>
      <c r="N67" s="32" t="s">
        <v>287</v>
      </c>
      <c r="O67" s="32" t="s">
        <v>269</v>
      </c>
      <c r="P67" s="32" t="s">
        <v>270</v>
      </c>
      <c r="Q67" s="14" t="n">
        <v>7.5</v>
      </c>
      <c r="R67" s="32" t="s">
        <v>441</v>
      </c>
      <c r="S67" s="32" t="s">
        <v>435</v>
      </c>
      <c r="T67" s="49" t="s">
        <v>258</v>
      </c>
      <c r="U67" s="49" t="s">
        <v>259</v>
      </c>
      <c r="V67" s="49" t="s">
        <v>259</v>
      </c>
      <c r="W67" s="14" t="s">
        <v>260</v>
      </c>
      <c r="X67" s="14"/>
      <c r="Y67" s="48" t="s">
        <v>273</v>
      </c>
    </row>
    <row r="68" customFormat="false" ht="126.75" hidden="false" customHeight="true" outlineLevel="0" collapsed="false">
      <c r="A68" s="29" t="n">
        <v>63</v>
      </c>
      <c r="B68" s="30" t="n">
        <f aca="false">सारांश!$B$4+A68-1</f>
        <v>46403</v>
      </c>
      <c r="C68" s="29" t="str">
        <f aca="false">CHOOSE(WEEKDAY(B68,2),"सोमवार","मंगलवार","बुधवार","गुरुवार","शुक्रवार","शनिवार","रविवार")</f>
        <v>शनिवार</v>
      </c>
      <c r="D68" s="29" t="n">
        <f aca="false">IF(A68=1,0,INT((A68-2)/7)+1)</f>
        <v>9</v>
      </c>
      <c r="E68" s="29" t="n">
        <f aca="false">(YEAR(B68)-YEAR(सारांश!$B$4))*12+MONTH(B68)-MONTH(सारांश!$B$4)+IF(DAY(B68)&gt;=DAY(सारांश!$B$4),1,0)</f>
        <v>3</v>
      </c>
      <c r="F68" s="31" t="s">
        <v>16</v>
      </c>
      <c r="G68" s="14" t="s">
        <v>436</v>
      </c>
      <c r="H68" s="32" t="s">
        <v>444</v>
      </c>
      <c r="I68" s="32" t="s">
        <v>438</v>
      </c>
      <c r="J68" s="48" t="s">
        <v>439</v>
      </c>
      <c r="K68" s="48" t="s">
        <v>265</v>
      </c>
      <c r="L68" s="14" t="s">
        <v>433</v>
      </c>
      <c r="M68" s="32" t="s">
        <v>445</v>
      </c>
      <c r="N68" s="32" t="s">
        <v>290</v>
      </c>
      <c r="O68" s="32" t="s">
        <v>269</v>
      </c>
      <c r="P68" s="32" t="s">
        <v>270</v>
      </c>
      <c r="Q68" s="14" t="n">
        <v>7.5</v>
      </c>
      <c r="R68" s="32" t="s">
        <v>441</v>
      </c>
      <c r="S68" s="32" t="s">
        <v>435</v>
      </c>
      <c r="T68" s="49" t="s">
        <v>258</v>
      </c>
      <c r="U68" s="49" t="s">
        <v>259</v>
      </c>
      <c r="V68" s="49" t="s">
        <v>259</v>
      </c>
      <c r="W68" s="14" t="s">
        <v>260</v>
      </c>
      <c r="X68" s="14"/>
      <c r="Y68" s="48" t="s">
        <v>273</v>
      </c>
    </row>
    <row r="69" customFormat="false" ht="93" hidden="false" customHeight="true" outlineLevel="0" collapsed="false">
      <c r="A69" s="50" t="n">
        <v>64</v>
      </c>
      <c r="B69" s="51" t="n">
        <f aca="false">सारांश!$B$4+A69-1</f>
        <v>46404</v>
      </c>
      <c r="C69" s="50" t="str">
        <f aca="false">CHOOSE(WEEKDAY(B69,2),"सोमवार","मंगलवार","बुधवार","गुरुवार","शुक्रवार","शनिवार","रविवार")</f>
        <v>रविवार</v>
      </c>
      <c r="D69" s="50" t="n">
        <f aca="false">IF(A69=1,0,INT((A69-2)/7)+1)</f>
        <v>9</v>
      </c>
      <c r="E69" s="50" t="n">
        <f aca="false">(YEAR(B69)-YEAR(सारांश!$B$4))*12+MONTH(B69)-MONTH(सारांश!$B$4)+IF(DAY(B69)&gt;=DAY(सारांश!$B$4),1,0)</f>
        <v>3</v>
      </c>
      <c r="F69" s="52" t="s">
        <v>16</v>
      </c>
      <c r="G69" s="50" t="s">
        <v>291</v>
      </c>
      <c r="H69" s="52" t="s">
        <v>127</v>
      </c>
      <c r="I69" s="52" t="s">
        <v>446</v>
      </c>
      <c r="J69" s="53" t="s">
        <v>293</v>
      </c>
      <c r="K69" s="53" t="s">
        <v>294</v>
      </c>
      <c r="L69" s="50" t="s">
        <v>295</v>
      </c>
      <c r="M69" s="52" t="s">
        <v>296</v>
      </c>
      <c r="N69" s="52" t="s">
        <v>297</v>
      </c>
      <c r="O69" s="52" t="s">
        <v>298</v>
      </c>
      <c r="P69" s="52" t="s">
        <v>299</v>
      </c>
      <c r="Q69" s="50" t="n">
        <v>6</v>
      </c>
      <c r="R69" s="52" t="s">
        <v>300</v>
      </c>
      <c r="S69" s="52" t="s">
        <v>257</v>
      </c>
      <c r="T69" s="54" t="s">
        <v>258</v>
      </c>
      <c r="U69" s="54" t="s">
        <v>259</v>
      </c>
      <c r="V69" s="54" t="s">
        <v>259</v>
      </c>
      <c r="W69" s="50" t="s">
        <v>260</v>
      </c>
      <c r="X69" s="50"/>
    </row>
    <row r="70" customFormat="false" ht="126.75" hidden="false" customHeight="true" outlineLevel="0" collapsed="false">
      <c r="A70" s="29" t="n">
        <v>65</v>
      </c>
      <c r="B70" s="30" t="n">
        <f aca="false">सारांश!$B$4+A70-1</f>
        <v>46405</v>
      </c>
      <c r="C70" s="29" t="str">
        <f aca="false">CHOOSE(WEEKDAY(B70,2),"सोमवार","मंगलवार","बुधवार","गुरुवार","शुक्रवार","शनिवार","रविवार")</f>
        <v>सोमवार</v>
      </c>
      <c r="D70" s="29" t="n">
        <f aca="false">IF(A70=1,0,INT((A70-2)/7)+1)</f>
        <v>10</v>
      </c>
      <c r="E70" s="29" t="n">
        <f aca="false">(YEAR(B70)-YEAR(सारांश!$B$4))*12+MONTH(B70)-MONTH(सारांश!$B$4)+IF(DAY(B70)&gt;=DAY(सारांश!$B$4),1,0)</f>
        <v>3</v>
      </c>
      <c r="F70" s="31" t="s">
        <v>16</v>
      </c>
      <c r="G70" s="14" t="s">
        <v>436</v>
      </c>
      <c r="H70" s="32" t="s">
        <v>447</v>
      </c>
      <c r="I70" s="32" t="s">
        <v>438</v>
      </c>
      <c r="J70" s="48" t="s">
        <v>439</v>
      </c>
      <c r="K70" s="48" t="s">
        <v>265</v>
      </c>
      <c r="L70" s="14" t="s">
        <v>433</v>
      </c>
      <c r="M70" s="32" t="s">
        <v>448</v>
      </c>
      <c r="N70" s="32" t="s">
        <v>268</v>
      </c>
      <c r="O70" s="32" t="s">
        <v>269</v>
      </c>
      <c r="P70" s="32" t="s">
        <v>270</v>
      </c>
      <c r="Q70" s="14" t="n">
        <v>7.5</v>
      </c>
      <c r="R70" s="32" t="s">
        <v>441</v>
      </c>
      <c r="S70" s="32" t="s">
        <v>435</v>
      </c>
      <c r="T70" s="49" t="s">
        <v>258</v>
      </c>
      <c r="U70" s="49" t="s">
        <v>259</v>
      </c>
      <c r="V70" s="49" t="s">
        <v>259</v>
      </c>
      <c r="W70" s="14" t="s">
        <v>260</v>
      </c>
      <c r="X70" s="14"/>
      <c r="Y70" s="48" t="s">
        <v>273</v>
      </c>
    </row>
    <row r="71" customFormat="false" ht="126.75" hidden="false" customHeight="true" outlineLevel="0" collapsed="false">
      <c r="A71" s="29" t="n">
        <v>66</v>
      </c>
      <c r="B71" s="30" t="n">
        <f aca="false">सारांश!$B$4+A71-1</f>
        <v>46406</v>
      </c>
      <c r="C71" s="29" t="str">
        <f aca="false">CHOOSE(WEEKDAY(B71,2),"सोमवार","मंगलवार","बुधवार","गुरुवार","शुक्रवार","शनिवार","रविवार")</f>
        <v>मंगलवार</v>
      </c>
      <c r="D71" s="29" t="n">
        <f aca="false">IF(A71=1,0,INT((A71-2)/7)+1)</f>
        <v>10</v>
      </c>
      <c r="E71" s="29" t="n">
        <f aca="false">(YEAR(B71)-YEAR(सारांश!$B$4))*12+MONTH(B71)-MONTH(सारांश!$B$4)+IF(DAY(B71)&gt;=DAY(सारांश!$B$4),1,0)</f>
        <v>3</v>
      </c>
      <c r="F71" s="31" t="s">
        <v>16</v>
      </c>
      <c r="G71" s="14" t="s">
        <v>436</v>
      </c>
      <c r="H71" s="32" t="s">
        <v>449</v>
      </c>
      <c r="I71" s="32" t="s">
        <v>450</v>
      </c>
      <c r="J71" s="48" t="s">
        <v>451</v>
      </c>
      <c r="K71" s="48" t="s">
        <v>265</v>
      </c>
      <c r="L71" s="14" t="s">
        <v>433</v>
      </c>
      <c r="M71" s="32" t="s">
        <v>452</v>
      </c>
      <c r="N71" s="32" t="s">
        <v>276</v>
      </c>
      <c r="O71" s="32" t="s">
        <v>269</v>
      </c>
      <c r="P71" s="32" t="s">
        <v>270</v>
      </c>
      <c r="Q71" s="14" t="n">
        <v>7.5</v>
      </c>
      <c r="R71" s="32" t="s">
        <v>441</v>
      </c>
      <c r="S71" s="32" t="s">
        <v>435</v>
      </c>
      <c r="T71" s="49" t="s">
        <v>258</v>
      </c>
      <c r="U71" s="49" t="s">
        <v>259</v>
      </c>
      <c r="V71" s="49" t="s">
        <v>259</v>
      </c>
      <c r="W71" s="14" t="s">
        <v>260</v>
      </c>
      <c r="X71" s="14"/>
      <c r="Y71" s="48" t="s">
        <v>273</v>
      </c>
    </row>
    <row r="72" customFormat="false" ht="126.75" hidden="false" customHeight="true" outlineLevel="0" collapsed="false">
      <c r="A72" s="29" t="n">
        <v>67</v>
      </c>
      <c r="B72" s="30" t="n">
        <f aca="false">सारांश!$B$4+A72-1</f>
        <v>46407</v>
      </c>
      <c r="C72" s="29" t="str">
        <f aca="false">CHOOSE(WEEKDAY(B72,2),"सोमवार","मंगलवार","बुधवार","गुरुवार","शुक्रवार","शनिवार","रविवार")</f>
        <v>बुधवार</v>
      </c>
      <c r="D72" s="29" t="n">
        <f aca="false">IF(A72=1,0,INT((A72-2)/7)+1)</f>
        <v>10</v>
      </c>
      <c r="E72" s="29" t="n">
        <f aca="false">(YEAR(B72)-YEAR(सारांश!$B$4))*12+MONTH(B72)-MONTH(सारांश!$B$4)+IF(DAY(B72)&gt;=DAY(सारांश!$B$4),1,0)</f>
        <v>3</v>
      </c>
      <c r="F72" s="31" t="s">
        <v>16</v>
      </c>
      <c r="G72" s="14" t="s">
        <v>436</v>
      </c>
      <c r="H72" s="32" t="s">
        <v>453</v>
      </c>
      <c r="I72" s="32" t="s">
        <v>450</v>
      </c>
      <c r="J72" s="48" t="s">
        <v>451</v>
      </c>
      <c r="K72" s="48" t="s">
        <v>265</v>
      </c>
      <c r="L72" s="14" t="s">
        <v>433</v>
      </c>
      <c r="M72" s="32" t="s">
        <v>454</v>
      </c>
      <c r="N72" s="32" t="s">
        <v>279</v>
      </c>
      <c r="O72" s="32" t="s">
        <v>269</v>
      </c>
      <c r="P72" s="32" t="s">
        <v>270</v>
      </c>
      <c r="Q72" s="14" t="n">
        <v>7.5</v>
      </c>
      <c r="R72" s="32" t="s">
        <v>441</v>
      </c>
      <c r="S72" s="32" t="s">
        <v>435</v>
      </c>
      <c r="T72" s="49" t="s">
        <v>258</v>
      </c>
      <c r="U72" s="49" t="s">
        <v>259</v>
      </c>
      <c r="V72" s="49" t="s">
        <v>259</v>
      </c>
      <c r="W72" s="14" t="s">
        <v>260</v>
      </c>
      <c r="X72" s="14"/>
      <c r="Y72" s="48" t="s">
        <v>273</v>
      </c>
    </row>
    <row r="73" customFormat="false" ht="126.75" hidden="false" customHeight="true" outlineLevel="0" collapsed="false">
      <c r="A73" s="29" t="n">
        <v>68</v>
      </c>
      <c r="B73" s="30" t="n">
        <f aca="false">सारांश!$B$4+A73-1</f>
        <v>46408</v>
      </c>
      <c r="C73" s="29" t="str">
        <f aca="false">CHOOSE(WEEKDAY(B73,2),"सोमवार","मंगलवार","बुधवार","गुरुवार","शुक्रवार","शनिवार","रविवार")</f>
        <v>गुरुवार</v>
      </c>
      <c r="D73" s="29" t="n">
        <f aca="false">IF(A73=1,0,INT((A73-2)/7)+1)</f>
        <v>10</v>
      </c>
      <c r="E73" s="29" t="n">
        <f aca="false">(YEAR(B73)-YEAR(सारांश!$B$4))*12+MONTH(B73)-MONTH(सारांश!$B$4)+IF(DAY(B73)&gt;=DAY(सारांश!$B$4),1,0)</f>
        <v>3</v>
      </c>
      <c r="F73" s="31" t="s">
        <v>16</v>
      </c>
      <c r="G73" s="14" t="s">
        <v>436</v>
      </c>
      <c r="H73" s="32" t="s">
        <v>455</v>
      </c>
      <c r="I73" s="32" t="s">
        <v>450</v>
      </c>
      <c r="J73" s="48" t="s">
        <v>451</v>
      </c>
      <c r="K73" s="48" t="s">
        <v>265</v>
      </c>
      <c r="L73" s="14" t="s">
        <v>433</v>
      </c>
      <c r="M73" s="32" t="s">
        <v>456</v>
      </c>
      <c r="N73" s="32" t="s">
        <v>284</v>
      </c>
      <c r="O73" s="32" t="s">
        <v>269</v>
      </c>
      <c r="P73" s="32" t="s">
        <v>270</v>
      </c>
      <c r="Q73" s="14" t="n">
        <v>7.5</v>
      </c>
      <c r="R73" s="32" t="s">
        <v>441</v>
      </c>
      <c r="S73" s="32" t="s">
        <v>435</v>
      </c>
      <c r="T73" s="49" t="s">
        <v>258</v>
      </c>
      <c r="U73" s="49" t="s">
        <v>259</v>
      </c>
      <c r="V73" s="49" t="s">
        <v>259</v>
      </c>
      <c r="W73" s="14" t="s">
        <v>260</v>
      </c>
      <c r="X73" s="14"/>
      <c r="Y73" s="48" t="s">
        <v>273</v>
      </c>
    </row>
    <row r="74" customFormat="false" ht="126.75" hidden="false" customHeight="true" outlineLevel="0" collapsed="false">
      <c r="A74" s="29" t="n">
        <v>69</v>
      </c>
      <c r="B74" s="30" t="n">
        <f aca="false">सारांश!$B$4+A74-1</f>
        <v>46409</v>
      </c>
      <c r="C74" s="29" t="str">
        <f aca="false">CHOOSE(WEEKDAY(B74,2),"सोमवार","मंगलवार","बुधवार","गुरुवार","शुक्रवार","शनिवार","रविवार")</f>
        <v>शुक्रवार</v>
      </c>
      <c r="D74" s="29" t="n">
        <f aca="false">IF(A74=1,0,INT((A74-2)/7)+1)</f>
        <v>10</v>
      </c>
      <c r="E74" s="29" t="n">
        <f aca="false">(YEAR(B74)-YEAR(सारांश!$B$4))*12+MONTH(B74)-MONTH(सारांश!$B$4)+IF(DAY(B74)&gt;=DAY(सारांश!$B$4),1,0)</f>
        <v>3</v>
      </c>
      <c r="F74" s="31" t="s">
        <v>16</v>
      </c>
      <c r="G74" s="14" t="s">
        <v>436</v>
      </c>
      <c r="H74" s="32" t="s">
        <v>457</v>
      </c>
      <c r="I74" s="32" t="s">
        <v>458</v>
      </c>
      <c r="J74" s="48" t="s">
        <v>459</v>
      </c>
      <c r="K74" s="48" t="s">
        <v>265</v>
      </c>
      <c r="L74" s="14" t="s">
        <v>433</v>
      </c>
      <c r="M74" s="32" t="s">
        <v>460</v>
      </c>
      <c r="N74" s="32" t="s">
        <v>287</v>
      </c>
      <c r="O74" s="32" t="s">
        <v>269</v>
      </c>
      <c r="P74" s="32" t="s">
        <v>270</v>
      </c>
      <c r="Q74" s="14" t="n">
        <v>7.5</v>
      </c>
      <c r="R74" s="32" t="s">
        <v>441</v>
      </c>
      <c r="S74" s="32" t="s">
        <v>435</v>
      </c>
      <c r="T74" s="49" t="s">
        <v>258</v>
      </c>
      <c r="U74" s="49" t="s">
        <v>259</v>
      </c>
      <c r="V74" s="49" t="s">
        <v>259</v>
      </c>
      <c r="W74" s="14" t="s">
        <v>260</v>
      </c>
      <c r="X74" s="14"/>
      <c r="Y74" s="48" t="s">
        <v>273</v>
      </c>
    </row>
    <row r="75" customFormat="false" ht="126.75" hidden="false" customHeight="true" outlineLevel="0" collapsed="false">
      <c r="A75" s="29" t="n">
        <v>70</v>
      </c>
      <c r="B75" s="30" t="n">
        <f aca="false">सारांश!$B$4+A75-1</f>
        <v>46410</v>
      </c>
      <c r="C75" s="29" t="str">
        <f aca="false">CHOOSE(WEEKDAY(B75,2),"सोमवार","मंगलवार","बुधवार","गुरुवार","शुक्रवार","शनिवार","रविवार")</f>
        <v>शनिवार</v>
      </c>
      <c r="D75" s="29" t="n">
        <f aca="false">IF(A75=1,0,INT((A75-2)/7)+1)</f>
        <v>10</v>
      </c>
      <c r="E75" s="29" t="n">
        <f aca="false">(YEAR(B75)-YEAR(सारांश!$B$4))*12+MONTH(B75)-MONTH(सारांश!$B$4)+IF(DAY(B75)&gt;=DAY(सारांश!$B$4),1,0)</f>
        <v>3</v>
      </c>
      <c r="F75" s="31" t="s">
        <v>16</v>
      </c>
      <c r="G75" s="14" t="s">
        <v>436</v>
      </c>
      <c r="H75" s="32" t="s">
        <v>461</v>
      </c>
      <c r="I75" s="32" t="s">
        <v>458</v>
      </c>
      <c r="J75" s="48" t="s">
        <v>459</v>
      </c>
      <c r="K75" s="48" t="s">
        <v>265</v>
      </c>
      <c r="L75" s="14" t="s">
        <v>433</v>
      </c>
      <c r="M75" s="32" t="s">
        <v>462</v>
      </c>
      <c r="N75" s="32" t="s">
        <v>290</v>
      </c>
      <c r="O75" s="32" t="s">
        <v>269</v>
      </c>
      <c r="P75" s="32" t="s">
        <v>270</v>
      </c>
      <c r="Q75" s="14" t="n">
        <v>7.5</v>
      </c>
      <c r="R75" s="32" t="s">
        <v>441</v>
      </c>
      <c r="S75" s="32" t="s">
        <v>435</v>
      </c>
      <c r="T75" s="49" t="s">
        <v>258</v>
      </c>
      <c r="U75" s="49" t="s">
        <v>259</v>
      </c>
      <c r="V75" s="49" t="s">
        <v>259</v>
      </c>
      <c r="W75" s="14" t="s">
        <v>260</v>
      </c>
      <c r="X75" s="14"/>
      <c r="Y75" s="48" t="s">
        <v>273</v>
      </c>
    </row>
    <row r="76" customFormat="false" ht="109.5" hidden="false" customHeight="true" outlineLevel="0" collapsed="false">
      <c r="A76" s="50" t="n">
        <v>71</v>
      </c>
      <c r="B76" s="51" t="n">
        <f aca="false">सारांश!$B$4+A76-1</f>
        <v>46411</v>
      </c>
      <c r="C76" s="50" t="str">
        <f aca="false">CHOOSE(WEEKDAY(B76,2),"सोमवार","मंगलवार","बुधवार","गुरुवार","शुक्रवार","शनिवार","रविवार")</f>
        <v>रविवार</v>
      </c>
      <c r="D76" s="50" t="n">
        <f aca="false">IF(A76=1,0,INT((A76-2)/7)+1)</f>
        <v>10</v>
      </c>
      <c r="E76" s="50" t="n">
        <f aca="false">(YEAR(B76)-YEAR(सारांश!$B$4))*12+MONTH(B76)-MONTH(सारांश!$B$4)+IF(DAY(B76)&gt;=DAY(सारांश!$B$4),1,0)</f>
        <v>3</v>
      </c>
      <c r="F76" s="52" t="s">
        <v>16</v>
      </c>
      <c r="G76" s="50" t="s">
        <v>291</v>
      </c>
      <c r="H76" s="52" t="s">
        <v>127</v>
      </c>
      <c r="I76" s="52" t="s">
        <v>463</v>
      </c>
      <c r="J76" s="53" t="s">
        <v>293</v>
      </c>
      <c r="K76" s="53" t="s">
        <v>294</v>
      </c>
      <c r="L76" s="50" t="s">
        <v>295</v>
      </c>
      <c r="M76" s="52" t="s">
        <v>296</v>
      </c>
      <c r="N76" s="52" t="s">
        <v>297</v>
      </c>
      <c r="O76" s="52" t="s">
        <v>298</v>
      </c>
      <c r="P76" s="52" t="s">
        <v>299</v>
      </c>
      <c r="Q76" s="50" t="n">
        <v>6</v>
      </c>
      <c r="R76" s="52" t="s">
        <v>300</v>
      </c>
      <c r="S76" s="52" t="s">
        <v>257</v>
      </c>
      <c r="T76" s="54" t="s">
        <v>258</v>
      </c>
      <c r="U76" s="54" t="s">
        <v>259</v>
      </c>
      <c r="V76" s="54" t="s">
        <v>259</v>
      </c>
      <c r="W76" s="50" t="s">
        <v>260</v>
      </c>
      <c r="X76" s="50"/>
    </row>
    <row r="77" customFormat="false" ht="126.75" hidden="false" customHeight="true" outlineLevel="0" collapsed="false">
      <c r="A77" s="29" t="n">
        <v>72</v>
      </c>
      <c r="B77" s="30" t="n">
        <f aca="false">सारांश!$B$4+A77-1</f>
        <v>46412</v>
      </c>
      <c r="C77" s="29" t="str">
        <f aca="false">CHOOSE(WEEKDAY(B77,2),"सोमवार","मंगलवार","बुधवार","गुरुवार","शुक्रवार","शनिवार","रविवार")</f>
        <v>सोमवार</v>
      </c>
      <c r="D77" s="29" t="n">
        <f aca="false">IF(A77=1,0,INT((A77-2)/7)+1)</f>
        <v>11</v>
      </c>
      <c r="E77" s="29" t="n">
        <f aca="false">(YEAR(B77)-YEAR(सारांश!$B$4))*12+MONTH(B77)-MONTH(सारांश!$B$4)+IF(DAY(B77)&gt;=DAY(सारांश!$B$4),1,0)</f>
        <v>3</v>
      </c>
      <c r="F77" s="31" t="s">
        <v>16</v>
      </c>
      <c r="G77" s="14" t="s">
        <v>436</v>
      </c>
      <c r="H77" s="32" t="s">
        <v>464</v>
      </c>
      <c r="I77" s="32" t="s">
        <v>458</v>
      </c>
      <c r="J77" s="48" t="s">
        <v>459</v>
      </c>
      <c r="K77" s="48" t="s">
        <v>265</v>
      </c>
      <c r="L77" s="14" t="s">
        <v>433</v>
      </c>
      <c r="M77" s="32" t="s">
        <v>465</v>
      </c>
      <c r="N77" s="32" t="s">
        <v>268</v>
      </c>
      <c r="O77" s="32" t="s">
        <v>269</v>
      </c>
      <c r="P77" s="32" t="s">
        <v>270</v>
      </c>
      <c r="Q77" s="14" t="n">
        <v>7.5</v>
      </c>
      <c r="R77" s="32" t="s">
        <v>441</v>
      </c>
      <c r="S77" s="32" t="s">
        <v>435</v>
      </c>
      <c r="T77" s="49" t="s">
        <v>258</v>
      </c>
      <c r="U77" s="49" t="s">
        <v>259</v>
      </c>
      <c r="V77" s="49" t="s">
        <v>259</v>
      </c>
      <c r="W77" s="14" t="s">
        <v>260</v>
      </c>
      <c r="X77" s="14"/>
      <c r="Y77" s="48" t="s">
        <v>273</v>
      </c>
    </row>
    <row r="78" customFormat="false" ht="126.75" hidden="false" customHeight="true" outlineLevel="0" collapsed="false">
      <c r="A78" s="29" t="n">
        <v>73</v>
      </c>
      <c r="B78" s="30" t="n">
        <f aca="false">सारांश!$B$4+A78-1</f>
        <v>46413</v>
      </c>
      <c r="C78" s="29" t="str">
        <f aca="false">CHOOSE(WEEKDAY(B78,2),"सोमवार","मंगलवार","बुधवार","गुरुवार","शुक्रवार","शनिवार","रविवार")</f>
        <v>मंगलवार</v>
      </c>
      <c r="D78" s="29" t="n">
        <f aca="false">IF(A78=1,0,INT((A78-2)/7)+1)</f>
        <v>11</v>
      </c>
      <c r="E78" s="29" t="n">
        <f aca="false">(YEAR(B78)-YEAR(सारांश!$B$4))*12+MONTH(B78)-MONTH(सारांश!$B$4)+IF(DAY(B78)&gt;=DAY(सारांश!$B$4),1,0)</f>
        <v>3</v>
      </c>
      <c r="F78" s="31" t="s">
        <v>16</v>
      </c>
      <c r="G78" s="14" t="s">
        <v>436</v>
      </c>
      <c r="H78" s="32" t="s">
        <v>466</v>
      </c>
      <c r="I78" s="32" t="s">
        <v>458</v>
      </c>
      <c r="J78" s="48" t="s">
        <v>459</v>
      </c>
      <c r="K78" s="48" t="s">
        <v>265</v>
      </c>
      <c r="L78" s="14" t="s">
        <v>433</v>
      </c>
      <c r="M78" s="32" t="s">
        <v>467</v>
      </c>
      <c r="N78" s="32" t="s">
        <v>276</v>
      </c>
      <c r="O78" s="32" t="s">
        <v>269</v>
      </c>
      <c r="P78" s="32" t="s">
        <v>270</v>
      </c>
      <c r="Q78" s="14" t="n">
        <v>7.5</v>
      </c>
      <c r="R78" s="32" t="s">
        <v>441</v>
      </c>
      <c r="S78" s="32" t="s">
        <v>435</v>
      </c>
      <c r="T78" s="49" t="s">
        <v>258</v>
      </c>
      <c r="U78" s="49" t="s">
        <v>259</v>
      </c>
      <c r="V78" s="49" t="s">
        <v>259</v>
      </c>
      <c r="W78" s="14" t="s">
        <v>260</v>
      </c>
      <c r="X78" s="14"/>
      <c r="Y78" s="48" t="s">
        <v>273</v>
      </c>
    </row>
    <row r="79" customFormat="false" ht="109.5" hidden="false" customHeight="true" outlineLevel="0" collapsed="false">
      <c r="A79" s="29" t="n">
        <v>74</v>
      </c>
      <c r="B79" s="30" t="n">
        <f aca="false">सारांश!$B$4+A79-1</f>
        <v>46414</v>
      </c>
      <c r="C79" s="29" t="str">
        <f aca="false">CHOOSE(WEEKDAY(B79,2),"सोमवार","मंगलवार","बुधवार","गुरुवार","शुक्रवार","शनिवार","रविवार")</f>
        <v>बुधवार</v>
      </c>
      <c r="D79" s="29" t="n">
        <f aca="false">IF(A79=1,0,INT((A79-2)/7)+1)</f>
        <v>11</v>
      </c>
      <c r="E79" s="29" t="n">
        <f aca="false">(YEAR(B79)-YEAR(सारांश!$B$4))*12+MONTH(B79)-MONTH(सारांश!$B$4)+IF(DAY(B79)&gt;=DAY(सारांश!$B$4),1,0)</f>
        <v>3</v>
      </c>
      <c r="F79" s="31" t="s">
        <v>16</v>
      </c>
      <c r="G79" s="14" t="s">
        <v>436</v>
      </c>
      <c r="H79" s="32" t="s">
        <v>468</v>
      </c>
      <c r="I79" s="32" t="s">
        <v>469</v>
      </c>
      <c r="J79" s="48" t="s">
        <v>470</v>
      </c>
      <c r="K79" s="48" t="s">
        <v>265</v>
      </c>
      <c r="L79" s="14" t="s">
        <v>433</v>
      </c>
      <c r="M79" s="32" t="s">
        <v>471</v>
      </c>
      <c r="N79" s="32" t="s">
        <v>279</v>
      </c>
      <c r="O79" s="32" t="s">
        <v>269</v>
      </c>
      <c r="P79" s="32" t="s">
        <v>270</v>
      </c>
      <c r="Q79" s="14" t="n">
        <v>7.5</v>
      </c>
      <c r="R79" s="32" t="s">
        <v>441</v>
      </c>
      <c r="S79" s="32" t="s">
        <v>435</v>
      </c>
      <c r="T79" s="49" t="s">
        <v>258</v>
      </c>
      <c r="U79" s="49" t="s">
        <v>259</v>
      </c>
      <c r="V79" s="49" t="s">
        <v>259</v>
      </c>
      <c r="W79" s="14" t="s">
        <v>260</v>
      </c>
      <c r="X79" s="14"/>
      <c r="Y79" s="48" t="s">
        <v>273</v>
      </c>
    </row>
    <row r="80" customFormat="false" ht="109.5" hidden="false" customHeight="true" outlineLevel="0" collapsed="false">
      <c r="A80" s="29" t="n">
        <v>75</v>
      </c>
      <c r="B80" s="30" t="n">
        <f aca="false">सारांश!$B$4+A80-1</f>
        <v>46415</v>
      </c>
      <c r="C80" s="29" t="str">
        <f aca="false">CHOOSE(WEEKDAY(B80,2),"सोमवार","मंगलवार","बुधवार","गुरुवार","शुक्रवार","शनिवार","रविवार")</f>
        <v>गुरुवार</v>
      </c>
      <c r="D80" s="29" t="n">
        <f aca="false">IF(A80=1,0,INT((A80-2)/7)+1)</f>
        <v>11</v>
      </c>
      <c r="E80" s="29" t="n">
        <f aca="false">(YEAR(B80)-YEAR(सारांश!$B$4))*12+MONTH(B80)-MONTH(सारांश!$B$4)+IF(DAY(B80)&gt;=DAY(सारांश!$B$4),1,0)</f>
        <v>3</v>
      </c>
      <c r="F80" s="31" t="s">
        <v>16</v>
      </c>
      <c r="G80" s="14" t="s">
        <v>436</v>
      </c>
      <c r="H80" s="32" t="s">
        <v>472</v>
      </c>
      <c r="I80" s="32" t="s">
        <v>469</v>
      </c>
      <c r="J80" s="48" t="s">
        <v>470</v>
      </c>
      <c r="K80" s="48" t="s">
        <v>265</v>
      </c>
      <c r="L80" s="14" t="s">
        <v>433</v>
      </c>
      <c r="M80" s="32" t="s">
        <v>473</v>
      </c>
      <c r="N80" s="32" t="s">
        <v>284</v>
      </c>
      <c r="O80" s="32" t="s">
        <v>269</v>
      </c>
      <c r="P80" s="32" t="s">
        <v>270</v>
      </c>
      <c r="Q80" s="14" t="n">
        <v>7.5</v>
      </c>
      <c r="R80" s="32" t="s">
        <v>441</v>
      </c>
      <c r="S80" s="32" t="s">
        <v>435</v>
      </c>
      <c r="T80" s="49" t="s">
        <v>258</v>
      </c>
      <c r="U80" s="49" t="s">
        <v>259</v>
      </c>
      <c r="V80" s="49" t="s">
        <v>259</v>
      </c>
      <c r="W80" s="14" t="s">
        <v>260</v>
      </c>
      <c r="X80" s="14"/>
      <c r="Y80" s="48" t="s">
        <v>273</v>
      </c>
    </row>
    <row r="81" customFormat="false" ht="109.5" hidden="false" customHeight="true" outlineLevel="0" collapsed="false">
      <c r="A81" s="29" t="n">
        <v>76</v>
      </c>
      <c r="B81" s="30" t="n">
        <f aca="false">सारांश!$B$4+A81-1</f>
        <v>46416</v>
      </c>
      <c r="C81" s="29" t="str">
        <f aca="false">CHOOSE(WEEKDAY(B81,2),"सोमवार","मंगलवार","बुधवार","गुरुवार","शुक्रवार","शनिवार","रविवार")</f>
        <v>शुक्रवार</v>
      </c>
      <c r="D81" s="29" t="n">
        <f aca="false">IF(A81=1,0,INT((A81-2)/7)+1)</f>
        <v>11</v>
      </c>
      <c r="E81" s="29" t="n">
        <f aca="false">(YEAR(B81)-YEAR(सारांश!$B$4))*12+MONTH(B81)-MONTH(सारांश!$B$4)+IF(DAY(B81)&gt;=DAY(सारांश!$B$4),1,0)</f>
        <v>3</v>
      </c>
      <c r="F81" s="31" t="s">
        <v>16</v>
      </c>
      <c r="G81" s="14" t="s">
        <v>436</v>
      </c>
      <c r="H81" s="32" t="s">
        <v>474</v>
      </c>
      <c r="I81" s="32" t="s">
        <v>475</v>
      </c>
      <c r="J81" s="48" t="s">
        <v>476</v>
      </c>
      <c r="K81" s="48" t="s">
        <v>265</v>
      </c>
      <c r="L81" s="14" t="s">
        <v>433</v>
      </c>
      <c r="M81" s="32" t="s">
        <v>477</v>
      </c>
      <c r="N81" s="32" t="s">
        <v>287</v>
      </c>
      <c r="O81" s="32" t="s">
        <v>269</v>
      </c>
      <c r="P81" s="32" t="s">
        <v>270</v>
      </c>
      <c r="Q81" s="14" t="n">
        <v>7.5</v>
      </c>
      <c r="R81" s="32" t="s">
        <v>441</v>
      </c>
      <c r="S81" s="32" t="s">
        <v>435</v>
      </c>
      <c r="T81" s="49" t="s">
        <v>258</v>
      </c>
      <c r="U81" s="49" t="s">
        <v>259</v>
      </c>
      <c r="V81" s="49" t="s">
        <v>259</v>
      </c>
      <c r="W81" s="14" t="s">
        <v>260</v>
      </c>
      <c r="X81" s="14"/>
      <c r="Y81" s="48" t="s">
        <v>273</v>
      </c>
    </row>
    <row r="82" customFormat="false" ht="109.5" hidden="false" customHeight="true" outlineLevel="0" collapsed="false">
      <c r="A82" s="29" t="n">
        <v>77</v>
      </c>
      <c r="B82" s="30" t="n">
        <f aca="false">सारांश!$B$4+A82-1</f>
        <v>46417</v>
      </c>
      <c r="C82" s="29" t="str">
        <f aca="false">CHOOSE(WEEKDAY(B82,2),"सोमवार","मंगलवार","बुधवार","गुरुवार","शुक्रवार","शनिवार","रविवार")</f>
        <v>शनिवार</v>
      </c>
      <c r="D82" s="29" t="n">
        <f aca="false">IF(A82=1,0,INT((A82-2)/7)+1)</f>
        <v>11</v>
      </c>
      <c r="E82" s="29" t="n">
        <f aca="false">(YEAR(B82)-YEAR(सारांश!$B$4))*12+MONTH(B82)-MONTH(सारांश!$B$4)+IF(DAY(B82)&gt;=DAY(सारांश!$B$4),1,0)</f>
        <v>3</v>
      </c>
      <c r="F82" s="31" t="s">
        <v>16</v>
      </c>
      <c r="G82" s="14" t="s">
        <v>436</v>
      </c>
      <c r="H82" s="32" t="s">
        <v>478</v>
      </c>
      <c r="I82" s="32" t="s">
        <v>475</v>
      </c>
      <c r="J82" s="48" t="s">
        <v>476</v>
      </c>
      <c r="K82" s="48" t="s">
        <v>265</v>
      </c>
      <c r="L82" s="14" t="s">
        <v>433</v>
      </c>
      <c r="M82" s="32" t="s">
        <v>479</v>
      </c>
      <c r="N82" s="32" t="s">
        <v>290</v>
      </c>
      <c r="O82" s="32" t="s">
        <v>269</v>
      </c>
      <c r="P82" s="32" t="s">
        <v>270</v>
      </c>
      <c r="Q82" s="14" t="n">
        <v>7.5</v>
      </c>
      <c r="R82" s="32" t="s">
        <v>441</v>
      </c>
      <c r="S82" s="32" t="s">
        <v>435</v>
      </c>
      <c r="T82" s="49" t="s">
        <v>258</v>
      </c>
      <c r="U82" s="49" t="s">
        <v>259</v>
      </c>
      <c r="V82" s="49" t="s">
        <v>259</v>
      </c>
      <c r="W82" s="14" t="s">
        <v>260</v>
      </c>
      <c r="X82" s="14"/>
      <c r="Y82" s="48" t="s">
        <v>273</v>
      </c>
    </row>
    <row r="83" customFormat="false" ht="93" hidden="false" customHeight="true" outlineLevel="0" collapsed="false">
      <c r="A83" s="50" t="n">
        <v>78</v>
      </c>
      <c r="B83" s="51" t="n">
        <f aca="false">सारांश!$B$4+A83-1</f>
        <v>46418</v>
      </c>
      <c r="C83" s="50" t="str">
        <f aca="false">CHOOSE(WEEKDAY(B83,2),"सोमवार","मंगलवार","बुधवार","गुरुवार","शुक्रवार","शनिवार","रविवार")</f>
        <v>रविवार</v>
      </c>
      <c r="D83" s="50" t="n">
        <f aca="false">IF(A83=1,0,INT((A83-2)/7)+1)</f>
        <v>11</v>
      </c>
      <c r="E83" s="50" t="n">
        <f aca="false">(YEAR(B83)-YEAR(सारांश!$B$4))*12+MONTH(B83)-MONTH(सारांश!$B$4)+IF(DAY(B83)&gt;=DAY(सारांश!$B$4),1,0)</f>
        <v>3</v>
      </c>
      <c r="F83" s="52" t="s">
        <v>16</v>
      </c>
      <c r="G83" s="50" t="s">
        <v>291</v>
      </c>
      <c r="H83" s="52" t="s">
        <v>127</v>
      </c>
      <c r="I83" s="52" t="s">
        <v>480</v>
      </c>
      <c r="J83" s="53" t="s">
        <v>293</v>
      </c>
      <c r="K83" s="53" t="s">
        <v>294</v>
      </c>
      <c r="L83" s="50" t="s">
        <v>295</v>
      </c>
      <c r="M83" s="52" t="s">
        <v>296</v>
      </c>
      <c r="N83" s="52" t="s">
        <v>297</v>
      </c>
      <c r="O83" s="52" t="s">
        <v>298</v>
      </c>
      <c r="P83" s="52" t="s">
        <v>299</v>
      </c>
      <c r="Q83" s="50" t="n">
        <v>6</v>
      </c>
      <c r="R83" s="52" t="s">
        <v>300</v>
      </c>
      <c r="S83" s="52" t="s">
        <v>257</v>
      </c>
      <c r="T83" s="54" t="s">
        <v>258</v>
      </c>
      <c r="U83" s="54" t="s">
        <v>259</v>
      </c>
      <c r="V83" s="54" t="s">
        <v>259</v>
      </c>
      <c r="W83" s="50" t="s">
        <v>260</v>
      </c>
      <c r="X83" s="50"/>
    </row>
    <row r="84" customFormat="false" ht="109.5" hidden="false" customHeight="true" outlineLevel="0" collapsed="false">
      <c r="A84" s="29" t="n">
        <v>79</v>
      </c>
      <c r="B84" s="30" t="n">
        <f aca="false">सारांश!$B$4+A84-1</f>
        <v>46419</v>
      </c>
      <c r="C84" s="29" t="str">
        <f aca="false">CHOOSE(WEEKDAY(B84,2),"सोमवार","मंगलवार","बुधवार","गुरुवार","शुक्रवार","शनिवार","रविवार")</f>
        <v>सोमवार</v>
      </c>
      <c r="D84" s="29" t="n">
        <f aca="false">IF(A84=1,0,INT((A84-2)/7)+1)</f>
        <v>12</v>
      </c>
      <c r="E84" s="29" t="n">
        <f aca="false">(YEAR(B84)-YEAR(सारांश!$B$4))*12+MONTH(B84)-MONTH(सारांश!$B$4)+IF(DAY(B84)&gt;=DAY(सारांश!$B$4),1,0)</f>
        <v>3</v>
      </c>
      <c r="F84" s="31" t="s">
        <v>16</v>
      </c>
      <c r="G84" s="14" t="s">
        <v>436</v>
      </c>
      <c r="H84" s="32" t="s">
        <v>481</v>
      </c>
      <c r="I84" s="32" t="s">
        <v>475</v>
      </c>
      <c r="J84" s="48" t="s">
        <v>476</v>
      </c>
      <c r="K84" s="48" t="s">
        <v>265</v>
      </c>
      <c r="L84" s="14" t="s">
        <v>433</v>
      </c>
      <c r="M84" s="32" t="s">
        <v>482</v>
      </c>
      <c r="N84" s="32" t="s">
        <v>268</v>
      </c>
      <c r="O84" s="32" t="s">
        <v>269</v>
      </c>
      <c r="P84" s="32" t="s">
        <v>270</v>
      </c>
      <c r="Q84" s="14" t="n">
        <v>7.5</v>
      </c>
      <c r="R84" s="32" t="s">
        <v>441</v>
      </c>
      <c r="S84" s="32" t="s">
        <v>435</v>
      </c>
      <c r="T84" s="49" t="s">
        <v>258</v>
      </c>
      <c r="U84" s="49" t="s">
        <v>259</v>
      </c>
      <c r="V84" s="49" t="s">
        <v>259</v>
      </c>
      <c r="W84" s="14" t="s">
        <v>260</v>
      </c>
      <c r="X84" s="14"/>
      <c r="Y84" s="48" t="s">
        <v>273</v>
      </c>
    </row>
    <row r="85" customFormat="false" ht="109.5" hidden="false" customHeight="true" outlineLevel="0" collapsed="false">
      <c r="A85" s="29" t="n">
        <v>80</v>
      </c>
      <c r="B85" s="30" t="n">
        <f aca="false">सारांश!$B$4+A85-1</f>
        <v>46420</v>
      </c>
      <c r="C85" s="29" t="str">
        <f aca="false">CHOOSE(WEEKDAY(B85,2),"सोमवार","मंगलवार","बुधवार","गुरुवार","शुक्रवार","शनिवार","रविवार")</f>
        <v>मंगलवार</v>
      </c>
      <c r="D85" s="29" t="n">
        <f aca="false">IF(A85=1,0,INT((A85-2)/7)+1)</f>
        <v>12</v>
      </c>
      <c r="E85" s="29" t="n">
        <f aca="false">(YEAR(B85)-YEAR(सारांश!$B$4))*12+MONTH(B85)-MONTH(सारांश!$B$4)+IF(DAY(B85)&gt;=DAY(सारांश!$B$4),1,0)</f>
        <v>3</v>
      </c>
      <c r="F85" s="31" t="s">
        <v>16</v>
      </c>
      <c r="G85" s="14" t="s">
        <v>436</v>
      </c>
      <c r="H85" s="32" t="s">
        <v>483</v>
      </c>
      <c r="I85" s="32" t="s">
        <v>484</v>
      </c>
      <c r="J85" s="48" t="s">
        <v>485</v>
      </c>
      <c r="K85" s="48" t="s">
        <v>265</v>
      </c>
      <c r="L85" s="14" t="s">
        <v>433</v>
      </c>
      <c r="M85" s="32" t="s">
        <v>486</v>
      </c>
      <c r="N85" s="32" t="s">
        <v>276</v>
      </c>
      <c r="O85" s="32" t="s">
        <v>269</v>
      </c>
      <c r="P85" s="32" t="s">
        <v>270</v>
      </c>
      <c r="Q85" s="14" t="n">
        <v>7.5</v>
      </c>
      <c r="R85" s="32" t="s">
        <v>441</v>
      </c>
      <c r="S85" s="32" t="s">
        <v>435</v>
      </c>
      <c r="T85" s="49" t="s">
        <v>258</v>
      </c>
      <c r="U85" s="49" t="s">
        <v>259</v>
      </c>
      <c r="V85" s="49" t="s">
        <v>259</v>
      </c>
      <c r="W85" s="14" t="s">
        <v>260</v>
      </c>
      <c r="X85" s="14"/>
      <c r="Y85" s="48" t="s">
        <v>273</v>
      </c>
    </row>
    <row r="86" customFormat="false" ht="109.5" hidden="false" customHeight="true" outlineLevel="0" collapsed="false">
      <c r="A86" s="29" t="n">
        <v>81</v>
      </c>
      <c r="B86" s="30" t="n">
        <f aca="false">सारांश!$B$4+A86-1</f>
        <v>46421</v>
      </c>
      <c r="C86" s="29" t="str">
        <f aca="false">CHOOSE(WEEKDAY(B86,2),"सोमवार","मंगलवार","बुधवार","गुरुवार","शुक्रवार","शनिवार","रविवार")</f>
        <v>बुधवार</v>
      </c>
      <c r="D86" s="29" t="n">
        <f aca="false">IF(A86=1,0,INT((A86-2)/7)+1)</f>
        <v>12</v>
      </c>
      <c r="E86" s="29" t="n">
        <f aca="false">(YEAR(B86)-YEAR(सारांश!$B$4))*12+MONTH(B86)-MONTH(सारांश!$B$4)+IF(DAY(B86)&gt;=DAY(सारांश!$B$4),1,0)</f>
        <v>3</v>
      </c>
      <c r="F86" s="31" t="s">
        <v>16</v>
      </c>
      <c r="G86" s="14" t="s">
        <v>436</v>
      </c>
      <c r="H86" s="32" t="s">
        <v>487</v>
      </c>
      <c r="I86" s="32" t="s">
        <v>484</v>
      </c>
      <c r="J86" s="48" t="s">
        <v>485</v>
      </c>
      <c r="K86" s="48" t="s">
        <v>265</v>
      </c>
      <c r="L86" s="14" t="s">
        <v>433</v>
      </c>
      <c r="M86" s="32" t="s">
        <v>488</v>
      </c>
      <c r="N86" s="32" t="s">
        <v>279</v>
      </c>
      <c r="O86" s="32" t="s">
        <v>269</v>
      </c>
      <c r="P86" s="32" t="s">
        <v>270</v>
      </c>
      <c r="Q86" s="14" t="n">
        <v>7.5</v>
      </c>
      <c r="R86" s="32" t="s">
        <v>441</v>
      </c>
      <c r="S86" s="32" t="s">
        <v>435</v>
      </c>
      <c r="T86" s="49" t="s">
        <v>258</v>
      </c>
      <c r="U86" s="49" t="s">
        <v>259</v>
      </c>
      <c r="V86" s="49" t="s">
        <v>259</v>
      </c>
      <c r="W86" s="14" t="s">
        <v>260</v>
      </c>
      <c r="X86" s="14"/>
      <c r="Y86" s="48" t="s">
        <v>273</v>
      </c>
    </row>
    <row r="87" customFormat="false" ht="109.5" hidden="false" customHeight="true" outlineLevel="0" collapsed="false">
      <c r="A87" s="29" t="n">
        <v>82</v>
      </c>
      <c r="B87" s="30" t="n">
        <f aca="false">सारांश!$B$4+A87-1</f>
        <v>46422</v>
      </c>
      <c r="C87" s="29" t="str">
        <f aca="false">CHOOSE(WEEKDAY(B87,2),"सोमवार","मंगलवार","बुधवार","गुरुवार","शुक्रवार","शनिवार","रविवार")</f>
        <v>गुरुवार</v>
      </c>
      <c r="D87" s="29" t="n">
        <f aca="false">IF(A87=1,0,INT((A87-2)/7)+1)</f>
        <v>12</v>
      </c>
      <c r="E87" s="29" t="n">
        <f aca="false">(YEAR(B87)-YEAR(सारांश!$B$4))*12+MONTH(B87)-MONTH(सारांश!$B$4)+IF(DAY(B87)&gt;=DAY(सारांश!$B$4),1,0)</f>
        <v>3</v>
      </c>
      <c r="F87" s="31" t="s">
        <v>16</v>
      </c>
      <c r="G87" s="14" t="s">
        <v>436</v>
      </c>
      <c r="H87" s="32" t="s">
        <v>489</v>
      </c>
      <c r="I87" s="32" t="s">
        <v>484</v>
      </c>
      <c r="J87" s="48" t="s">
        <v>485</v>
      </c>
      <c r="K87" s="48" t="s">
        <v>265</v>
      </c>
      <c r="L87" s="14" t="s">
        <v>433</v>
      </c>
      <c r="M87" s="32" t="s">
        <v>490</v>
      </c>
      <c r="N87" s="32" t="s">
        <v>284</v>
      </c>
      <c r="O87" s="32" t="s">
        <v>269</v>
      </c>
      <c r="P87" s="32" t="s">
        <v>270</v>
      </c>
      <c r="Q87" s="14" t="n">
        <v>7.5</v>
      </c>
      <c r="R87" s="32" t="s">
        <v>441</v>
      </c>
      <c r="S87" s="32" t="s">
        <v>435</v>
      </c>
      <c r="T87" s="49" t="s">
        <v>258</v>
      </c>
      <c r="U87" s="49" t="s">
        <v>259</v>
      </c>
      <c r="V87" s="49" t="s">
        <v>259</v>
      </c>
      <c r="W87" s="14" t="s">
        <v>260</v>
      </c>
      <c r="X87" s="14"/>
      <c r="Y87" s="48" t="s">
        <v>273</v>
      </c>
    </row>
    <row r="88" customFormat="false" ht="126.75" hidden="false" customHeight="true" outlineLevel="0" collapsed="false">
      <c r="A88" s="29" t="n">
        <v>83</v>
      </c>
      <c r="B88" s="30" t="n">
        <f aca="false">सारांश!$B$4+A88-1</f>
        <v>46423</v>
      </c>
      <c r="C88" s="29" t="str">
        <f aca="false">CHOOSE(WEEKDAY(B88,2),"सोमवार","मंगलवार","बुधवार","गुरुवार","शुक्रवार","शनिवार","रविवार")</f>
        <v>शुक्रवार</v>
      </c>
      <c r="D88" s="29" t="n">
        <f aca="false">IF(A88=1,0,INT((A88-2)/7)+1)</f>
        <v>12</v>
      </c>
      <c r="E88" s="29" t="n">
        <f aca="false">(YEAR(B88)-YEAR(सारांश!$B$4))*12+MONTH(B88)-MONTH(सारांश!$B$4)+IF(DAY(B88)&gt;=DAY(सारांश!$B$4),1,0)</f>
        <v>3</v>
      </c>
      <c r="F88" s="31" t="s">
        <v>16</v>
      </c>
      <c r="G88" s="14" t="s">
        <v>436</v>
      </c>
      <c r="H88" s="32" t="s">
        <v>491</v>
      </c>
      <c r="I88" s="32" t="s">
        <v>492</v>
      </c>
      <c r="J88" s="48" t="s">
        <v>493</v>
      </c>
      <c r="K88" s="48" t="s">
        <v>265</v>
      </c>
      <c r="L88" s="14" t="s">
        <v>433</v>
      </c>
      <c r="M88" s="32" t="s">
        <v>494</v>
      </c>
      <c r="N88" s="32" t="s">
        <v>287</v>
      </c>
      <c r="O88" s="32" t="s">
        <v>269</v>
      </c>
      <c r="P88" s="32" t="s">
        <v>270</v>
      </c>
      <c r="Q88" s="14" t="n">
        <v>7.5</v>
      </c>
      <c r="R88" s="32" t="s">
        <v>441</v>
      </c>
      <c r="S88" s="32" t="s">
        <v>435</v>
      </c>
      <c r="T88" s="49" t="s">
        <v>258</v>
      </c>
      <c r="U88" s="49" t="s">
        <v>259</v>
      </c>
      <c r="V88" s="49" t="s">
        <v>259</v>
      </c>
      <c r="W88" s="14" t="s">
        <v>260</v>
      </c>
      <c r="X88" s="14"/>
      <c r="Y88" s="48" t="s">
        <v>273</v>
      </c>
    </row>
    <row r="89" customFormat="false" ht="126.75" hidden="false" customHeight="true" outlineLevel="0" collapsed="false">
      <c r="A89" s="29" t="n">
        <v>84</v>
      </c>
      <c r="B89" s="30" t="n">
        <f aca="false">सारांश!$B$4+A89-1</f>
        <v>46424</v>
      </c>
      <c r="C89" s="29" t="str">
        <f aca="false">CHOOSE(WEEKDAY(B89,2),"सोमवार","मंगलवार","बुधवार","गुरुवार","शुक्रवार","शनिवार","रविवार")</f>
        <v>शनिवार</v>
      </c>
      <c r="D89" s="29" t="n">
        <f aca="false">IF(A89=1,0,INT((A89-2)/7)+1)</f>
        <v>12</v>
      </c>
      <c r="E89" s="29" t="n">
        <f aca="false">(YEAR(B89)-YEAR(सारांश!$B$4))*12+MONTH(B89)-MONTH(सारांश!$B$4)+IF(DAY(B89)&gt;=DAY(सारांश!$B$4),1,0)</f>
        <v>3</v>
      </c>
      <c r="F89" s="31" t="s">
        <v>16</v>
      </c>
      <c r="G89" s="14" t="s">
        <v>436</v>
      </c>
      <c r="H89" s="32" t="s">
        <v>495</v>
      </c>
      <c r="I89" s="32" t="s">
        <v>492</v>
      </c>
      <c r="J89" s="48" t="s">
        <v>493</v>
      </c>
      <c r="K89" s="48" t="s">
        <v>265</v>
      </c>
      <c r="L89" s="14" t="s">
        <v>433</v>
      </c>
      <c r="M89" s="32" t="s">
        <v>496</v>
      </c>
      <c r="N89" s="32" t="s">
        <v>290</v>
      </c>
      <c r="O89" s="32" t="s">
        <v>269</v>
      </c>
      <c r="P89" s="32" t="s">
        <v>270</v>
      </c>
      <c r="Q89" s="14" t="n">
        <v>7.5</v>
      </c>
      <c r="R89" s="32" t="s">
        <v>441</v>
      </c>
      <c r="S89" s="32" t="s">
        <v>435</v>
      </c>
      <c r="T89" s="49" t="s">
        <v>258</v>
      </c>
      <c r="U89" s="49" t="s">
        <v>259</v>
      </c>
      <c r="V89" s="49" t="s">
        <v>259</v>
      </c>
      <c r="W89" s="14" t="s">
        <v>260</v>
      </c>
      <c r="X89" s="14"/>
      <c r="Y89" s="48" t="s">
        <v>273</v>
      </c>
    </row>
    <row r="90" customFormat="false" ht="93" hidden="false" customHeight="true" outlineLevel="0" collapsed="false">
      <c r="A90" s="50" t="n">
        <v>85</v>
      </c>
      <c r="B90" s="51" t="n">
        <f aca="false">सारांश!$B$4+A90-1</f>
        <v>46425</v>
      </c>
      <c r="C90" s="50" t="str">
        <f aca="false">CHOOSE(WEEKDAY(B90,2),"सोमवार","मंगलवार","बुधवार","गुरुवार","शुक्रवार","शनिवार","रविवार")</f>
        <v>रविवार</v>
      </c>
      <c r="D90" s="50" t="n">
        <f aca="false">IF(A90=1,0,INT((A90-2)/7)+1)</f>
        <v>12</v>
      </c>
      <c r="E90" s="50" t="n">
        <f aca="false">(YEAR(B90)-YEAR(सारांश!$B$4))*12+MONTH(B90)-MONTH(सारांश!$B$4)+IF(DAY(B90)&gt;=DAY(सारांश!$B$4),1,0)</f>
        <v>3</v>
      </c>
      <c r="F90" s="52" t="s">
        <v>16</v>
      </c>
      <c r="G90" s="50" t="s">
        <v>291</v>
      </c>
      <c r="H90" s="52" t="s">
        <v>135</v>
      </c>
      <c r="I90" s="52" t="s">
        <v>497</v>
      </c>
      <c r="J90" s="53" t="s">
        <v>293</v>
      </c>
      <c r="K90" s="53" t="s">
        <v>294</v>
      </c>
      <c r="L90" s="50" t="s">
        <v>295</v>
      </c>
      <c r="M90" s="52" t="s">
        <v>296</v>
      </c>
      <c r="N90" s="52" t="s">
        <v>297</v>
      </c>
      <c r="O90" s="52" t="s">
        <v>298</v>
      </c>
      <c r="P90" s="52" t="s">
        <v>299</v>
      </c>
      <c r="Q90" s="50" t="n">
        <v>6</v>
      </c>
      <c r="R90" s="52" t="s">
        <v>300</v>
      </c>
      <c r="S90" s="52" t="s">
        <v>257</v>
      </c>
      <c r="T90" s="54" t="s">
        <v>258</v>
      </c>
      <c r="U90" s="54" t="s">
        <v>259</v>
      </c>
      <c r="V90" s="54" t="s">
        <v>259</v>
      </c>
      <c r="W90" s="50" t="s">
        <v>260</v>
      </c>
      <c r="X90" s="50"/>
    </row>
    <row r="91" customFormat="false" ht="126.75" hidden="false" customHeight="true" outlineLevel="0" collapsed="false">
      <c r="A91" s="29" t="n">
        <v>86</v>
      </c>
      <c r="B91" s="30" t="n">
        <f aca="false">सारांश!$B$4+A91-1</f>
        <v>46426</v>
      </c>
      <c r="C91" s="29" t="str">
        <f aca="false">CHOOSE(WEEKDAY(B91,2),"सोमवार","मंगलवार","बुधवार","गुरुवार","शुक्रवार","शनिवार","रविवार")</f>
        <v>सोमवार</v>
      </c>
      <c r="D91" s="29" t="n">
        <f aca="false">IF(A91=1,0,INT((A91-2)/7)+1)</f>
        <v>13</v>
      </c>
      <c r="E91" s="29" t="n">
        <f aca="false">(YEAR(B91)-YEAR(सारांश!$B$4))*12+MONTH(B91)-MONTH(सारांश!$B$4)+IF(DAY(B91)&gt;=DAY(सारांश!$B$4),1,0)</f>
        <v>3</v>
      </c>
      <c r="F91" s="31" t="s">
        <v>16</v>
      </c>
      <c r="G91" s="14" t="s">
        <v>436</v>
      </c>
      <c r="H91" s="32" t="s">
        <v>498</v>
      </c>
      <c r="I91" s="32" t="s">
        <v>492</v>
      </c>
      <c r="J91" s="48" t="s">
        <v>493</v>
      </c>
      <c r="K91" s="48" t="s">
        <v>265</v>
      </c>
      <c r="L91" s="14" t="s">
        <v>433</v>
      </c>
      <c r="M91" s="32" t="s">
        <v>499</v>
      </c>
      <c r="N91" s="32" t="s">
        <v>268</v>
      </c>
      <c r="O91" s="32" t="s">
        <v>269</v>
      </c>
      <c r="P91" s="32" t="s">
        <v>270</v>
      </c>
      <c r="Q91" s="14" t="n">
        <v>7.5</v>
      </c>
      <c r="R91" s="32" t="s">
        <v>441</v>
      </c>
      <c r="S91" s="32" t="s">
        <v>435</v>
      </c>
      <c r="T91" s="49" t="s">
        <v>258</v>
      </c>
      <c r="U91" s="49" t="s">
        <v>259</v>
      </c>
      <c r="V91" s="49" t="s">
        <v>259</v>
      </c>
      <c r="W91" s="14" t="s">
        <v>260</v>
      </c>
      <c r="X91" s="14"/>
      <c r="Y91" s="48" t="s">
        <v>273</v>
      </c>
    </row>
    <row r="92" customFormat="false" ht="109.5" hidden="false" customHeight="true" outlineLevel="0" collapsed="false">
      <c r="A92" s="29" t="n">
        <v>87</v>
      </c>
      <c r="B92" s="30" t="n">
        <f aca="false">सारांश!$B$4+A92-1</f>
        <v>46427</v>
      </c>
      <c r="C92" s="29" t="str">
        <f aca="false">CHOOSE(WEEKDAY(B92,2),"सोमवार","मंगलवार","बुधवार","गुरुवार","शुक्रवार","शनिवार","रविवार")</f>
        <v>मंगलवार</v>
      </c>
      <c r="D92" s="29" t="n">
        <f aca="false">IF(A92=1,0,INT((A92-2)/7)+1)</f>
        <v>13</v>
      </c>
      <c r="E92" s="29" t="n">
        <f aca="false">(YEAR(B92)-YEAR(सारांश!$B$4))*12+MONTH(B92)-MONTH(सारांश!$B$4)+IF(DAY(B92)&gt;=DAY(सारांश!$B$4),1,0)</f>
        <v>3</v>
      </c>
      <c r="F92" s="31" t="s">
        <v>16</v>
      </c>
      <c r="G92" s="14" t="s">
        <v>436</v>
      </c>
      <c r="H92" s="32" t="s">
        <v>500</v>
      </c>
      <c r="I92" s="32" t="s">
        <v>501</v>
      </c>
      <c r="J92" s="48" t="s">
        <v>502</v>
      </c>
      <c r="K92" s="48" t="s">
        <v>265</v>
      </c>
      <c r="L92" s="14" t="s">
        <v>433</v>
      </c>
      <c r="M92" s="32" t="s">
        <v>503</v>
      </c>
      <c r="N92" s="32" t="s">
        <v>276</v>
      </c>
      <c r="O92" s="32" t="s">
        <v>269</v>
      </c>
      <c r="P92" s="32" t="s">
        <v>270</v>
      </c>
      <c r="Q92" s="14" t="n">
        <v>7.5</v>
      </c>
      <c r="R92" s="32" t="s">
        <v>441</v>
      </c>
      <c r="S92" s="32" t="s">
        <v>435</v>
      </c>
      <c r="T92" s="49" t="s">
        <v>258</v>
      </c>
      <c r="U92" s="49" t="s">
        <v>259</v>
      </c>
      <c r="V92" s="49" t="s">
        <v>259</v>
      </c>
      <c r="W92" s="14" t="s">
        <v>260</v>
      </c>
      <c r="X92" s="14"/>
      <c r="Y92" s="48" t="s">
        <v>273</v>
      </c>
    </row>
    <row r="93" customFormat="false" ht="109.5" hidden="false" customHeight="true" outlineLevel="0" collapsed="false">
      <c r="A93" s="29" t="n">
        <v>88</v>
      </c>
      <c r="B93" s="30" t="n">
        <f aca="false">सारांश!$B$4+A93-1</f>
        <v>46428</v>
      </c>
      <c r="C93" s="29" t="str">
        <f aca="false">CHOOSE(WEEKDAY(B93,2),"सोमवार","मंगलवार","बुधवार","गुरुवार","शुक्रवार","शनिवार","रविवार")</f>
        <v>बुधवार</v>
      </c>
      <c r="D93" s="29" t="n">
        <f aca="false">IF(A93=1,0,INT((A93-2)/7)+1)</f>
        <v>13</v>
      </c>
      <c r="E93" s="29" t="n">
        <f aca="false">(YEAR(B93)-YEAR(सारांश!$B$4))*12+MONTH(B93)-MONTH(सारांश!$B$4)+IF(DAY(B93)&gt;=DAY(सारांश!$B$4),1,0)</f>
        <v>3</v>
      </c>
      <c r="F93" s="31" t="s">
        <v>16</v>
      </c>
      <c r="G93" s="14" t="s">
        <v>436</v>
      </c>
      <c r="H93" s="32" t="s">
        <v>504</v>
      </c>
      <c r="I93" s="32" t="s">
        <v>501</v>
      </c>
      <c r="J93" s="48" t="s">
        <v>502</v>
      </c>
      <c r="K93" s="48" t="s">
        <v>265</v>
      </c>
      <c r="L93" s="14" t="s">
        <v>433</v>
      </c>
      <c r="M93" s="32" t="s">
        <v>505</v>
      </c>
      <c r="N93" s="32" t="s">
        <v>279</v>
      </c>
      <c r="O93" s="32" t="s">
        <v>269</v>
      </c>
      <c r="P93" s="32" t="s">
        <v>270</v>
      </c>
      <c r="Q93" s="14" t="n">
        <v>7.5</v>
      </c>
      <c r="R93" s="32" t="s">
        <v>441</v>
      </c>
      <c r="S93" s="32" t="s">
        <v>435</v>
      </c>
      <c r="T93" s="49" t="s">
        <v>258</v>
      </c>
      <c r="U93" s="49" t="s">
        <v>259</v>
      </c>
      <c r="V93" s="49" t="s">
        <v>259</v>
      </c>
      <c r="W93" s="14" t="s">
        <v>260</v>
      </c>
      <c r="X93" s="14"/>
      <c r="Y93" s="48" t="s">
        <v>273</v>
      </c>
    </row>
    <row r="94" customFormat="false" ht="109.5" hidden="false" customHeight="true" outlineLevel="0" collapsed="false">
      <c r="A94" s="29" t="n">
        <v>89</v>
      </c>
      <c r="B94" s="30" t="n">
        <f aca="false">सारांश!$B$4+A94-1</f>
        <v>46429</v>
      </c>
      <c r="C94" s="29" t="str">
        <f aca="false">CHOOSE(WEEKDAY(B94,2),"सोमवार","मंगलवार","बुधवार","गुरुवार","शुक्रवार","शनिवार","रविवार")</f>
        <v>गुरुवार</v>
      </c>
      <c r="D94" s="29" t="n">
        <f aca="false">IF(A94=1,0,INT((A94-2)/7)+1)</f>
        <v>13</v>
      </c>
      <c r="E94" s="29" t="n">
        <f aca="false">(YEAR(B94)-YEAR(सारांश!$B$4))*12+MONTH(B94)-MONTH(सारांश!$B$4)+IF(DAY(B94)&gt;=DAY(सारांश!$B$4),1,0)</f>
        <v>3</v>
      </c>
      <c r="F94" s="31" t="s">
        <v>16</v>
      </c>
      <c r="G94" s="14" t="s">
        <v>436</v>
      </c>
      <c r="H94" s="32" t="s">
        <v>506</v>
      </c>
      <c r="I94" s="32" t="s">
        <v>501</v>
      </c>
      <c r="J94" s="48" t="s">
        <v>502</v>
      </c>
      <c r="K94" s="48" t="s">
        <v>265</v>
      </c>
      <c r="L94" s="14" t="s">
        <v>433</v>
      </c>
      <c r="M94" s="32" t="s">
        <v>507</v>
      </c>
      <c r="N94" s="32" t="s">
        <v>284</v>
      </c>
      <c r="O94" s="32" t="s">
        <v>269</v>
      </c>
      <c r="P94" s="32" t="s">
        <v>270</v>
      </c>
      <c r="Q94" s="14" t="n">
        <v>7.5</v>
      </c>
      <c r="R94" s="32" t="s">
        <v>441</v>
      </c>
      <c r="S94" s="32" t="s">
        <v>435</v>
      </c>
      <c r="T94" s="49" t="s">
        <v>258</v>
      </c>
      <c r="U94" s="49" t="s">
        <v>259</v>
      </c>
      <c r="V94" s="49" t="s">
        <v>259</v>
      </c>
      <c r="W94" s="14" t="s">
        <v>260</v>
      </c>
      <c r="X94" s="14"/>
      <c r="Y94" s="48" t="s">
        <v>273</v>
      </c>
    </row>
    <row r="95" customFormat="false" ht="109.5" hidden="false" customHeight="true" outlineLevel="0" collapsed="false">
      <c r="A95" s="29" t="n">
        <v>90</v>
      </c>
      <c r="B95" s="30" t="n">
        <f aca="false">सारांश!$B$4+A95-1</f>
        <v>46430</v>
      </c>
      <c r="C95" s="29" t="str">
        <f aca="false">CHOOSE(WEEKDAY(B95,2),"सोमवार","मंगलवार","बुधवार","गुरुवार","शुक्रवार","शनिवार","रविवार")</f>
        <v>शुक्रवार</v>
      </c>
      <c r="D95" s="29" t="n">
        <f aca="false">IF(A95=1,0,INT((A95-2)/7)+1)</f>
        <v>13</v>
      </c>
      <c r="E95" s="29" t="n">
        <f aca="false">(YEAR(B95)-YEAR(सारांश!$B$4))*12+MONTH(B95)-MONTH(सारांश!$B$4)+IF(DAY(B95)&gt;=DAY(सारांश!$B$4),1,0)</f>
        <v>3</v>
      </c>
      <c r="F95" s="31" t="s">
        <v>16</v>
      </c>
      <c r="G95" s="14" t="s">
        <v>436</v>
      </c>
      <c r="H95" s="32" t="s">
        <v>508</v>
      </c>
      <c r="I95" s="32" t="s">
        <v>509</v>
      </c>
      <c r="J95" s="48" t="s">
        <v>510</v>
      </c>
      <c r="K95" s="48" t="s">
        <v>265</v>
      </c>
      <c r="L95" s="14" t="s">
        <v>433</v>
      </c>
      <c r="M95" s="32" t="s">
        <v>511</v>
      </c>
      <c r="N95" s="32" t="s">
        <v>287</v>
      </c>
      <c r="O95" s="32" t="s">
        <v>269</v>
      </c>
      <c r="P95" s="32" t="s">
        <v>270</v>
      </c>
      <c r="Q95" s="14" t="n">
        <v>7.5</v>
      </c>
      <c r="R95" s="32" t="s">
        <v>441</v>
      </c>
      <c r="S95" s="32" t="s">
        <v>435</v>
      </c>
      <c r="T95" s="49" t="s">
        <v>258</v>
      </c>
      <c r="U95" s="49" t="s">
        <v>259</v>
      </c>
      <c r="V95" s="49" t="s">
        <v>259</v>
      </c>
      <c r="W95" s="14" t="s">
        <v>260</v>
      </c>
      <c r="X95" s="14"/>
      <c r="Y95" s="48" t="s">
        <v>273</v>
      </c>
    </row>
    <row r="96" customFormat="false" ht="109.5" hidden="false" customHeight="true" outlineLevel="0" collapsed="false">
      <c r="A96" s="29" t="n">
        <v>91</v>
      </c>
      <c r="B96" s="30" t="n">
        <f aca="false">सारांश!$B$4+A96-1</f>
        <v>46431</v>
      </c>
      <c r="C96" s="29" t="str">
        <f aca="false">CHOOSE(WEEKDAY(B96,2),"सोमवार","मंगलवार","बुधवार","गुरुवार","शुक्रवार","शनिवार","रविवार")</f>
        <v>शनिवार</v>
      </c>
      <c r="D96" s="29" t="n">
        <f aca="false">IF(A96=1,0,INT((A96-2)/7)+1)</f>
        <v>13</v>
      </c>
      <c r="E96" s="29" t="n">
        <f aca="false">(YEAR(B96)-YEAR(सारांश!$B$4))*12+MONTH(B96)-MONTH(सारांश!$B$4)+IF(DAY(B96)&gt;=DAY(सारांश!$B$4),1,0)</f>
        <v>3</v>
      </c>
      <c r="F96" s="31" t="s">
        <v>16</v>
      </c>
      <c r="G96" s="14" t="s">
        <v>436</v>
      </c>
      <c r="H96" s="32" t="s">
        <v>512</v>
      </c>
      <c r="I96" s="32" t="s">
        <v>509</v>
      </c>
      <c r="J96" s="48" t="s">
        <v>510</v>
      </c>
      <c r="K96" s="48" t="s">
        <v>265</v>
      </c>
      <c r="L96" s="14" t="s">
        <v>433</v>
      </c>
      <c r="M96" s="32" t="s">
        <v>513</v>
      </c>
      <c r="N96" s="32" t="s">
        <v>290</v>
      </c>
      <c r="O96" s="32" t="s">
        <v>269</v>
      </c>
      <c r="P96" s="32" t="s">
        <v>270</v>
      </c>
      <c r="Q96" s="14" t="n">
        <v>7.5</v>
      </c>
      <c r="R96" s="32" t="s">
        <v>441</v>
      </c>
      <c r="S96" s="32" t="s">
        <v>435</v>
      </c>
      <c r="T96" s="49" t="s">
        <v>258</v>
      </c>
      <c r="U96" s="49" t="s">
        <v>259</v>
      </c>
      <c r="V96" s="49" t="s">
        <v>259</v>
      </c>
      <c r="W96" s="14" t="s">
        <v>260</v>
      </c>
      <c r="X96" s="14"/>
      <c r="Y96" s="48" t="s">
        <v>273</v>
      </c>
    </row>
    <row r="97" customFormat="false" ht="93" hidden="false" customHeight="true" outlineLevel="0" collapsed="false">
      <c r="A97" s="50" t="n">
        <v>92</v>
      </c>
      <c r="B97" s="51" t="n">
        <f aca="false">सारांश!$B$4+A97-1</f>
        <v>46432</v>
      </c>
      <c r="C97" s="50" t="str">
        <f aca="false">CHOOSE(WEEKDAY(B97,2),"सोमवार","मंगलवार","बुधवार","गुरुवार","शुक्रवार","शनिवार","रविवार")</f>
        <v>रविवार</v>
      </c>
      <c r="D97" s="50" t="n">
        <f aca="false">IF(A97=1,0,INT((A97-2)/7)+1)</f>
        <v>13</v>
      </c>
      <c r="E97" s="50" t="n">
        <f aca="false">(YEAR(B97)-YEAR(सारांश!$B$4))*12+MONTH(B97)-MONTH(सारांश!$B$4)+IF(DAY(B97)&gt;=DAY(सारांश!$B$4),1,0)</f>
        <v>3</v>
      </c>
      <c r="F97" s="52" t="s">
        <v>16</v>
      </c>
      <c r="G97" s="50" t="s">
        <v>291</v>
      </c>
      <c r="H97" s="52" t="s">
        <v>127</v>
      </c>
      <c r="I97" s="52" t="s">
        <v>514</v>
      </c>
      <c r="J97" s="53" t="s">
        <v>293</v>
      </c>
      <c r="K97" s="53" t="s">
        <v>294</v>
      </c>
      <c r="L97" s="50" t="s">
        <v>295</v>
      </c>
      <c r="M97" s="52" t="s">
        <v>296</v>
      </c>
      <c r="N97" s="52" t="s">
        <v>297</v>
      </c>
      <c r="O97" s="52" t="s">
        <v>298</v>
      </c>
      <c r="P97" s="52" t="s">
        <v>299</v>
      </c>
      <c r="Q97" s="50" t="n">
        <v>6</v>
      </c>
      <c r="R97" s="52" t="s">
        <v>300</v>
      </c>
      <c r="S97" s="52" t="s">
        <v>257</v>
      </c>
      <c r="T97" s="54" t="s">
        <v>258</v>
      </c>
      <c r="U97" s="54" t="s">
        <v>259</v>
      </c>
      <c r="V97" s="54" t="s">
        <v>259</v>
      </c>
      <c r="W97" s="50" t="s">
        <v>260</v>
      </c>
      <c r="X97" s="50"/>
    </row>
    <row r="98" customFormat="false" ht="109.5" hidden="false" customHeight="true" outlineLevel="0" collapsed="false">
      <c r="A98" s="29" t="n">
        <v>93</v>
      </c>
      <c r="B98" s="30" t="n">
        <f aca="false">सारांश!$B$4+A98-1</f>
        <v>46433</v>
      </c>
      <c r="C98" s="29" t="str">
        <f aca="false">CHOOSE(WEEKDAY(B98,2),"सोमवार","मंगलवार","बुधवार","गुरुवार","शुक्रवार","शनिवार","रविवार")</f>
        <v>सोमवार</v>
      </c>
      <c r="D98" s="29" t="n">
        <f aca="false">IF(A98=1,0,INT((A98-2)/7)+1)</f>
        <v>14</v>
      </c>
      <c r="E98" s="29" t="n">
        <f aca="false">(YEAR(B98)-YEAR(सारांश!$B$4))*12+MONTH(B98)-MONTH(सारांश!$B$4)+IF(DAY(B98)&gt;=DAY(सारांश!$B$4),1,0)</f>
        <v>4</v>
      </c>
      <c r="F98" s="31" t="s">
        <v>16</v>
      </c>
      <c r="G98" s="14" t="s">
        <v>436</v>
      </c>
      <c r="H98" s="32" t="s">
        <v>515</v>
      </c>
      <c r="I98" s="32" t="s">
        <v>509</v>
      </c>
      <c r="J98" s="48" t="s">
        <v>510</v>
      </c>
      <c r="K98" s="48" t="s">
        <v>265</v>
      </c>
      <c r="L98" s="14" t="s">
        <v>433</v>
      </c>
      <c r="M98" s="32" t="s">
        <v>516</v>
      </c>
      <c r="N98" s="32" t="s">
        <v>268</v>
      </c>
      <c r="O98" s="32" t="s">
        <v>269</v>
      </c>
      <c r="P98" s="32" t="s">
        <v>270</v>
      </c>
      <c r="Q98" s="14" t="n">
        <v>7.5</v>
      </c>
      <c r="R98" s="32" t="s">
        <v>441</v>
      </c>
      <c r="S98" s="32" t="s">
        <v>435</v>
      </c>
      <c r="T98" s="49" t="s">
        <v>258</v>
      </c>
      <c r="U98" s="49" t="s">
        <v>259</v>
      </c>
      <c r="V98" s="49" t="s">
        <v>259</v>
      </c>
      <c r="W98" s="14" t="s">
        <v>260</v>
      </c>
      <c r="X98" s="14"/>
      <c r="Y98" s="48" t="s">
        <v>273</v>
      </c>
    </row>
    <row r="99" customFormat="false" ht="126.75" hidden="false" customHeight="true" outlineLevel="0" collapsed="false">
      <c r="A99" s="29" t="n">
        <v>94</v>
      </c>
      <c r="B99" s="30" t="n">
        <f aca="false">सारांश!$B$4+A99-1</f>
        <v>46434</v>
      </c>
      <c r="C99" s="29" t="str">
        <f aca="false">CHOOSE(WEEKDAY(B99,2),"सोमवार","मंगलवार","बुधवार","गुरुवार","शुक्रवार","शनिवार","रविवार")</f>
        <v>मंगलवार</v>
      </c>
      <c r="D99" s="29" t="n">
        <f aca="false">IF(A99=1,0,INT((A99-2)/7)+1)</f>
        <v>14</v>
      </c>
      <c r="E99" s="29" t="n">
        <f aca="false">(YEAR(B99)-YEAR(सारांश!$B$4))*12+MONTH(B99)-MONTH(सारांश!$B$4)+IF(DAY(B99)&gt;=DAY(सारांश!$B$4),1,0)</f>
        <v>4</v>
      </c>
      <c r="F99" s="31" t="s">
        <v>16</v>
      </c>
      <c r="G99" s="14" t="s">
        <v>436</v>
      </c>
      <c r="H99" s="32" t="s">
        <v>517</v>
      </c>
      <c r="I99" s="32" t="s">
        <v>518</v>
      </c>
      <c r="J99" s="48" t="s">
        <v>519</v>
      </c>
      <c r="K99" s="48" t="s">
        <v>265</v>
      </c>
      <c r="L99" s="14" t="s">
        <v>433</v>
      </c>
      <c r="M99" s="32" t="s">
        <v>520</v>
      </c>
      <c r="N99" s="32" t="s">
        <v>276</v>
      </c>
      <c r="O99" s="32" t="s">
        <v>269</v>
      </c>
      <c r="P99" s="32" t="s">
        <v>270</v>
      </c>
      <c r="Q99" s="14" t="n">
        <v>7.5</v>
      </c>
      <c r="R99" s="32" t="s">
        <v>441</v>
      </c>
      <c r="S99" s="32" t="s">
        <v>435</v>
      </c>
      <c r="T99" s="49" t="s">
        <v>258</v>
      </c>
      <c r="U99" s="49" t="s">
        <v>259</v>
      </c>
      <c r="V99" s="49" t="s">
        <v>259</v>
      </c>
      <c r="W99" s="14" t="s">
        <v>260</v>
      </c>
      <c r="X99" s="14"/>
      <c r="Y99" s="48" t="s">
        <v>273</v>
      </c>
    </row>
    <row r="100" customFormat="false" ht="126.75" hidden="false" customHeight="true" outlineLevel="0" collapsed="false">
      <c r="A100" s="29" t="n">
        <v>95</v>
      </c>
      <c r="B100" s="30" t="n">
        <f aca="false">सारांश!$B$4+A100-1</f>
        <v>46435</v>
      </c>
      <c r="C100" s="29" t="str">
        <f aca="false">CHOOSE(WEEKDAY(B100,2),"सोमवार","मंगलवार","बुधवार","गुरुवार","शुक्रवार","शनिवार","रविवार")</f>
        <v>बुधवार</v>
      </c>
      <c r="D100" s="29" t="n">
        <f aca="false">IF(A100=1,0,INT((A100-2)/7)+1)</f>
        <v>14</v>
      </c>
      <c r="E100" s="29" t="n">
        <f aca="false">(YEAR(B100)-YEAR(सारांश!$B$4))*12+MONTH(B100)-MONTH(सारांश!$B$4)+IF(DAY(B100)&gt;=DAY(सारांश!$B$4),1,0)</f>
        <v>4</v>
      </c>
      <c r="F100" s="31" t="s">
        <v>16</v>
      </c>
      <c r="G100" s="14" t="s">
        <v>436</v>
      </c>
      <c r="H100" s="32" t="s">
        <v>521</v>
      </c>
      <c r="I100" s="32" t="s">
        <v>518</v>
      </c>
      <c r="J100" s="48" t="s">
        <v>519</v>
      </c>
      <c r="K100" s="48" t="s">
        <v>265</v>
      </c>
      <c r="L100" s="14" t="s">
        <v>433</v>
      </c>
      <c r="M100" s="32" t="s">
        <v>522</v>
      </c>
      <c r="N100" s="32" t="s">
        <v>279</v>
      </c>
      <c r="O100" s="32" t="s">
        <v>269</v>
      </c>
      <c r="P100" s="32" t="s">
        <v>270</v>
      </c>
      <c r="Q100" s="14" t="n">
        <v>7.5</v>
      </c>
      <c r="R100" s="32" t="s">
        <v>441</v>
      </c>
      <c r="S100" s="32" t="s">
        <v>435</v>
      </c>
      <c r="T100" s="49" t="s">
        <v>258</v>
      </c>
      <c r="U100" s="49" t="s">
        <v>259</v>
      </c>
      <c r="V100" s="49" t="s">
        <v>259</v>
      </c>
      <c r="W100" s="14" t="s">
        <v>260</v>
      </c>
      <c r="X100" s="14"/>
      <c r="Y100" s="48" t="s">
        <v>273</v>
      </c>
    </row>
    <row r="101" customFormat="false" ht="126.75" hidden="false" customHeight="true" outlineLevel="0" collapsed="false">
      <c r="A101" s="29" t="n">
        <v>96</v>
      </c>
      <c r="B101" s="30" t="n">
        <f aca="false">सारांश!$B$4+A101-1</f>
        <v>46436</v>
      </c>
      <c r="C101" s="29" t="str">
        <f aca="false">CHOOSE(WEEKDAY(B101,2),"सोमवार","मंगलवार","बुधवार","गुरुवार","शुक्रवार","शनिवार","रविवार")</f>
        <v>गुरुवार</v>
      </c>
      <c r="D101" s="29" t="n">
        <f aca="false">IF(A101=1,0,INT((A101-2)/7)+1)</f>
        <v>14</v>
      </c>
      <c r="E101" s="29" t="n">
        <f aca="false">(YEAR(B101)-YEAR(सारांश!$B$4))*12+MONTH(B101)-MONTH(सारांश!$B$4)+IF(DAY(B101)&gt;=DAY(सारांश!$B$4),1,0)</f>
        <v>4</v>
      </c>
      <c r="F101" s="31" t="s">
        <v>16</v>
      </c>
      <c r="G101" s="14" t="s">
        <v>436</v>
      </c>
      <c r="H101" s="32" t="s">
        <v>523</v>
      </c>
      <c r="I101" s="32" t="s">
        <v>518</v>
      </c>
      <c r="J101" s="48" t="s">
        <v>519</v>
      </c>
      <c r="K101" s="48" t="s">
        <v>265</v>
      </c>
      <c r="L101" s="14" t="s">
        <v>433</v>
      </c>
      <c r="M101" s="32" t="s">
        <v>524</v>
      </c>
      <c r="N101" s="32" t="s">
        <v>284</v>
      </c>
      <c r="O101" s="32" t="s">
        <v>269</v>
      </c>
      <c r="P101" s="32" t="s">
        <v>270</v>
      </c>
      <c r="Q101" s="14" t="n">
        <v>7.5</v>
      </c>
      <c r="R101" s="32" t="s">
        <v>441</v>
      </c>
      <c r="S101" s="32" t="s">
        <v>435</v>
      </c>
      <c r="T101" s="49" t="s">
        <v>258</v>
      </c>
      <c r="U101" s="49" t="s">
        <v>259</v>
      </c>
      <c r="V101" s="49" t="s">
        <v>259</v>
      </c>
      <c r="W101" s="14" t="s">
        <v>260</v>
      </c>
      <c r="X101" s="14"/>
      <c r="Y101" s="48" t="s">
        <v>273</v>
      </c>
    </row>
    <row r="102" customFormat="false" ht="109.5" hidden="false" customHeight="true" outlineLevel="0" collapsed="false">
      <c r="A102" s="29" t="n">
        <v>97</v>
      </c>
      <c r="B102" s="30" t="n">
        <f aca="false">सारांश!$B$4+A102-1</f>
        <v>46437</v>
      </c>
      <c r="C102" s="29" t="str">
        <f aca="false">CHOOSE(WEEKDAY(B102,2),"सोमवार","मंगलवार","बुधवार","गुरुवार","शुक्रवार","शनिवार","रविवार")</f>
        <v>शुक्रवार</v>
      </c>
      <c r="D102" s="29" t="n">
        <f aca="false">IF(A102=1,0,INT((A102-2)/7)+1)</f>
        <v>14</v>
      </c>
      <c r="E102" s="29" t="n">
        <f aca="false">(YEAR(B102)-YEAR(सारांश!$B$4))*12+MONTH(B102)-MONTH(सारांश!$B$4)+IF(DAY(B102)&gt;=DAY(सारांश!$B$4),1,0)</f>
        <v>4</v>
      </c>
      <c r="F102" s="31" t="s">
        <v>16</v>
      </c>
      <c r="G102" s="14" t="s">
        <v>436</v>
      </c>
      <c r="H102" s="32" t="s">
        <v>525</v>
      </c>
      <c r="I102" s="32" t="s">
        <v>526</v>
      </c>
      <c r="J102" s="48" t="s">
        <v>527</v>
      </c>
      <c r="K102" s="48" t="s">
        <v>265</v>
      </c>
      <c r="L102" s="14" t="s">
        <v>433</v>
      </c>
      <c r="M102" s="32" t="s">
        <v>528</v>
      </c>
      <c r="N102" s="32" t="s">
        <v>287</v>
      </c>
      <c r="O102" s="32" t="s">
        <v>269</v>
      </c>
      <c r="P102" s="32" t="s">
        <v>270</v>
      </c>
      <c r="Q102" s="14" t="n">
        <v>7.5</v>
      </c>
      <c r="R102" s="32" t="s">
        <v>441</v>
      </c>
      <c r="S102" s="32" t="s">
        <v>435</v>
      </c>
      <c r="T102" s="49" t="s">
        <v>258</v>
      </c>
      <c r="U102" s="49" t="s">
        <v>259</v>
      </c>
      <c r="V102" s="49" t="s">
        <v>259</v>
      </c>
      <c r="W102" s="14" t="s">
        <v>260</v>
      </c>
      <c r="X102" s="14"/>
      <c r="Y102" s="48" t="s">
        <v>273</v>
      </c>
    </row>
    <row r="103" customFormat="false" ht="109.5" hidden="false" customHeight="true" outlineLevel="0" collapsed="false">
      <c r="A103" s="29" t="n">
        <v>98</v>
      </c>
      <c r="B103" s="30" t="n">
        <f aca="false">सारांश!$B$4+A103-1</f>
        <v>46438</v>
      </c>
      <c r="C103" s="29" t="str">
        <f aca="false">CHOOSE(WEEKDAY(B103,2),"सोमवार","मंगलवार","बुधवार","गुरुवार","शुक्रवार","शनिवार","रविवार")</f>
        <v>शनिवार</v>
      </c>
      <c r="D103" s="29" t="n">
        <f aca="false">IF(A103=1,0,INT((A103-2)/7)+1)</f>
        <v>14</v>
      </c>
      <c r="E103" s="29" t="n">
        <f aca="false">(YEAR(B103)-YEAR(सारांश!$B$4))*12+MONTH(B103)-MONTH(सारांश!$B$4)+IF(DAY(B103)&gt;=DAY(सारांश!$B$4),1,0)</f>
        <v>4</v>
      </c>
      <c r="F103" s="31" t="s">
        <v>16</v>
      </c>
      <c r="G103" s="14" t="s">
        <v>436</v>
      </c>
      <c r="H103" s="32" t="s">
        <v>529</v>
      </c>
      <c r="I103" s="32" t="s">
        <v>526</v>
      </c>
      <c r="J103" s="48" t="s">
        <v>527</v>
      </c>
      <c r="K103" s="48" t="s">
        <v>265</v>
      </c>
      <c r="L103" s="14" t="s">
        <v>433</v>
      </c>
      <c r="M103" s="32" t="s">
        <v>530</v>
      </c>
      <c r="N103" s="32" t="s">
        <v>290</v>
      </c>
      <c r="O103" s="32" t="s">
        <v>269</v>
      </c>
      <c r="P103" s="32" t="s">
        <v>270</v>
      </c>
      <c r="Q103" s="14" t="n">
        <v>7.5</v>
      </c>
      <c r="R103" s="32" t="s">
        <v>441</v>
      </c>
      <c r="S103" s="32" t="s">
        <v>435</v>
      </c>
      <c r="T103" s="49" t="s">
        <v>258</v>
      </c>
      <c r="U103" s="49" t="s">
        <v>259</v>
      </c>
      <c r="V103" s="49" t="s">
        <v>259</v>
      </c>
      <c r="W103" s="14" t="s">
        <v>260</v>
      </c>
      <c r="X103" s="14"/>
      <c r="Y103" s="48" t="s">
        <v>273</v>
      </c>
    </row>
    <row r="104" customFormat="false" ht="75.75" hidden="false" customHeight="true" outlineLevel="0" collapsed="false">
      <c r="A104" s="50" t="n">
        <v>99</v>
      </c>
      <c r="B104" s="51" t="n">
        <f aca="false">सारांश!$B$4+A104-1</f>
        <v>46439</v>
      </c>
      <c r="C104" s="50" t="str">
        <f aca="false">CHOOSE(WEEKDAY(B104,2),"सोमवार","मंगलवार","बुधवार","गुरुवार","शुक्रवार","शनिवार","रविवार")</f>
        <v>रविवार</v>
      </c>
      <c r="D104" s="50" t="n">
        <f aca="false">IF(A104=1,0,INT((A104-2)/7)+1)</f>
        <v>14</v>
      </c>
      <c r="E104" s="50" t="n">
        <f aca="false">(YEAR(B104)-YEAR(सारांश!$B$4))*12+MONTH(B104)-MONTH(सारांश!$B$4)+IF(DAY(B104)&gt;=DAY(सारांश!$B$4),1,0)</f>
        <v>4</v>
      </c>
      <c r="F104" s="52" t="s">
        <v>16</v>
      </c>
      <c r="G104" s="50" t="s">
        <v>291</v>
      </c>
      <c r="H104" s="52" t="s">
        <v>127</v>
      </c>
      <c r="I104" s="52" t="s">
        <v>531</v>
      </c>
      <c r="J104" s="53" t="s">
        <v>293</v>
      </c>
      <c r="K104" s="53" t="s">
        <v>294</v>
      </c>
      <c r="L104" s="50" t="s">
        <v>295</v>
      </c>
      <c r="M104" s="52" t="s">
        <v>296</v>
      </c>
      <c r="N104" s="52" t="s">
        <v>297</v>
      </c>
      <c r="O104" s="52" t="s">
        <v>298</v>
      </c>
      <c r="P104" s="52" t="s">
        <v>299</v>
      </c>
      <c r="Q104" s="50" t="n">
        <v>6</v>
      </c>
      <c r="R104" s="52" t="s">
        <v>300</v>
      </c>
      <c r="S104" s="52" t="s">
        <v>257</v>
      </c>
      <c r="T104" s="54" t="s">
        <v>258</v>
      </c>
      <c r="U104" s="54" t="s">
        <v>259</v>
      </c>
      <c r="V104" s="54" t="s">
        <v>259</v>
      </c>
      <c r="W104" s="50" t="s">
        <v>260</v>
      </c>
      <c r="X104" s="50"/>
    </row>
    <row r="105" customFormat="false" ht="109.5" hidden="false" customHeight="true" outlineLevel="0" collapsed="false">
      <c r="A105" s="29" t="n">
        <v>100</v>
      </c>
      <c r="B105" s="30" t="n">
        <f aca="false">सारांश!$B$4+A105-1</f>
        <v>46440</v>
      </c>
      <c r="C105" s="29" t="str">
        <f aca="false">CHOOSE(WEEKDAY(B105,2),"सोमवार","मंगलवार","बुधवार","गुरुवार","शुक्रवार","शनिवार","रविवार")</f>
        <v>सोमवार</v>
      </c>
      <c r="D105" s="29" t="n">
        <f aca="false">IF(A105=1,0,INT((A105-2)/7)+1)</f>
        <v>15</v>
      </c>
      <c r="E105" s="29" t="n">
        <f aca="false">(YEAR(B105)-YEAR(सारांश!$B$4))*12+MONTH(B105)-MONTH(सारांश!$B$4)+IF(DAY(B105)&gt;=DAY(सारांश!$B$4),1,0)</f>
        <v>4</v>
      </c>
      <c r="F105" s="31" t="s">
        <v>16</v>
      </c>
      <c r="G105" s="14" t="s">
        <v>436</v>
      </c>
      <c r="H105" s="32" t="s">
        <v>532</v>
      </c>
      <c r="I105" s="32" t="s">
        <v>526</v>
      </c>
      <c r="J105" s="48" t="s">
        <v>527</v>
      </c>
      <c r="K105" s="48" t="s">
        <v>265</v>
      </c>
      <c r="L105" s="14" t="s">
        <v>433</v>
      </c>
      <c r="M105" s="32" t="s">
        <v>533</v>
      </c>
      <c r="N105" s="32" t="s">
        <v>268</v>
      </c>
      <c r="O105" s="32" t="s">
        <v>269</v>
      </c>
      <c r="P105" s="32" t="s">
        <v>270</v>
      </c>
      <c r="Q105" s="14" t="n">
        <v>7.5</v>
      </c>
      <c r="R105" s="32" t="s">
        <v>441</v>
      </c>
      <c r="S105" s="32" t="s">
        <v>435</v>
      </c>
      <c r="T105" s="49" t="s">
        <v>258</v>
      </c>
      <c r="U105" s="49" t="s">
        <v>259</v>
      </c>
      <c r="V105" s="49" t="s">
        <v>259</v>
      </c>
      <c r="W105" s="14" t="s">
        <v>260</v>
      </c>
      <c r="X105" s="14"/>
      <c r="Y105" s="48" t="s">
        <v>273</v>
      </c>
    </row>
    <row r="106" customFormat="false" ht="109.5" hidden="false" customHeight="true" outlineLevel="0" collapsed="false">
      <c r="A106" s="29" t="n">
        <v>101</v>
      </c>
      <c r="B106" s="30" t="n">
        <f aca="false">सारांश!$B$4+A106-1</f>
        <v>46441</v>
      </c>
      <c r="C106" s="29" t="str">
        <f aca="false">CHOOSE(WEEKDAY(B106,2),"सोमवार","मंगलवार","बुधवार","गुरुवार","शुक्रवार","शनिवार","रविवार")</f>
        <v>मंगलवार</v>
      </c>
      <c r="D106" s="29" t="n">
        <f aca="false">IF(A106=1,0,INT((A106-2)/7)+1)</f>
        <v>15</v>
      </c>
      <c r="E106" s="29" t="n">
        <f aca="false">(YEAR(B106)-YEAR(सारांश!$B$4))*12+MONTH(B106)-MONTH(सारांश!$B$4)+IF(DAY(B106)&gt;=DAY(सारांश!$B$4),1,0)</f>
        <v>4</v>
      </c>
      <c r="F106" s="31" t="s">
        <v>16</v>
      </c>
      <c r="G106" s="14" t="s">
        <v>436</v>
      </c>
      <c r="H106" s="32" t="s">
        <v>534</v>
      </c>
      <c r="I106" s="32" t="s">
        <v>526</v>
      </c>
      <c r="J106" s="48" t="s">
        <v>527</v>
      </c>
      <c r="K106" s="48" t="s">
        <v>265</v>
      </c>
      <c r="L106" s="14" t="s">
        <v>433</v>
      </c>
      <c r="M106" s="32" t="s">
        <v>535</v>
      </c>
      <c r="N106" s="32" t="s">
        <v>276</v>
      </c>
      <c r="O106" s="32" t="s">
        <v>269</v>
      </c>
      <c r="P106" s="32" t="s">
        <v>270</v>
      </c>
      <c r="Q106" s="14" t="n">
        <v>7.5</v>
      </c>
      <c r="R106" s="32" t="s">
        <v>441</v>
      </c>
      <c r="S106" s="32" t="s">
        <v>435</v>
      </c>
      <c r="T106" s="49" t="s">
        <v>258</v>
      </c>
      <c r="U106" s="49" t="s">
        <v>259</v>
      </c>
      <c r="V106" s="49" t="s">
        <v>259</v>
      </c>
      <c r="W106" s="14" t="s">
        <v>260</v>
      </c>
      <c r="X106" s="14"/>
      <c r="Y106" s="48" t="s">
        <v>273</v>
      </c>
    </row>
    <row r="107" customFormat="false" ht="126.75" hidden="false" customHeight="true" outlineLevel="0" collapsed="false">
      <c r="A107" s="29" t="n">
        <v>102</v>
      </c>
      <c r="B107" s="30" t="n">
        <f aca="false">सारांश!$B$4+A107-1</f>
        <v>46442</v>
      </c>
      <c r="C107" s="29" t="str">
        <f aca="false">CHOOSE(WEEKDAY(B107,2),"सोमवार","मंगलवार","बुधवार","गुरुवार","शुक्रवार","शनिवार","रविवार")</f>
        <v>बुधवार</v>
      </c>
      <c r="D107" s="29" t="n">
        <f aca="false">IF(A107=1,0,INT((A107-2)/7)+1)</f>
        <v>15</v>
      </c>
      <c r="E107" s="29" t="n">
        <f aca="false">(YEAR(B107)-YEAR(सारांश!$B$4))*12+MONTH(B107)-MONTH(सारांश!$B$4)+IF(DAY(B107)&gt;=DAY(सारांश!$B$4),1,0)</f>
        <v>4</v>
      </c>
      <c r="F107" s="31" t="s">
        <v>16</v>
      </c>
      <c r="G107" s="14" t="s">
        <v>536</v>
      </c>
      <c r="H107" s="32" t="s">
        <v>537</v>
      </c>
      <c r="I107" s="32" t="s">
        <v>538</v>
      </c>
      <c r="J107" s="48" t="s">
        <v>539</v>
      </c>
      <c r="K107" s="48" t="s">
        <v>540</v>
      </c>
      <c r="L107" s="14" t="s">
        <v>433</v>
      </c>
      <c r="M107" s="32" t="s">
        <v>541</v>
      </c>
      <c r="N107" s="32" t="s">
        <v>279</v>
      </c>
      <c r="O107" s="32" t="s">
        <v>269</v>
      </c>
      <c r="P107" s="32" t="s">
        <v>270</v>
      </c>
      <c r="Q107" s="14" t="n">
        <v>7.5</v>
      </c>
      <c r="R107" s="32" t="s">
        <v>542</v>
      </c>
      <c r="S107" s="32" t="s">
        <v>435</v>
      </c>
      <c r="T107" s="49" t="s">
        <v>258</v>
      </c>
      <c r="U107" s="49" t="s">
        <v>259</v>
      </c>
      <c r="V107" s="49" t="s">
        <v>259</v>
      </c>
      <c r="W107" s="14" t="s">
        <v>260</v>
      </c>
      <c r="X107" s="14"/>
      <c r="Y107" s="48" t="s">
        <v>273</v>
      </c>
    </row>
    <row r="108" customFormat="false" ht="126.75" hidden="false" customHeight="true" outlineLevel="0" collapsed="false">
      <c r="A108" s="29" t="n">
        <v>103</v>
      </c>
      <c r="B108" s="30" t="n">
        <f aca="false">सारांश!$B$4+A108-1</f>
        <v>46443</v>
      </c>
      <c r="C108" s="29" t="str">
        <f aca="false">CHOOSE(WEEKDAY(B108,2),"सोमवार","मंगलवार","बुधवार","गुरुवार","शुक्रवार","शनिवार","रविवार")</f>
        <v>गुरुवार</v>
      </c>
      <c r="D108" s="29" t="n">
        <f aca="false">IF(A108=1,0,INT((A108-2)/7)+1)</f>
        <v>15</v>
      </c>
      <c r="E108" s="29" t="n">
        <f aca="false">(YEAR(B108)-YEAR(सारांश!$B$4))*12+MONTH(B108)-MONTH(सारांश!$B$4)+IF(DAY(B108)&gt;=DAY(सारांश!$B$4),1,0)</f>
        <v>4</v>
      </c>
      <c r="F108" s="31" t="s">
        <v>16</v>
      </c>
      <c r="G108" s="14" t="s">
        <v>536</v>
      </c>
      <c r="H108" s="32" t="s">
        <v>543</v>
      </c>
      <c r="I108" s="32" t="s">
        <v>538</v>
      </c>
      <c r="J108" s="48" t="s">
        <v>539</v>
      </c>
      <c r="K108" s="48" t="s">
        <v>540</v>
      </c>
      <c r="L108" s="14" t="s">
        <v>433</v>
      </c>
      <c r="M108" s="32" t="s">
        <v>544</v>
      </c>
      <c r="N108" s="32" t="s">
        <v>284</v>
      </c>
      <c r="O108" s="32" t="s">
        <v>269</v>
      </c>
      <c r="P108" s="32" t="s">
        <v>270</v>
      </c>
      <c r="Q108" s="14" t="n">
        <v>7.5</v>
      </c>
      <c r="R108" s="32" t="s">
        <v>542</v>
      </c>
      <c r="S108" s="32" t="s">
        <v>435</v>
      </c>
      <c r="T108" s="49" t="s">
        <v>258</v>
      </c>
      <c r="U108" s="49" t="s">
        <v>259</v>
      </c>
      <c r="V108" s="49" t="s">
        <v>259</v>
      </c>
      <c r="W108" s="14" t="s">
        <v>260</v>
      </c>
      <c r="X108" s="14"/>
      <c r="Y108" s="48" t="s">
        <v>273</v>
      </c>
    </row>
    <row r="109" customFormat="false" ht="126.75" hidden="false" customHeight="true" outlineLevel="0" collapsed="false">
      <c r="A109" s="29" t="n">
        <v>104</v>
      </c>
      <c r="B109" s="30" t="n">
        <f aca="false">सारांश!$B$4+A109-1</f>
        <v>46444</v>
      </c>
      <c r="C109" s="29" t="str">
        <f aca="false">CHOOSE(WEEKDAY(B109,2),"सोमवार","मंगलवार","बुधवार","गुरुवार","शुक्रवार","शनिवार","रविवार")</f>
        <v>शुक्रवार</v>
      </c>
      <c r="D109" s="29" t="n">
        <f aca="false">IF(A109=1,0,INT((A109-2)/7)+1)</f>
        <v>15</v>
      </c>
      <c r="E109" s="29" t="n">
        <f aca="false">(YEAR(B109)-YEAR(सारांश!$B$4))*12+MONTH(B109)-MONTH(सारांश!$B$4)+IF(DAY(B109)&gt;=DAY(सारांश!$B$4),1,0)</f>
        <v>4</v>
      </c>
      <c r="F109" s="31" t="s">
        <v>16</v>
      </c>
      <c r="G109" s="14" t="s">
        <v>536</v>
      </c>
      <c r="H109" s="32" t="s">
        <v>545</v>
      </c>
      <c r="I109" s="32" t="s">
        <v>538</v>
      </c>
      <c r="J109" s="48" t="s">
        <v>539</v>
      </c>
      <c r="K109" s="48" t="s">
        <v>540</v>
      </c>
      <c r="L109" s="14" t="s">
        <v>433</v>
      </c>
      <c r="M109" s="32" t="s">
        <v>546</v>
      </c>
      <c r="N109" s="32" t="s">
        <v>287</v>
      </c>
      <c r="O109" s="32" t="s">
        <v>269</v>
      </c>
      <c r="P109" s="32" t="s">
        <v>270</v>
      </c>
      <c r="Q109" s="14" t="n">
        <v>7.5</v>
      </c>
      <c r="R109" s="32" t="s">
        <v>542</v>
      </c>
      <c r="S109" s="32" t="s">
        <v>435</v>
      </c>
      <c r="T109" s="49" t="s">
        <v>258</v>
      </c>
      <c r="U109" s="49" t="s">
        <v>259</v>
      </c>
      <c r="V109" s="49" t="s">
        <v>259</v>
      </c>
      <c r="W109" s="14" t="s">
        <v>260</v>
      </c>
      <c r="X109" s="14"/>
      <c r="Y109" s="48" t="s">
        <v>273</v>
      </c>
    </row>
    <row r="110" customFormat="false" ht="126.75" hidden="false" customHeight="true" outlineLevel="0" collapsed="false">
      <c r="A110" s="29" t="n">
        <v>105</v>
      </c>
      <c r="B110" s="30" t="n">
        <f aca="false">सारांश!$B$4+A110-1</f>
        <v>46445</v>
      </c>
      <c r="C110" s="29" t="str">
        <f aca="false">CHOOSE(WEEKDAY(B110,2),"सोमवार","मंगलवार","बुधवार","गुरुवार","शुक्रवार","शनिवार","रविवार")</f>
        <v>शनिवार</v>
      </c>
      <c r="D110" s="29" t="n">
        <f aca="false">IF(A110=1,0,INT((A110-2)/7)+1)</f>
        <v>15</v>
      </c>
      <c r="E110" s="29" t="n">
        <f aca="false">(YEAR(B110)-YEAR(सारांश!$B$4))*12+MONTH(B110)-MONTH(सारांश!$B$4)+IF(DAY(B110)&gt;=DAY(सारांश!$B$4),1,0)</f>
        <v>4</v>
      </c>
      <c r="F110" s="31" t="s">
        <v>16</v>
      </c>
      <c r="G110" s="14" t="s">
        <v>536</v>
      </c>
      <c r="H110" s="32" t="s">
        <v>547</v>
      </c>
      <c r="I110" s="32" t="s">
        <v>548</v>
      </c>
      <c r="J110" s="48" t="s">
        <v>549</v>
      </c>
      <c r="K110" s="48" t="s">
        <v>540</v>
      </c>
      <c r="L110" s="14" t="s">
        <v>433</v>
      </c>
      <c r="M110" s="32" t="s">
        <v>550</v>
      </c>
      <c r="N110" s="32" t="s">
        <v>290</v>
      </c>
      <c r="O110" s="32" t="s">
        <v>269</v>
      </c>
      <c r="P110" s="32" t="s">
        <v>270</v>
      </c>
      <c r="Q110" s="14" t="n">
        <v>7.5</v>
      </c>
      <c r="R110" s="32" t="s">
        <v>542</v>
      </c>
      <c r="S110" s="32" t="s">
        <v>435</v>
      </c>
      <c r="T110" s="49" t="s">
        <v>258</v>
      </c>
      <c r="U110" s="49" t="s">
        <v>259</v>
      </c>
      <c r="V110" s="49" t="s">
        <v>259</v>
      </c>
      <c r="W110" s="14" t="s">
        <v>260</v>
      </c>
      <c r="X110" s="14"/>
      <c r="Y110" s="48" t="s">
        <v>273</v>
      </c>
    </row>
    <row r="111" customFormat="false" ht="93" hidden="false" customHeight="true" outlineLevel="0" collapsed="false">
      <c r="A111" s="50" t="n">
        <v>106</v>
      </c>
      <c r="B111" s="51" t="n">
        <f aca="false">सारांश!$B$4+A111-1</f>
        <v>46446</v>
      </c>
      <c r="C111" s="50" t="str">
        <f aca="false">CHOOSE(WEEKDAY(B111,2),"सोमवार","मंगलवार","बुधवार","गुरुवार","शुक्रवार","शनिवार","रविवार")</f>
        <v>रविवार</v>
      </c>
      <c r="D111" s="50" t="n">
        <f aca="false">IF(A111=1,0,INT((A111-2)/7)+1)</f>
        <v>15</v>
      </c>
      <c r="E111" s="50" t="n">
        <f aca="false">(YEAR(B111)-YEAR(सारांश!$B$4))*12+MONTH(B111)-MONTH(सारांश!$B$4)+IF(DAY(B111)&gt;=DAY(सारांश!$B$4),1,0)</f>
        <v>4</v>
      </c>
      <c r="F111" s="52" t="s">
        <v>16</v>
      </c>
      <c r="G111" s="50" t="s">
        <v>291</v>
      </c>
      <c r="H111" s="52" t="s">
        <v>127</v>
      </c>
      <c r="I111" s="52" t="s">
        <v>551</v>
      </c>
      <c r="J111" s="53" t="s">
        <v>293</v>
      </c>
      <c r="K111" s="53" t="s">
        <v>294</v>
      </c>
      <c r="L111" s="50" t="s">
        <v>295</v>
      </c>
      <c r="M111" s="52" t="s">
        <v>296</v>
      </c>
      <c r="N111" s="52" t="s">
        <v>297</v>
      </c>
      <c r="O111" s="52" t="s">
        <v>298</v>
      </c>
      <c r="P111" s="52" t="s">
        <v>299</v>
      </c>
      <c r="Q111" s="50" t="n">
        <v>6</v>
      </c>
      <c r="R111" s="52" t="s">
        <v>300</v>
      </c>
      <c r="S111" s="52" t="s">
        <v>257</v>
      </c>
      <c r="T111" s="54" t="s">
        <v>258</v>
      </c>
      <c r="U111" s="54" t="s">
        <v>259</v>
      </c>
      <c r="V111" s="54" t="s">
        <v>259</v>
      </c>
      <c r="W111" s="50" t="s">
        <v>260</v>
      </c>
      <c r="X111" s="50"/>
    </row>
    <row r="112" customFormat="false" ht="126.75" hidden="false" customHeight="true" outlineLevel="0" collapsed="false">
      <c r="A112" s="29" t="n">
        <v>107</v>
      </c>
      <c r="B112" s="30" t="n">
        <f aca="false">सारांश!$B$4+A112-1</f>
        <v>46447</v>
      </c>
      <c r="C112" s="29" t="str">
        <f aca="false">CHOOSE(WEEKDAY(B112,2),"सोमवार","मंगलवार","बुधवार","गुरुवार","शुक्रवार","शनिवार","रविवार")</f>
        <v>सोमवार</v>
      </c>
      <c r="D112" s="29" t="n">
        <f aca="false">IF(A112=1,0,INT((A112-2)/7)+1)</f>
        <v>16</v>
      </c>
      <c r="E112" s="29" t="n">
        <f aca="false">(YEAR(B112)-YEAR(सारांश!$B$4))*12+MONTH(B112)-MONTH(सारांश!$B$4)+IF(DAY(B112)&gt;=DAY(सारांश!$B$4),1,0)</f>
        <v>4</v>
      </c>
      <c r="F112" s="31" t="s">
        <v>16</v>
      </c>
      <c r="G112" s="14" t="s">
        <v>536</v>
      </c>
      <c r="H112" s="32" t="s">
        <v>552</v>
      </c>
      <c r="I112" s="32" t="s">
        <v>548</v>
      </c>
      <c r="J112" s="48" t="s">
        <v>549</v>
      </c>
      <c r="K112" s="48" t="s">
        <v>540</v>
      </c>
      <c r="L112" s="14" t="s">
        <v>433</v>
      </c>
      <c r="M112" s="32" t="s">
        <v>553</v>
      </c>
      <c r="N112" s="32" t="s">
        <v>268</v>
      </c>
      <c r="O112" s="32" t="s">
        <v>269</v>
      </c>
      <c r="P112" s="32" t="s">
        <v>270</v>
      </c>
      <c r="Q112" s="14" t="n">
        <v>7.5</v>
      </c>
      <c r="R112" s="32" t="s">
        <v>542</v>
      </c>
      <c r="S112" s="32" t="s">
        <v>435</v>
      </c>
      <c r="T112" s="49" t="s">
        <v>258</v>
      </c>
      <c r="U112" s="49" t="s">
        <v>259</v>
      </c>
      <c r="V112" s="49" t="s">
        <v>259</v>
      </c>
      <c r="W112" s="14" t="s">
        <v>260</v>
      </c>
      <c r="X112" s="14"/>
      <c r="Y112" s="48" t="s">
        <v>273</v>
      </c>
    </row>
    <row r="113" customFormat="false" ht="126.75" hidden="false" customHeight="true" outlineLevel="0" collapsed="false">
      <c r="A113" s="29" t="n">
        <v>108</v>
      </c>
      <c r="B113" s="30" t="n">
        <f aca="false">सारांश!$B$4+A113-1</f>
        <v>46448</v>
      </c>
      <c r="C113" s="29" t="str">
        <f aca="false">CHOOSE(WEEKDAY(B113,2),"सोमवार","मंगलवार","बुधवार","गुरुवार","शुक्रवार","शनिवार","रविवार")</f>
        <v>मंगलवार</v>
      </c>
      <c r="D113" s="29" t="n">
        <f aca="false">IF(A113=1,0,INT((A113-2)/7)+1)</f>
        <v>16</v>
      </c>
      <c r="E113" s="29" t="n">
        <f aca="false">(YEAR(B113)-YEAR(सारांश!$B$4))*12+MONTH(B113)-MONTH(सारांश!$B$4)+IF(DAY(B113)&gt;=DAY(सारांश!$B$4),1,0)</f>
        <v>4</v>
      </c>
      <c r="F113" s="31" t="s">
        <v>16</v>
      </c>
      <c r="G113" s="14" t="s">
        <v>536</v>
      </c>
      <c r="H113" s="32" t="s">
        <v>554</v>
      </c>
      <c r="I113" s="32" t="s">
        <v>548</v>
      </c>
      <c r="J113" s="48" t="s">
        <v>549</v>
      </c>
      <c r="K113" s="48" t="s">
        <v>540</v>
      </c>
      <c r="L113" s="14" t="s">
        <v>433</v>
      </c>
      <c r="M113" s="32" t="s">
        <v>555</v>
      </c>
      <c r="N113" s="32" t="s">
        <v>276</v>
      </c>
      <c r="O113" s="32" t="s">
        <v>269</v>
      </c>
      <c r="P113" s="32" t="s">
        <v>270</v>
      </c>
      <c r="Q113" s="14" t="n">
        <v>7.5</v>
      </c>
      <c r="R113" s="32" t="s">
        <v>542</v>
      </c>
      <c r="S113" s="32" t="s">
        <v>435</v>
      </c>
      <c r="T113" s="49" t="s">
        <v>258</v>
      </c>
      <c r="U113" s="49" t="s">
        <v>259</v>
      </c>
      <c r="V113" s="49" t="s">
        <v>259</v>
      </c>
      <c r="W113" s="14" t="s">
        <v>260</v>
      </c>
      <c r="X113" s="14"/>
      <c r="Y113" s="48" t="s">
        <v>273</v>
      </c>
    </row>
    <row r="114" customFormat="false" ht="144" hidden="false" customHeight="true" outlineLevel="0" collapsed="false">
      <c r="A114" s="29" t="n">
        <v>109</v>
      </c>
      <c r="B114" s="30" t="n">
        <f aca="false">सारांश!$B$4+A114-1</f>
        <v>46449</v>
      </c>
      <c r="C114" s="29" t="str">
        <f aca="false">CHOOSE(WEEKDAY(B114,2),"सोमवार","मंगलवार","बुधवार","गुरुवार","शुक्रवार","शनिवार","रविवार")</f>
        <v>बुधवार</v>
      </c>
      <c r="D114" s="29" t="n">
        <f aca="false">IF(A114=1,0,INT((A114-2)/7)+1)</f>
        <v>16</v>
      </c>
      <c r="E114" s="29" t="n">
        <f aca="false">(YEAR(B114)-YEAR(सारांश!$B$4))*12+MONTH(B114)-MONTH(सारांश!$B$4)+IF(DAY(B114)&gt;=DAY(सारांश!$B$4),1,0)</f>
        <v>4</v>
      </c>
      <c r="F114" s="31" t="s">
        <v>16</v>
      </c>
      <c r="G114" s="14" t="s">
        <v>536</v>
      </c>
      <c r="H114" s="32" t="s">
        <v>556</v>
      </c>
      <c r="I114" s="32" t="s">
        <v>557</v>
      </c>
      <c r="J114" s="48" t="s">
        <v>558</v>
      </c>
      <c r="K114" s="48" t="s">
        <v>540</v>
      </c>
      <c r="L114" s="14" t="s">
        <v>433</v>
      </c>
      <c r="M114" s="32" t="s">
        <v>559</v>
      </c>
      <c r="N114" s="32" t="s">
        <v>279</v>
      </c>
      <c r="O114" s="32" t="s">
        <v>269</v>
      </c>
      <c r="P114" s="32" t="s">
        <v>270</v>
      </c>
      <c r="Q114" s="14" t="n">
        <v>7.5</v>
      </c>
      <c r="R114" s="32" t="s">
        <v>542</v>
      </c>
      <c r="S114" s="32" t="s">
        <v>435</v>
      </c>
      <c r="T114" s="49" t="s">
        <v>258</v>
      </c>
      <c r="U114" s="49" t="s">
        <v>259</v>
      </c>
      <c r="V114" s="49" t="s">
        <v>259</v>
      </c>
      <c r="W114" s="14" t="s">
        <v>260</v>
      </c>
      <c r="X114" s="14"/>
      <c r="Y114" s="48" t="s">
        <v>273</v>
      </c>
    </row>
    <row r="115" customFormat="false" ht="144" hidden="false" customHeight="true" outlineLevel="0" collapsed="false">
      <c r="A115" s="29" t="n">
        <v>110</v>
      </c>
      <c r="B115" s="30" t="n">
        <f aca="false">सारांश!$B$4+A115-1</f>
        <v>46450</v>
      </c>
      <c r="C115" s="29" t="str">
        <f aca="false">CHOOSE(WEEKDAY(B115,2),"सोमवार","मंगलवार","बुधवार","गुरुवार","शुक्रवार","शनिवार","रविवार")</f>
        <v>गुरुवार</v>
      </c>
      <c r="D115" s="29" t="n">
        <f aca="false">IF(A115=1,0,INT((A115-2)/7)+1)</f>
        <v>16</v>
      </c>
      <c r="E115" s="29" t="n">
        <f aca="false">(YEAR(B115)-YEAR(सारांश!$B$4))*12+MONTH(B115)-MONTH(सारांश!$B$4)+IF(DAY(B115)&gt;=DAY(सारांश!$B$4),1,0)</f>
        <v>4</v>
      </c>
      <c r="F115" s="31" t="s">
        <v>16</v>
      </c>
      <c r="G115" s="14" t="s">
        <v>536</v>
      </c>
      <c r="H115" s="32" t="s">
        <v>560</v>
      </c>
      <c r="I115" s="32" t="s">
        <v>557</v>
      </c>
      <c r="J115" s="48" t="s">
        <v>558</v>
      </c>
      <c r="K115" s="48" t="s">
        <v>540</v>
      </c>
      <c r="L115" s="14" t="s">
        <v>561</v>
      </c>
      <c r="M115" s="32" t="s">
        <v>562</v>
      </c>
      <c r="N115" s="32" t="s">
        <v>284</v>
      </c>
      <c r="O115" s="32" t="s">
        <v>269</v>
      </c>
      <c r="P115" s="32" t="s">
        <v>270</v>
      </c>
      <c r="Q115" s="14" t="n">
        <v>7.5</v>
      </c>
      <c r="R115" s="32" t="s">
        <v>542</v>
      </c>
      <c r="S115" s="32" t="s">
        <v>563</v>
      </c>
      <c r="T115" s="49" t="s">
        <v>258</v>
      </c>
      <c r="U115" s="49" t="s">
        <v>259</v>
      </c>
      <c r="V115" s="49" t="s">
        <v>259</v>
      </c>
      <c r="W115" s="14" t="s">
        <v>260</v>
      </c>
      <c r="X115" s="14"/>
      <c r="Y115" s="48" t="s">
        <v>273</v>
      </c>
    </row>
    <row r="116" customFormat="false" ht="144" hidden="false" customHeight="true" outlineLevel="0" collapsed="false">
      <c r="A116" s="29" t="n">
        <v>111</v>
      </c>
      <c r="B116" s="30" t="n">
        <f aca="false">सारांश!$B$4+A116-1</f>
        <v>46451</v>
      </c>
      <c r="C116" s="29" t="str">
        <f aca="false">CHOOSE(WEEKDAY(B116,2),"सोमवार","मंगलवार","बुधवार","गुरुवार","शुक्रवार","शनिवार","रविवार")</f>
        <v>शुक्रवार</v>
      </c>
      <c r="D116" s="29" t="n">
        <f aca="false">IF(A116=1,0,INT((A116-2)/7)+1)</f>
        <v>16</v>
      </c>
      <c r="E116" s="29" t="n">
        <f aca="false">(YEAR(B116)-YEAR(सारांश!$B$4))*12+MONTH(B116)-MONTH(सारांश!$B$4)+IF(DAY(B116)&gt;=DAY(सारांश!$B$4),1,0)</f>
        <v>4</v>
      </c>
      <c r="F116" s="31" t="s">
        <v>16</v>
      </c>
      <c r="G116" s="14" t="s">
        <v>536</v>
      </c>
      <c r="H116" s="32" t="s">
        <v>564</v>
      </c>
      <c r="I116" s="32" t="s">
        <v>557</v>
      </c>
      <c r="J116" s="48" t="s">
        <v>558</v>
      </c>
      <c r="K116" s="48" t="s">
        <v>540</v>
      </c>
      <c r="L116" s="14" t="s">
        <v>561</v>
      </c>
      <c r="M116" s="32" t="s">
        <v>565</v>
      </c>
      <c r="N116" s="32" t="s">
        <v>287</v>
      </c>
      <c r="O116" s="32" t="s">
        <v>269</v>
      </c>
      <c r="P116" s="32" t="s">
        <v>270</v>
      </c>
      <c r="Q116" s="14" t="n">
        <v>7.5</v>
      </c>
      <c r="R116" s="32" t="s">
        <v>542</v>
      </c>
      <c r="S116" s="32" t="s">
        <v>563</v>
      </c>
      <c r="T116" s="49" t="s">
        <v>258</v>
      </c>
      <c r="U116" s="49" t="s">
        <v>259</v>
      </c>
      <c r="V116" s="49" t="s">
        <v>259</v>
      </c>
      <c r="W116" s="14" t="s">
        <v>260</v>
      </c>
      <c r="X116" s="14"/>
      <c r="Y116" s="48" t="s">
        <v>273</v>
      </c>
    </row>
    <row r="117" customFormat="false" ht="126.75" hidden="false" customHeight="true" outlineLevel="0" collapsed="false">
      <c r="A117" s="29" t="n">
        <v>112</v>
      </c>
      <c r="B117" s="30" t="n">
        <f aca="false">सारांश!$B$4+A117-1</f>
        <v>46452</v>
      </c>
      <c r="C117" s="29" t="str">
        <f aca="false">CHOOSE(WEEKDAY(B117,2),"सोमवार","मंगलवार","बुधवार","गुरुवार","शुक्रवार","शनिवार","रविवार")</f>
        <v>शनिवार</v>
      </c>
      <c r="D117" s="29" t="n">
        <f aca="false">IF(A117=1,0,INT((A117-2)/7)+1)</f>
        <v>16</v>
      </c>
      <c r="E117" s="29" t="n">
        <f aca="false">(YEAR(B117)-YEAR(सारांश!$B$4))*12+MONTH(B117)-MONTH(सारांश!$B$4)+IF(DAY(B117)&gt;=DAY(सारांश!$B$4),1,0)</f>
        <v>4</v>
      </c>
      <c r="F117" s="31" t="s">
        <v>16</v>
      </c>
      <c r="G117" s="14" t="s">
        <v>536</v>
      </c>
      <c r="H117" s="32" t="s">
        <v>566</v>
      </c>
      <c r="I117" s="32" t="s">
        <v>567</v>
      </c>
      <c r="J117" s="48" t="s">
        <v>568</v>
      </c>
      <c r="K117" s="48" t="s">
        <v>540</v>
      </c>
      <c r="L117" s="14" t="s">
        <v>561</v>
      </c>
      <c r="M117" s="32" t="s">
        <v>569</v>
      </c>
      <c r="N117" s="32" t="s">
        <v>290</v>
      </c>
      <c r="O117" s="32" t="s">
        <v>269</v>
      </c>
      <c r="P117" s="32" t="s">
        <v>270</v>
      </c>
      <c r="Q117" s="14" t="n">
        <v>7.5</v>
      </c>
      <c r="R117" s="32" t="s">
        <v>542</v>
      </c>
      <c r="S117" s="32" t="s">
        <v>563</v>
      </c>
      <c r="T117" s="49" t="s">
        <v>258</v>
      </c>
      <c r="U117" s="49" t="s">
        <v>259</v>
      </c>
      <c r="V117" s="49" t="s">
        <v>259</v>
      </c>
      <c r="W117" s="14" t="s">
        <v>260</v>
      </c>
      <c r="X117" s="14"/>
      <c r="Y117" s="48" t="s">
        <v>273</v>
      </c>
    </row>
    <row r="118" customFormat="false" ht="93" hidden="false" customHeight="true" outlineLevel="0" collapsed="false">
      <c r="A118" s="50" t="n">
        <v>113</v>
      </c>
      <c r="B118" s="51" t="n">
        <f aca="false">सारांश!$B$4+A118-1</f>
        <v>46453</v>
      </c>
      <c r="C118" s="50" t="str">
        <f aca="false">CHOOSE(WEEKDAY(B118,2),"सोमवार","मंगलवार","बुधवार","गुरुवार","शुक्रवार","शनिवार","रविवार")</f>
        <v>रविवार</v>
      </c>
      <c r="D118" s="50" t="n">
        <f aca="false">IF(A118=1,0,INT((A118-2)/7)+1)</f>
        <v>16</v>
      </c>
      <c r="E118" s="50" t="n">
        <f aca="false">(YEAR(B118)-YEAR(सारांश!$B$4))*12+MONTH(B118)-MONTH(सारांश!$B$4)+IF(DAY(B118)&gt;=DAY(सारांश!$B$4),1,0)</f>
        <v>4</v>
      </c>
      <c r="F118" s="52" t="s">
        <v>16</v>
      </c>
      <c r="G118" s="50" t="s">
        <v>291</v>
      </c>
      <c r="H118" s="52" t="s">
        <v>135</v>
      </c>
      <c r="I118" s="52" t="s">
        <v>570</v>
      </c>
      <c r="J118" s="53" t="s">
        <v>293</v>
      </c>
      <c r="K118" s="53" t="s">
        <v>294</v>
      </c>
      <c r="L118" s="50" t="s">
        <v>295</v>
      </c>
      <c r="M118" s="52" t="s">
        <v>296</v>
      </c>
      <c r="N118" s="52" t="s">
        <v>297</v>
      </c>
      <c r="O118" s="52" t="s">
        <v>298</v>
      </c>
      <c r="P118" s="52" t="s">
        <v>299</v>
      </c>
      <c r="Q118" s="50" t="n">
        <v>6</v>
      </c>
      <c r="R118" s="52" t="s">
        <v>300</v>
      </c>
      <c r="S118" s="52" t="s">
        <v>257</v>
      </c>
      <c r="T118" s="54" t="s">
        <v>258</v>
      </c>
      <c r="U118" s="54" t="s">
        <v>259</v>
      </c>
      <c r="V118" s="54" t="s">
        <v>259</v>
      </c>
      <c r="W118" s="50" t="s">
        <v>260</v>
      </c>
      <c r="X118" s="50"/>
    </row>
    <row r="119" customFormat="false" ht="126.75" hidden="false" customHeight="true" outlineLevel="0" collapsed="false">
      <c r="A119" s="29" t="n">
        <v>114</v>
      </c>
      <c r="B119" s="30" t="n">
        <f aca="false">सारांश!$B$4+A119-1</f>
        <v>46454</v>
      </c>
      <c r="C119" s="29" t="str">
        <f aca="false">CHOOSE(WEEKDAY(B119,2),"सोमवार","मंगलवार","बुधवार","गुरुवार","शुक्रवार","शनिवार","रविवार")</f>
        <v>सोमवार</v>
      </c>
      <c r="D119" s="29" t="n">
        <f aca="false">IF(A119=1,0,INT((A119-2)/7)+1)</f>
        <v>17</v>
      </c>
      <c r="E119" s="29" t="n">
        <f aca="false">(YEAR(B119)-YEAR(सारांश!$B$4))*12+MONTH(B119)-MONTH(सारांश!$B$4)+IF(DAY(B119)&gt;=DAY(सारांश!$B$4),1,0)</f>
        <v>4</v>
      </c>
      <c r="F119" s="31" t="s">
        <v>16</v>
      </c>
      <c r="G119" s="14" t="s">
        <v>536</v>
      </c>
      <c r="H119" s="32" t="s">
        <v>571</v>
      </c>
      <c r="I119" s="32" t="s">
        <v>567</v>
      </c>
      <c r="J119" s="48" t="s">
        <v>568</v>
      </c>
      <c r="K119" s="48" t="s">
        <v>540</v>
      </c>
      <c r="L119" s="14" t="s">
        <v>561</v>
      </c>
      <c r="M119" s="32" t="s">
        <v>572</v>
      </c>
      <c r="N119" s="32" t="s">
        <v>268</v>
      </c>
      <c r="O119" s="32" t="s">
        <v>269</v>
      </c>
      <c r="P119" s="32" t="s">
        <v>270</v>
      </c>
      <c r="Q119" s="14" t="n">
        <v>7.5</v>
      </c>
      <c r="R119" s="32" t="s">
        <v>542</v>
      </c>
      <c r="S119" s="32" t="s">
        <v>563</v>
      </c>
      <c r="T119" s="49" t="s">
        <v>258</v>
      </c>
      <c r="U119" s="49" t="s">
        <v>259</v>
      </c>
      <c r="V119" s="49" t="s">
        <v>259</v>
      </c>
      <c r="W119" s="14" t="s">
        <v>260</v>
      </c>
      <c r="X119" s="14"/>
      <c r="Y119" s="48" t="s">
        <v>273</v>
      </c>
    </row>
    <row r="120" customFormat="false" ht="126.75" hidden="false" customHeight="true" outlineLevel="0" collapsed="false">
      <c r="A120" s="29" t="n">
        <v>115</v>
      </c>
      <c r="B120" s="30" t="n">
        <f aca="false">सारांश!$B$4+A120-1</f>
        <v>46455</v>
      </c>
      <c r="C120" s="29" t="str">
        <f aca="false">CHOOSE(WEEKDAY(B120,2),"सोमवार","मंगलवार","बुधवार","गुरुवार","शुक्रवार","शनिवार","रविवार")</f>
        <v>मंगलवार</v>
      </c>
      <c r="D120" s="29" t="n">
        <f aca="false">IF(A120=1,0,INT((A120-2)/7)+1)</f>
        <v>17</v>
      </c>
      <c r="E120" s="29" t="n">
        <f aca="false">(YEAR(B120)-YEAR(सारांश!$B$4))*12+MONTH(B120)-MONTH(सारांश!$B$4)+IF(DAY(B120)&gt;=DAY(सारांश!$B$4),1,0)</f>
        <v>4</v>
      </c>
      <c r="F120" s="31" t="s">
        <v>16</v>
      </c>
      <c r="G120" s="14" t="s">
        <v>536</v>
      </c>
      <c r="H120" s="32" t="s">
        <v>573</v>
      </c>
      <c r="I120" s="32" t="s">
        <v>567</v>
      </c>
      <c r="J120" s="48" t="s">
        <v>568</v>
      </c>
      <c r="K120" s="48" t="s">
        <v>540</v>
      </c>
      <c r="L120" s="14" t="s">
        <v>561</v>
      </c>
      <c r="M120" s="32" t="s">
        <v>574</v>
      </c>
      <c r="N120" s="32" t="s">
        <v>276</v>
      </c>
      <c r="O120" s="32" t="s">
        <v>269</v>
      </c>
      <c r="P120" s="32" t="s">
        <v>270</v>
      </c>
      <c r="Q120" s="14" t="n">
        <v>7.5</v>
      </c>
      <c r="R120" s="32" t="s">
        <v>542</v>
      </c>
      <c r="S120" s="32" t="s">
        <v>563</v>
      </c>
      <c r="T120" s="49" t="s">
        <v>258</v>
      </c>
      <c r="U120" s="49" t="s">
        <v>259</v>
      </c>
      <c r="V120" s="49" t="s">
        <v>259</v>
      </c>
      <c r="W120" s="14" t="s">
        <v>260</v>
      </c>
      <c r="X120" s="14"/>
      <c r="Y120" s="48" t="s">
        <v>273</v>
      </c>
    </row>
    <row r="121" customFormat="false" ht="109.5" hidden="false" customHeight="true" outlineLevel="0" collapsed="false">
      <c r="A121" s="29" t="n">
        <v>116</v>
      </c>
      <c r="B121" s="30" t="n">
        <f aca="false">सारांश!$B$4+A121-1</f>
        <v>46456</v>
      </c>
      <c r="C121" s="29" t="str">
        <f aca="false">CHOOSE(WEEKDAY(B121,2),"सोमवार","मंगलवार","बुधवार","गुरुवार","शुक्रवार","शनिवार","रविवार")</f>
        <v>बुधवार</v>
      </c>
      <c r="D121" s="29" t="n">
        <f aca="false">IF(A121=1,0,INT((A121-2)/7)+1)</f>
        <v>17</v>
      </c>
      <c r="E121" s="29" t="n">
        <f aca="false">(YEAR(B121)-YEAR(सारांश!$B$4))*12+MONTH(B121)-MONTH(सारांश!$B$4)+IF(DAY(B121)&gt;=DAY(सारांश!$B$4),1,0)</f>
        <v>4</v>
      </c>
      <c r="F121" s="31" t="s">
        <v>16</v>
      </c>
      <c r="G121" s="14" t="s">
        <v>536</v>
      </c>
      <c r="H121" s="32" t="s">
        <v>575</v>
      </c>
      <c r="I121" s="32" t="s">
        <v>576</v>
      </c>
      <c r="J121" s="48" t="s">
        <v>577</v>
      </c>
      <c r="K121" s="48" t="s">
        <v>540</v>
      </c>
      <c r="L121" s="14" t="s">
        <v>561</v>
      </c>
      <c r="M121" s="32" t="s">
        <v>578</v>
      </c>
      <c r="N121" s="32" t="s">
        <v>279</v>
      </c>
      <c r="O121" s="32" t="s">
        <v>269</v>
      </c>
      <c r="P121" s="32" t="s">
        <v>270</v>
      </c>
      <c r="Q121" s="14" t="n">
        <v>7.5</v>
      </c>
      <c r="R121" s="32" t="s">
        <v>542</v>
      </c>
      <c r="S121" s="32" t="s">
        <v>563</v>
      </c>
      <c r="T121" s="49" t="s">
        <v>258</v>
      </c>
      <c r="U121" s="49" t="s">
        <v>259</v>
      </c>
      <c r="V121" s="49" t="s">
        <v>259</v>
      </c>
      <c r="W121" s="14" t="s">
        <v>260</v>
      </c>
      <c r="X121" s="14"/>
      <c r="Y121" s="48" t="s">
        <v>273</v>
      </c>
    </row>
    <row r="122" customFormat="false" ht="109.5" hidden="false" customHeight="true" outlineLevel="0" collapsed="false">
      <c r="A122" s="29" t="n">
        <v>117</v>
      </c>
      <c r="B122" s="30" t="n">
        <f aca="false">सारांश!$B$4+A122-1</f>
        <v>46457</v>
      </c>
      <c r="C122" s="29" t="str">
        <f aca="false">CHOOSE(WEEKDAY(B122,2),"सोमवार","मंगलवार","बुधवार","गुरुवार","शुक्रवार","शनिवार","रविवार")</f>
        <v>गुरुवार</v>
      </c>
      <c r="D122" s="29" t="n">
        <f aca="false">IF(A122=1,0,INT((A122-2)/7)+1)</f>
        <v>17</v>
      </c>
      <c r="E122" s="29" t="n">
        <f aca="false">(YEAR(B122)-YEAR(सारांश!$B$4))*12+MONTH(B122)-MONTH(सारांश!$B$4)+IF(DAY(B122)&gt;=DAY(सारांश!$B$4),1,0)</f>
        <v>4</v>
      </c>
      <c r="F122" s="31" t="s">
        <v>16</v>
      </c>
      <c r="G122" s="14" t="s">
        <v>536</v>
      </c>
      <c r="H122" s="32" t="s">
        <v>579</v>
      </c>
      <c r="I122" s="32" t="s">
        <v>576</v>
      </c>
      <c r="J122" s="48" t="s">
        <v>577</v>
      </c>
      <c r="K122" s="48" t="s">
        <v>540</v>
      </c>
      <c r="L122" s="14" t="s">
        <v>561</v>
      </c>
      <c r="M122" s="32" t="s">
        <v>580</v>
      </c>
      <c r="N122" s="32" t="s">
        <v>284</v>
      </c>
      <c r="O122" s="32" t="s">
        <v>269</v>
      </c>
      <c r="P122" s="32" t="s">
        <v>270</v>
      </c>
      <c r="Q122" s="14" t="n">
        <v>7.5</v>
      </c>
      <c r="R122" s="32" t="s">
        <v>542</v>
      </c>
      <c r="S122" s="32" t="s">
        <v>563</v>
      </c>
      <c r="T122" s="49" t="s">
        <v>258</v>
      </c>
      <c r="U122" s="49" t="s">
        <v>259</v>
      </c>
      <c r="V122" s="49" t="s">
        <v>259</v>
      </c>
      <c r="W122" s="14" t="s">
        <v>260</v>
      </c>
      <c r="X122" s="14"/>
      <c r="Y122" s="48" t="s">
        <v>273</v>
      </c>
    </row>
    <row r="123" customFormat="false" ht="109.5" hidden="false" customHeight="true" outlineLevel="0" collapsed="false">
      <c r="A123" s="29" t="n">
        <v>118</v>
      </c>
      <c r="B123" s="30" t="n">
        <f aca="false">सारांश!$B$4+A123-1</f>
        <v>46458</v>
      </c>
      <c r="C123" s="29" t="str">
        <f aca="false">CHOOSE(WEEKDAY(B123,2),"सोमवार","मंगलवार","बुधवार","गुरुवार","शुक्रवार","शनिवार","रविवार")</f>
        <v>शुक्रवार</v>
      </c>
      <c r="D123" s="29" t="n">
        <f aca="false">IF(A123=1,0,INT((A123-2)/7)+1)</f>
        <v>17</v>
      </c>
      <c r="E123" s="29" t="n">
        <f aca="false">(YEAR(B123)-YEAR(सारांश!$B$4))*12+MONTH(B123)-MONTH(सारांश!$B$4)+IF(DAY(B123)&gt;=DAY(सारांश!$B$4),1,0)</f>
        <v>4</v>
      </c>
      <c r="F123" s="31" t="s">
        <v>16</v>
      </c>
      <c r="G123" s="14" t="s">
        <v>536</v>
      </c>
      <c r="H123" s="32" t="s">
        <v>581</v>
      </c>
      <c r="I123" s="32" t="s">
        <v>576</v>
      </c>
      <c r="J123" s="48" t="s">
        <v>577</v>
      </c>
      <c r="K123" s="48" t="s">
        <v>540</v>
      </c>
      <c r="L123" s="14" t="s">
        <v>561</v>
      </c>
      <c r="M123" s="32" t="s">
        <v>582</v>
      </c>
      <c r="N123" s="32" t="s">
        <v>287</v>
      </c>
      <c r="O123" s="32" t="s">
        <v>269</v>
      </c>
      <c r="P123" s="32" t="s">
        <v>270</v>
      </c>
      <c r="Q123" s="14" t="n">
        <v>7.5</v>
      </c>
      <c r="R123" s="32" t="s">
        <v>542</v>
      </c>
      <c r="S123" s="32" t="s">
        <v>563</v>
      </c>
      <c r="T123" s="49" t="s">
        <v>258</v>
      </c>
      <c r="U123" s="49" t="s">
        <v>259</v>
      </c>
      <c r="V123" s="49" t="s">
        <v>259</v>
      </c>
      <c r="W123" s="14" t="s">
        <v>260</v>
      </c>
      <c r="X123" s="14"/>
      <c r="Y123" s="48" t="s">
        <v>273</v>
      </c>
    </row>
    <row r="124" customFormat="false" ht="109.5" hidden="false" customHeight="true" outlineLevel="0" collapsed="false">
      <c r="A124" s="29" t="n">
        <v>119</v>
      </c>
      <c r="B124" s="30" t="n">
        <f aca="false">सारांश!$B$4+A124-1</f>
        <v>46459</v>
      </c>
      <c r="C124" s="29" t="str">
        <f aca="false">CHOOSE(WEEKDAY(B124,2),"सोमवार","मंगलवार","बुधवार","गुरुवार","शुक्रवार","शनिवार","रविवार")</f>
        <v>शनिवार</v>
      </c>
      <c r="D124" s="29" t="n">
        <f aca="false">IF(A124=1,0,INT((A124-2)/7)+1)</f>
        <v>17</v>
      </c>
      <c r="E124" s="29" t="n">
        <f aca="false">(YEAR(B124)-YEAR(सारांश!$B$4))*12+MONTH(B124)-MONTH(सारांश!$B$4)+IF(DAY(B124)&gt;=DAY(सारांश!$B$4),1,0)</f>
        <v>4</v>
      </c>
      <c r="F124" s="31" t="s">
        <v>16</v>
      </c>
      <c r="G124" s="14" t="s">
        <v>536</v>
      </c>
      <c r="H124" s="32" t="s">
        <v>583</v>
      </c>
      <c r="I124" s="32" t="s">
        <v>576</v>
      </c>
      <c r="J124" s="48" t="s">
        <v>577</v>
      </c>
      <c r="K124" s="48" t="s">
        <v>540</v>
      </c>
      <c r="L124" s="14" t="s">
        <v>561</v>
      </c>
      <c r="M124" s="32" t="s">
        <v>584</v>
      </c>
      <c r="N124" s="32" t="s">
        <v>290</v>
      </c>
      <c r="O124" s="32" t="s">
        <v>269</v>
      </c>
      <c r="P124" s="32" t="s">
        <v>270</v>
      </c>
      <c r="Q124" s="14" t="n">
        <v>7.5</v>
      </c>
      <c r="R124" s="32" t="s">
        <v>542</v>
      </c>
      <c r="S124" s="32" t="s">
        <v>563</v>
      </c>
      <c r="T124" s="49" t="s">
        <v>258</v>
      </c>
      <c r="U124" s="49" t="s">
        <v>259</v>
      </c>
      <c r="V124" s="49" t="s">
        <v>259</v>
      </c>
      <c r="W124" s="14" t="s">
        <v>260</v>
      </c>
      <c r="X124" s="14"/>
      <c r="Y124" s="48" t="s">
        <v>273</v>
      </c>
    </row>
    <row r="125" customFormat="false" ht="58.5" hidden="false" customHeight="true" outlineLevel="0" collapsed="false">
      <c r="A125" s="50" t="n">
        <v>120</v>
      </c>
      <c r="B125" s="51" t="n">
        <f aca="false">सारांश!$B$4+A125-1</f>
        <v>46460</v>
      </c>
      <c r="C125" s="50" t="str">
        <f aca="false">CHOOSE(WEEKDAY(B125,2),"सोमवार","मंगलवार","बुधवार","गुरुवार","शुक्रवार","शनिवार","रविवार")</f>
        <v>रविवार</v>
      </c>
      <c r="D125" s="50" t="n">
        <f aca="false">IF(A125=1,0,INT((A125-2)/7)+1)</f>
        <v>17</v>
      </c>
      <c r="E125" s="50" t="n">
        <f aca="false">(YEAR(B125)-YEAR(सारांश!$B$4))*12+MONTH(B125)-MONTH(सारांश!$B$4)+IF(DAY(B125)&gt;=DAY(सारांश!$B$4),1,0)</f>
        <v>4</v>
      </c>
      <c r="F125" s="52" t="s">
        <v>16</v>
      </c>
      <c r="G125" s="50" t="s">
        <v>291</v>
      </c>
      <c r="H125" s="52" t="s">
        <v>127</v>
      </c>
      <c r="I125" s="52" t="s">
        <v>585</v>
      </c>
      <c r="J125" s="53" t="s">
        <v>293</v>
      </c>
      <c r="K125" s="53" t="s">
        <v>294</v>
      </c>
      <c r="L125" s="50" t="s">
        <v>295</v>
      </c>
      <c r="M125" s="52" t="s">
        <v>296</v>
      </c>
      <c r="N125" s="52" t="s">
        <v>297</v>
      </c>
      <c r="O125" s="52" t="s">
        <v>298</v>
      </c>
      <c r="P125" s="52" t="s">
        <v>299</v>
      </c>
      <c r="Q125" s="50" t="n">
        <v>6</v>
      </c>
      <c r="R125" s="52" t="s">
        <v>300</v>
      </c>
      <c r="S125" s="52" t="s">
        <v>257</v>
      </c>
      <c r="T125" s="54" t="s">
        <v>258</v>
      </c>
      <c r="U125" s="54" t="s">
        <v>259</v>
      </c>
      <c r="V125" s="54" t="s">
        <v>259</v>
      </c>
      <c r="W125" s="50" t="s">
        <v>260</v>
      </c>
      <c r="X125" s="50"/>
    </row>
    <row r="126" customFormat="false" ht="109.5" hidden="false" customHeight="true" outlineLevel="0" collapsed="false">
      <c r="A126" s="29" t="n">
        <v>121</v>
      </c>
      <c r="B126" s="30" t="n">
        <f aca="false">सारांश!$B$4+A126-1</f>
        <v>46461</v>
      </c>
      <c r="C126" s="29" t="str">
        <f aca="false">CHOOSE(WEEKDAY(B126,2),"सोमवार","मंगलवार","बुधवार","गुरुवार","शुक्रवार","शनिवार","रविवार")</f>
        <v>सोमवार</v>
      </c>
      <c r="D126" s="29" t="n">
        <f aca="false">IF(A126=1,0,INT((A126-2)/7)+1)</f>
        <v>18</v>
      </c>
      <c r="E126" s="29" t="n">
        <f aca="false">(YEAR(B126)-YEAR(सारांश!$B$4))*12+MONTH(B126)-MONTH(सारांश!$B$4)+IF(DAY(B126)&gt;=DAY(सारांश!$B$4),1,0)</f>
        <v>5</v>
      </c>
      <c r="F126" s="31" t="s">
        <v>16</v>
      </c>
      <c r="G126" s="14" t="s">
        <v>536</v>
      </c>
      <c r="H126" s="32" t="s">
        <v>586</v>
      </c>
      <c r="I126" s="32" t="s">
        <v>576</v>
      </c>
      <c r="J126" s="48" t="s">
        <v>577</v>
      </c>
      <c r="K126" s="48" t="s">
        <v>540</v>
      </c>
      <c r="L126" s="14" t="s">
        <v>561</v>
      </c>
      <c r="M126" s="32" t="s">
        <v>587</v>
      </c>
      <c r="N126" s="32" t="s">
        <v>268</v>
      </c>
      <c r="O126" s="32" t="s">
        <v>269</v>
      </c>
      <c r="P126" s="32" t="s">
        <v>270</v>
      </c>
      <c r="Q126" s="14" t="n">
        <v>7.5</v>
      </c>
      <c r="R126" s="32" t="s">
        <v>542</v>
      </c>
      <c r="S126" s="32" t="s">
        <v>563</v>
      </c>
      <c r="T126" s="49" t="s">
        <v>258</v>
      </c>
      <c r="U126" s="49" t="s">
        <v>259</v>
      </c>
      <c r="V126" s="49" t="s">
        <v>259</v>
      </c>
      <c r="W126" s="14" t="s">
        <v>260</v>
      </c>
      <c r="X126" s="14"/>
      <c r="Y126" s="48" t="s">
        <v>273</v>
      </c>
    </row>
    <row r="127" customFormat="false" ht="109.5" hidden="false" customHeight="true" outlineLevel="0" collapsed="false">
      <c r="A127" s="29" t="n">
        <v>122</v>
      </c>
      <c r="B127" s="30" t="n">
        <f aca="false">सारांश!$B$4+A127-1</f>
        <v>46462</v>
      </c>
      <c r="C127" s="29" t="str">
        <f aca="false">CHOOSE(WEEKDAY(B127,2),"सोमवार","मंगलवार","बुधवार","गुरुवार","शुक्रवार","शनिवार","रविवार")</f>
        <v>मंगलवार</v>
      </c>
      <c r="D127" s="29" t="n">
        <f aca="false">IF(A127=1,0,INT((A127-2)/7)+1)</f>
        <v>18</v>
      </c>
      <c r="E127" s="29" t="n">
        <f aca="false">(YEAR(B127)-YEAR(सारांश!$B$4))*12+MONTH(B127)-MONTH(सारांश!$B$4)+IF(DAY(B127)&gt;=DAY(सारांश!$B$4),1,0)</f>
        <v>5</v>
      </c>
      <c r="F127" s="31" t="s">
        <v>16</v>
      </c>
      <c r="G127" s="14" t="s">
        <v>536</v>
      </c>
      <c r="H127" s="32" t="s">
        <v>588</v>
      </c>
      <c r="I127" s="32" t="s">
        <v>589</v>
      </c>
      <c r="J127" s="48" t="s">
        <v>590</v>
      </c>
      <c r="K127" s="48" t="s">
        <v>540</v>
      </c>
      <c r="L127" s="14" t="s">
        <v>561</v>
      </c>
      <c r="M127" s="32" t="s">
        <v>591</v>
      </c>
      <c r="N127" s="32" t="s">
        <v>276</v>
      </c>
      <c r="O127" s="32" t="s">
        <v>269</v>
      </c>
      <c r="P127" s="32" t="s">
        <v>270</v>
      </c>
      <c r="Q127" s="14" t="n">
        <v>7.5</v>
      </c>
      <c r="R127" s="32" t="s">
        <v>542</v>
      </c>
      <c r="S127" s="32" t="s">
        <v>563</v>
      </c>
      <c r="T127" s="49" t="s">
        <v>258</v>
      </c>
      <c r="U127" s="49" t="s">
        <v>259</v>
      </c>
      <c r="V127" s="49" t="s">
        <v>259</v>
      </c>
      <c r="W127" s="14" t="s">
        <v>260</v>
      </c>
      <c r="X127" s="14"/>
      <c r="Y127" s="48" t="s">
        <v>273</v>
      </c>
    </row>
    <row r="128" customFormat="false" ht="109.5" hidden="false" customHeight="true" outlineLevel="0" collapsed="false">
      <c r="A128" s="29" t="n">
        <v>123</v>
      </c>
      <c r="B128" s="30" t="n">
        <f aca="false">सारांश!$B$4+A128-1</f>
        <v>46463</v>
      </c>
      <c r="C128" s="29" t="str">
        <f aca="false">CHOOSE(WEEKDAY(B128,2),"सोमवार","मंगलवार","बुधवार","गुरुवार","शुक्रवार","शनिवार","रविवार")</f>
        <v>बुधवार</v>
      </c>
      <c r="D128" s="29" t="n">
        <f aca="false">IF(A128=1,0,INT((A128-2)/7)+1)</f>
        <v>18</v>
      </c>
      <c r="E128" s="29" t="n">
        <f aca="false">(YEAR(B128)-YEAR(सारांश!$B$4))*12+MONTH(B128)-MONTH(सारांश!$B$4)+IF(DAY(B128)&gt;=DAY(सारांश!$B$4),1,0)</f>
        <v>5</v>
      </c>
      <c r="F128" s="31" t="s">
        <v>16</v>
      </c>
      <c r="G128" s="14" t="s">
        <v>536</v>
      </c>
      <c r="H128" s="32" t="s">
        <v>592</v>
      </c>
      <c r="I128" s="32" t="s">
        <v>589</v>
      </c>
      <c r="J128" s="48" t="s">
        <v>590</v>
      </c>
      <c r="K128" s="48" t="s">
        <v>540</v>
      </c>
      <c r="L128" s="14" t="s">
        <v>561</v>
      </c>
      <c r="M128" s="32" t="s">
        <v>593</v>
      </c>
      <c r="N128" s="32" t="s">
        <v>279</v>
      </c>
      <c r="O128" s="32" t="s">
        <v>269</v>
      </c>
      <c r="P128" s="32" t="s">
        <v>270</v>
      </c>
      <c r="Q128" s="14" t="n">
        <v>7.5</v>
      </c>
      <c r="R128" s="32" t="s">
        <v>542</v>
      </c>
      <c r="S128" s="32" t="s">
        <v>563</v>
      </c>
      <c r="T128" s="49" t="s">
        <v>258</v>
      </c>
      <c r="U128" s="49" t="s">
        <v>259</v>
      </c>
      <c r="V128" s="49" t="s">
        <v>259</v>
      </c>
      <c r="W128" s="14" t="s">
        <v>260</v>
      </c>
      <c r="X128" s="14"/>
      <c r="Y128" s="48" t="s">
        <v>273</v>
      </c>
    </row>
    <row r="129" customFormat="false" ht="109.5" hidden="false" customHeight="true" outlineLevel="0" collapsed="false">
      <c r="A129" s="29" t="n">
        <v>124</v>
      </c>
      <c r="B129" s="30" t="n">
        <f aca="false">सारांश!$B$4+A129-1</f>
        <v>46464</v>
      </c>
      <c r="C129" s="29" t="str">
        <f aca="false">CHOOSE(WEEKDAY(B129,2),"सोमवार","मंगलवार","बुधवार","गुरुवार","शुक्रवार","शनिवार","रविवार")</f>
        <v>गुरुवार</v>
      </c>
      <c r="D129" s="29" t="n">
        <f aca="false">IF(A129=1,0,INT((A129-2)/7)+1)</f>
        <v>18</v>
      </c>
      <c r="E129" s="29" t="n">
        <f aca="false">(YEAR(B129)-YEAR(सारांश!$B$4))*12+MONTH(B129)-MONTH(सारांश!$B$4)+IF(DAY(B129)&gt;=DAY(सारांश!$B$4),1,0)</f>
        <v>5</v>
      </c>
      <c r="F129" s="31" t="s">
        <v>16</v>
      </c>
      <c r="G129" s="14" t="s">
        <v>536</v>
      </c>
      <c r="H129" s="32" t="s">
        <v>594</v>
      </c>
      <c r="I129" s="32" t="s">
        <v>589</v>
      </c>
      <c r="J129" s="48" t="s">
        <v>590</v>
      </c>
      <c r="K129" s="48" t="s">
        <v>540</v>
      </c>
      <c r="L129" s="14" t="s">
        <v>561</v>
      </c>
      <c r="M129" s="32" t="s">
        <v>595</v>
      </c>
      <c r="N129" s="32" t="s">
        <v>284</v>
      </c>
      <c r="O129" s="32" t="s">
        <v>269</v>
      </c>
      <c r="P129" s="32" t="s">
        <v>270</v>
      </c>
      <c r="Q129" s="14" t="n">
        <v>7.5</v>
      </c>
      <c r="R129" s="32" t="s">
        <v>542</v>
      </c>
      <c r="S129" s="32" t="s">
        <v>563</v>
      </c>
      <c r="T129" s="49" t="s">
        <v>258</v>
      </c>
      <c r="U129" s="49" t="s">
        <v>259</v>
      </c>
      <c r="V129" s="49" t="s">
        <v>259</v>
      </c>
      <c r="W129" s="14" t="s">
        <v>260</v>
      </c>
      <c r="X129" s="14"/>
      <c r="Y129" s="48" t="s">
        <v>273</v>
      </c>
    </row>
    <row r="130" customFormat="false" ht="126.75" hidden="false" customHeight="true" outlineLevel="0" collapsed="false">
      <c r="A130" s="29" t="n">
        <v>125</v>
      </c>
      <c r="B130" s="30" t="n">
        <f aca="false">सारांश!$B$4+A130-1</f>
        <v>46465</v>
      </c>
      <c r="C130" s="29" t="str">
        <f aca="false">CHOOSE(WEEKDAY(B130,2),"सोमवार","मंगलवार","बुधवार","गुरुवार","शुक्रवार","शनिवार","रविवार")</f>
        <v>शुक्रवार</v>
      </c>
      <c r="D130" s="29" t="n">
        <f aca="false">IF(A130=1,0,INT((A130-2)/7)+1)</f>
        <v>18</v>
      </c>
      <c r="E130" s="29" t="n">
        <f aca="false">(YEAR(B130)-YEAR(सारांश!$B$4))*12+MONTH(B130)-MONTH(सारांश!$B$4)+IF(DAY(B130)&gt;=DAY(सारांश!$B$4),1,0)</f>
        <v>5</v>
      </c>
      <c r="F130" s="31" t="s">
        <v>16</v>
      </c>
      <c r="G130" s="14" t="s">
        <v>536</v>
      </c>
      <c r="H130" s="32" t="s">
        <v>596</v>
      </c>
      <c r="I130" s="32" t="s">
        <v>597</v>
      </c>
      <c r="J130" s="48" t="s">
        <v>598</v>
      </c>
      <c r="K130" s="48" t="s">
        <v>540</v>
      </c>
      <c r="L130" s="14" t="s">
        <v>561</v>
      </c>
      <c r="M130" s="32" t="s">
        <v>599</v>
      </c>
      <c r="N130" s="32" t="s">
        <v>287</v>
      </c>
      <c r="O130" s="32" t="s">
        <v>269</v>
      </c>
      <c r="P130" s="32" t="s">
        <v>270</v>
      </c>
      <c r="Q130" s="14" t="n">
        <v>7.5</v>
      </c>
      <c r="R130" s="32" t="s">
        <v>542</v>
      </c>
      <c r="S130" s="32" t="s">
        <v>563</v>
      </c>
      <c r="T130" s="49" t="s">
        <v>258</v>
      </c>
      <c r="U130" s="49" t="s">
        <v>259</v>
      </c>
      <c r="V130" s="49" t="s">
        <v>259</v>
      </c>
      <c r="W130" s="14" t="s">
        <v>260</v>
      </c>
      <c r="X130" s="14"/>
      <c r="Y130" s="48" t="s">
        <v>273</v>
      </c>
    </row>
    <row r="131" customFormat="false" ht="126.75" hidden="false" customHeight="true" outlineLevel="0" collapsed="false">
      <c r="A131" s="29" t="n">
        <v>126</v>
      </c>
      <c r="B131" s="30" t="n">
        <f aca="false">सारांश!$B$4+A131-1</f>
        <v>46466</v>
      </c>
      <c r="C131" s="29" t="str">
        <f aca="false">CHOOSE(WEEKDAY(B131,2),"सोमवार","मंगलवार","बुधवार","गुरुवार","शुक्रवार","शनिवार","रविवार")</f>
        <v>शनिवार</v>
      </c>
      <c r="D131" s="29" t="n">
        <f aca="false">IF(A131=1,0,INT((A131-2)/7)+1)</f>
        <v>18</v>
      </c>
      <c r="E131" s="29" t="n">
        <f aca="false">(YEAR(B131)-YEAR(सारांश!$B$4))*12+MONTH(B131)-MONTH(सारांश!$B$4)+IF(DAY(B131)&gt;=DAY(सारांश!$B$4),1,0)</f>
        <v>5</v>
      </c>
      <c r="F131" s="31" t="s">
        <v>16</v>
      </c>
      <c r="G131" s="14" t="s">
        <v>536</v>
      </c>
      <c r="H131" s="32" t="s">
        <v>600</v>
      </c>
      <c r="I131" s="32" t="s">
        <v>597</v>
      </c>
      <c r="J131" s="48" t="s">
        <v>598</v>
      </c>
      <c r="K131" s="48" t="s">
        <v>540</v>
      </c>
      <c r="L131" s="14" t="s">
        <v>561</v>
      </c>
      <c r="M131" s="32" t="s">
        <v>601</v>
      </c>
      <c r="N131" s="32" t="s">
        <v>290</v>
      </c>
      <c r="O131" s="32" t="s">
        <v>269</v>
      </c>
      <c r="P131" s="32" t="s">
        <v>270</v>
      </c>
      <c r="Q131" s="14" t="n">
        <v>7.5</v>
      </c>
      <c r="R131" s="32" t="s">
        <v>542</v>
      </c>
      <c r="S131" s="32" t="s">
        <v>563</v>
      </c>
      <c r="T131" s="49" t="s">
        <v>258</v>
      </c>
      <c r="U131" s="49" t="s">
        <v>259</v>
      </c>
      <c r="V131" s="49" t="s">
        <v>259</v>
      </c>
      <c r="W131" s="14" t="s">
        <v>260</v>
      </c>
      <c r="X131" s="14"/>
      <c r="Y131" s="48" t="s">
        <v>273</v>
      </c>
    </row>
    <row r="132" customFormat="false" ht="75.75" hidden="false" customHeight="true" outlineLevel="0" collapsed="false">
      <c r="A132" s="50" t="n">
        <v>127</v>
      </c>
      <c r="B132" s="51" t="n">
        <f aca="false">सारांश!$B$4+A132-1</f>
        <v>46467</v>
      </c>
      <c r="C132" s="50" t="str">
        <f aca="false">CHOOSE(WEEKDAY(B132,2),"सोमवार","मंगलवार","बुधवार","गुरुवार","शुक्रवार","शनिवार","रविवार")</f>
        <v>रविवार</v>
      </c>
      <c r="D132" s="50" t="n">
        <f aca="false">IF(A132=1,0,INT((A132-2)/7)+1)</f>
        <v>18</v>
      </c>
      <c r="E132" s="50" t="n">
        <f aca="false">(YEAR(B132)-YEAR(सारांश!$B$4))*12+MONTH(B132)-MONTH(सारांश!$B$4)+IF(DAY(B132)&gt;=DAY(सारांश!$B$4),1,0)</f>
        <v>5</v>
      </c>
      <c r="F132" s="52" t="s">
        <v>16</v>
      </c>
      <c r="G132" s="50" t="s">
        <v>291</v>
      </c>
      <c r="H132" s="52" t="s">
        <v>127</v>
      </c>
      <c r="I132" s="52" t="s">
        <v>602</v>
      </c>
      <c r="J132" s="53" t="s">
        <v>293</v>
      </c>
      <c r="K132" s="53" t="s">
        <v>294</v>
      </c>
      <c r="L132" s="50" t="s">
        <v>295</v>
      </c>
      <c r="M132" s="52" t="s">
        <v>296</v>
      </c>
      <c r="N132" s="52" t="s">
        <v>297</v>
      </c>
      <c r="O132" s="52" t="s">
        <v>298</v>
      </c>
      <c r="P132" s="52" t="s">
        <v>299</v>
      </c>
      <c r="Q132" s="50" t="n">
        <v>6</v>
      </c>
      <c r="R132" s="52" t="s">
        <v>300</v>
      </c>
      <c r="S132" s="52" t="s">
        <v>257</v>
      </c>
      <c r="T132" s="54" t="s">
        <v>258</v>
      </c>
      <c r="U132" s="54" t="s">
        <v>259</v>
      </c>
      <c r="V132" s="54" t="s">
        <v>259</v>
      </c>
      <c r="W132" s="50" t="s">
        <v>260</v>
      </c>
      <c r="X132" s="50"/>
    </row>
    <row r="133" customFormat="false" ht="126.75" hidden="false" customHeight="true" outlineLevel="0" collapsed="false">
      <c r="A133" s="29" t="n">
        <v>128</v>
      </c>
      <c r="B133" s="30" t="n">
        <f aca="false">सारांश!$B$4+A133-1</f>
        <v>46468</v>
      </c>
      <c r="C133" s="29" t="str">
        <f aca="false">CHOOSE(WEEKDAY(B133,2),"सोमवार","मंगलवार","बुधवार","गुरुवार","शुक्रवार","शनिवार","रविवार")</f>
        <v>सोमवार</v>
      </c>
      <c r="D133" s="29" t="n">
        <f aca="false">IF(A133=1,0,INT((A133-2)/7)+1)</f>
        <v>19</v>
      </c>
      <c r="E133" s="29" t="n">
        <f aca="false">(YEAR(B133)-YEAR(सारांश!$B$4))*12+MONTH(B133)-MONTH(सारांश!$B$4)+IF(DAY(B133)&gt;=DAY(सारांश!$B$4),1,0)</f>
        <v>5</v>
      </c>
      <c r="F133" s="31" t="s">
        <v>16</v>
      </c>
      <c r="G133" s="14" t="s">
        <v>536</v>
      </c>
      <c r="H133" s="32" t="s">
        <v>603</v>
      </c>
      <c r="I133" s="32" t="s">
        <v>597</v>
      </c>
      <c r="J133" s="48" t="s">
        <v>598</v>
      </c>
      <c r="K133" s="48" t="s">
        <v>540</v>
      </c>
      <c r="L133" s="14" t="s">
        <v>561</v>
      </c>
      <c r="M133" s="32" t="s">
        <v>604</v>
      </c>
      <c r="N133" s="32" t="s">
        <v>268</v>
      </c>
      <c r="O133" s="32" t="s">
        <v>269</v>
      </c>
      <c r="P133" s="32" t="s">
        <v>270</v>
      </c>
      <c r="Q133" s="14" t="n">
        <v>7.5</v>
      </c>
      <c r="R133" s="32" t="s">
        <v>542</v>
      </c>
      <c r="S133" s="32" t="s">
        <v>563</v>
      </c>
      <c r="T133" s="49" t="s">
        <v>258</v>
      </c>
      <c r="U133" s="49" t="s">
        <v>259</v>
      </c>
      <c r="V133" s="49" t="s">
        <v>259</v>
      </c>
      <c r="W133" s="14" t="s">
        <v>260</v>
      </c>
      <c r="X133" s="14"/>
      <c r="Y133" s="48" t="s">
        <v>273</v>
      </c>
    </row>
    <row r="134" customFormat="false" ht="126.75" hidden="false" customHeight="true" outlineLevel="0" collapsed="false">
      <c r="A134" s="29" t="n">
        <v>129</v>
      </c>
      <c r="B134" s="30" t="n">
        <f aca="false">सारांश!$B$4+A134-1</f>
        <v>46469</v>
      </c>
      <c r="C134" s="29" t="str">
        <f aca="false">CHOOSE(WEEKDAY(B134,2),"सोमवार","मंगलवार","बुधवार","गुरुवार","शुक्रवार","शनिवार","रविवार")</f>
        <v>मंगलवार</v>
      </c>
      <c r="D134" s="29" t="n">
        <f aca="false">IF(A134=1,0,INT((A134-2)/7)+1)</f>
        <v>19</v>
      </c>
      <c r="E134" s="29" t="n">
        <f aca="false">(YEAR(B134)-YEAR(सारांश!$B$4))*12+MONTH(B134)-MONTH(सारांश!$B$4)+IF(DAY(B134)&gt;=DAY(सारांश!$B$4),1,0)</f>
        <v>5</v>
      </c>
      <c r="F134" s="31" t="s">
        <v>16</v>
      </c>
      <c r="G134" s="14" t="s">
        <v>536</v>
      </c>
      <c r="H134" s="32" t="s">
        <v>605</v>
      </c>
      <c r="I134" s="32" t="s">
        <v>606</v>
      </c>
      <c r="J134" s="48" t="s">
        <v>607</v>
      </c>
      <c r="K134" s="48" t="s">
        <v>540</v>
      </c>
      <c r="L134" s="14" t="s">
        <v>561</v>
      </c>
      <c r="M134" s="32" t="s">
        <v>608</v>
      </c>
      <c r="N134" s="32" t="s">
        <v>276</v>
      </c>
      <c r="O134" s="32" t="s">
        <v>269</v>
      </c>
      <c r="P134" s="32" t="s">
        <v>270</v>
      </c>
      <c r="Q134" s="14" t="n">
        <v>7.5</v>
      </c>
      <c r="R134" s="32" t="s">
        <v>542</v>
      </c>
      <c r="S134" s="32" t="s">
        <v>563</v>
      </c>
      <c r="T134" s="49" t="s">
        <v>258</v>
      </c>
      <c r="U134" s="49" t="s">
        <v>259</v>
      </c>
      <c r="V134" s="49" t="s">
        <v>259</v>
      </c>
      <c r="W134" s="14" t="s">
        <v>260</v>
      </c>
      <c r="X134" s="14"/>
      <c r="Y134" s="48" t="s">
        <v>273</v>
      </c>
    </row>
    <row r="135" customFormat="false" ht="126.75" hidden="false" customHeight="true" outlineLevel="0" collapsed="false">
      <c r="A135" s="29" t="n">
        <v>130</v>
      </c>
      <c r="B135" s="30" t="n">
        <f aca="false">सारांश!$B$4+A135-1</f>
        <v>46470</v>
      </c>
      <c r="C135" s="29" t="str">
        <f aca="false">CHOOSE(WEEKDAY(B135,2),"सोमवार","मंगलवार","बुधवार","गुरुवार","शुक्रवार","शनिवार","रविवार")</f>
        <v>बुधवार</v>
      </c>
      <c r="D135" s="29" t="n">
        <f aca="false">IF(A135=1,0,INT((A135-2)/7)+1)</f>
        <v>19</v>
      </c>
      <c r="E135" s="29" t="n">
        <f aca="false">(YEAR(B135)-YEAR(सारांश!$B$4))*12+MONTH(B135)-MONTH(सारांश!$B$4)+IF(DAY(B135)&gt;=DAY(सारांश!$B$4),1,0)</f>
        <v>5</v>
      </c>
      <c r="F135" s="31" t="s">
        <v>16</v>
      </c>
      <c r="G135" s="14" t="s">
        <v>536</v>
      </c>
      <c r="H135" s="32" t="s">
        <v>609</v>
      </c>
      <c r="I135" s="32" t="s">
        <v>606</v>
      </c>
      <c r="J135" s="48" t="s">
        <v>607</v>
      </c>
      <c r="K135" s="48" t="s">
        <v>540</v>
      </c>
      <c r="L135" s="14" t="s">
        <v>561</v>
      </c>
      <c r="M135" s="32" t="s">
        <v>610</v>
      </c>
      <c r="N135" s="32" t="s">
        <v>279</v>
      </c>
      <c r="O135" s="32" t="s">
        <v>269</v>
      </c>
      <c r="P135" s="32" t="s">
        <v>270</v>
      </c>
      <c r="Q135" s="14" t="n">
        <v>7.5</v>
      </c>
      <c r="R135" s="32" t="s">
        <v>542</v>
      </c>
      <c r="S135" s="32" t="s">
        <v>563</v>
      </c>
      <c r="T135" s="49" t="s">
        <v>258</v>
      </c>
      <c r="U135" s="49" t="s">
        <v>259</v>
      </c>
      <c r="V135" s="49" t="s">
        <v>259</v>
      </c>
      <c r="W135" s="14" t="s">
        <v>260</v>
      </c>
      <c r="X135" s="14"/>
      <c r="Y135" s="48" t="s">
        <v>273</v>
      </c>
    </row>
    <row r="136" customFormat="false" ht="126.75" hidden="false" customHeight="true" outlineLevel="0" collapsed="false">
      <c r="A136" s="29" t="n">
        <v>131</v>
      </c>
      <c r="B136" s="30" t="n">
        <f aca="false">सारांश!$B$4+A136-1</f>
        <v>46471</v>
      </c>
      <c r="C136" s="29" t="str">
        <f aca="false">CHOOSE(WEEKDAY(B136,2),"सोमवार","मंगलवार","बुधवार","गुरुवार","शुक्रवार","शनिवार","रविवार")</f>
        <v>गुरुवार</v>
      </c>
      <c r="D136" s="29" t="n">
        <f aca="false">IF(A136=1,0,INT((A136-2)/7)+1)</f>
        <v>19</v>
      </c>
      <c r="E136" s="29" t="n">
        <f aca="false">(YEAR(B136)-YEAR(सारांश!$B$4))*12+MONTH(B136)-MONTH(सारांश!$B$4)+IF(DAY(B136)&gt;=DAY(सारांश!$B$4),1,0)</f>
        <v>5</v>
      </c>
      <c r="F136" s="31" t="s">
        <v>16</v>
      </c>
      <c r="G136" s="14" t="s">
        <v>536</v>
      </c>
      <c r="H136" s="32" t="s">
        <v>611</v>
      </c>
      <c r="I136" s="32" t="s">
        <v>606</v>
      </c>
      <c r="J136" s="48" t="s">
        <v>607</v>
      </c>
      <c r="K136" s="48" t="s">
        <v>540</v>
      </c>
      <c r="L136" s="14" t="s">
        <v>561</v>
      </c>
      <c r="M136" s="32" t="s">
        <v>612</v>
      </c>
      <c r="N136" s="32" t="s">
        <v>284</v>
      </c>
      <c r="O136" s="32" t="s">
        <v>269</v>
      </c>
      <c r="P136" s="32" t="s">
        <v>270</v>
      </c>
      <c r="Q136" s="14" t="n">
        <v>7.5</v>
      </c>
      <c r="R136" s="32" t="s">
        <v>542</v>
      </c>
      <c r="S136" s="32" t="s">
        <v>563</v>
      </c>
      <c r="T136" s="49" t="s">
        <v>258</v>
      </c>
      <c r="U136" s="49" t="s">
        <v>259</v>
      </c>
      <c r="V136" s="49" t="s">
        <v>259</v>
      </c>
      <c r="W136" s="14" t="s">
        <v>260</v>
      </c>
      <c r="X136" s="14"/>
      <c r="Y136" s="48" t="s">
        <v>273</v>
      </c>
    </row>
    <row r="137" customFormat="false" ht="126.75" hidden="false" customHeight="true" outlineLevel="0" collapsed="false">
      <c r="A137" s="29" t="n">
        <v>132</v>
      </c>
      <c r="B137" s="30" t="n">
        <f aca="false">सारांश!$B$4+A137-1</f>
        <v>46472</v>
      </c>
      <c r="C137" s="29" t="str">
        <f aca="false">CHOOSE(WEEKDAY(B137,2),"सोमवार","मंगलवार","बुधवार","गुरुवार","शुक्रवार","शनिवार","रविवार")</f>
        <v>शुक्रवार</v>
      </c>
      <c r="D137" s="29" t="n">
        <f aca="false">IF(A137=1,0,INT((A137-2)/7)+1)</f>
        <v>19</v>
      </c>
      <c r="E137" s="29" t="n">
        <f aca="false">(YEAR(B137)-YEAR(सारांश!$B$4))*12+MONTH(B137)-MONTH(सारांश!$B$4)+IF(DAY(B137)&gt;=DAY(सारांश!$B$4),1,0)</f>
        <v>5</v>
      </c>
      <c r="F137" s="31" t="s">
        <v>16</v>
      </c>
      <c r="G137" s="14" t="s">
        <v>536</v>
      </c>
      <c r="H137" s="32" t="s">
        <v>613</v>
      </c>
      <c r="I137" s="32" t="s">
        <v>606</v>
      </c>
      <c r="J137" s="48" t="s">
        <v>607</v>
      </c>
      <c r="K137" s="48" t="s">
        <v>540</v>
      </c>
      <c r="L137" s="14" t="s">
        <v>561</v>
      </c>
      <c r="M137" s="32" t="s">
        <v>614</v>
      </c>
      <c r="N137" s="32" t="s">
        <v>287</v>
      </c>
      <c r="O137" s="32" t="s">
        <v>269</v>
      </c>
      <c r="P137" s="32" t="s">
        <v>270</v>
      </c>
      <c r="Q137" s="14" t="n">
        <v>7.5</v>
      </c>
      <c r="R137" s="32" t="s">
        <v>542</v>
      </c>
      <c r="S137" s="32" t="s">
        <v>563</v>
      </c>
      <c r="T137" s="49" t="s">
        <v>258</v>
      </c>
      <c r="U137" s="49" t="s">
        <v>259</v>
      </c>
      <c r="V137" s="49" t="s">
        <v>259</v>
      </c>
      <c r="W137" s="14" t="s">
        <v>260</v>
      </c>
      <c r="X137" s="14"/>
      <c r="Y137" s="48" t="s">
        <v>273</v>
      </c>
    </row>
    <row r="138" customFormat="false" ht="126.75" hidden="false" customHeight="true" outlineLevel="0" collapsed="false">
      <c r="A138" s="29" t="n">
        <v>133</v>
      </c>
      <c r="B138" s="30" t="n">
        <f aca="false">सारांश!$B$4+A138-1</f>
        <v>46473</v>
      </c>
      <c r="C138" s="29" t="str">
        <f aca="false">CHOOSE(WEEKDAY(B138,2),"सोमवार","मंगलवार","बुधवार","गुरुवार","शुक्रवार","शनिवार","रविवार")</f>
        <v>शनिवार</v>
      </c>
      <c r="D138" s="29" t="n">
        <f aca="false">IF(A138=1,0,INT((A138-2)/7)+1)</f>
        <v>19</v>
      </c>
      <c r="E138" s="29" t="n">
        <f aca="false">(YEAR(B138)-YEAR(सारांश!$B$4))*12+MONTH(B138)-MONTH(सारांश!$B$4)+IF(DAY(B138)&gt;=DAY(सारांश!$B$4),1,0)</f>
        <v>5</v>
      </c>
      <c r="F138" s="31" t="s">
        <v>16</v>
      </c>
      <c r="G138" s="14" t="s">
        <v>536</v>
      </c>
      <c r="H138" s="32" t="s">
        <v>615</v>
      </c>
      <c r="I138" s="32" t="s">
        <v>606</v>
      </c>
      <c r="J138" s="48" t="s">
        <v>607</v>
      </c>
      <c r="K138" s="48" t="s">
        <v>540</v>
      </c>
      <c r="L138" s="14" t="s">
        <v>561</v>
      </c>
      <c r="M138" s="32" t="s">
        <v>616</v>
      </c>
      <c r="N138" s="32" t="s">
        <v>290</v>
      </c>
      <c r="O138" s="32" t="s">
        <v>269</v>
      </c>
      <c r="P138" s="32" t="s">
        <v>270</v>
      </c>
      <c r="Q138" s="14" t="n">
        <v>7.5</v>
      </c>
      <c r="R138" s="32" t="s">
        <v>542</v>
      </c>
      <c r="S138" s="32" t="s">
        <v>563</v>
      </c>
      <c r="T138" s="49" t="s">
        <v>258</v>
      </c>
      <c r="U138" s="49" t="s">
        <v>259</v>
      </c>
      <c r="V138" s="49" t="s">
        <v>259</v>
      </c>
      <c r="W138" s="14" t="s">
        <v>260</v>
      </c>
      <c r="X138" s="14"/>
      <c r="Y138" s="48" t="s">
        <v>273</v>
      </c>
    </row>
    <row r="139" customFormat="false" ht="93" hidden="false" customHeight="true" outlineLevel="0" collapsed="false">
      <c r="A139" s="50" t="n">
        <v>134</v>
      </c>
      <c r="B139" s="51" t="n">
        <f aca="false">सारांश!$B$4+A139-1</f>
        <v>46474</v>
      </c>
      <c r="C139" s="50" t="str">
        <f aca="false">CHOOSE(WEEKDAY(B139,2),"सोमवार","मंगलवार","बुधवार","गुरुवार","शुक्रवार","शनिवार","रविवार")</f>
        <v>रविवार</v>
      </c>
      <c r="D139" s="50" t="n">
        <f aca="false">IF(A139=1,0,INT((A139-2)/7)+1)</f>
        <v>19</v>
      </c>
      <c r="E139" s="50" t="n">
        <f aca="false">(YEAR(B139)-YEAR(सारांश!$B$4))*12+MONTH(B139)-MONTH(सारांश!$B$4)+IF(DAY(B139)&gt;=DAY(सारांश!$B$4),1,0)</f>
        <v>5</v>
      </c>
      <c r="F139" s="52" t="s">
        <v>16</v>
      </c>
      <c r="G139" s="50" t="s">
        <v>291</v>
      </c>
      <c r="H139" s="52" t="s">
        <v>127</v>
      </c>
      <c r="I139" s="52" t="s">
        <v>617</v>
      </c>
      <c r="J139" s="53" t="s">
        <v>293</v>
      </c>
      <c r="K139" s="53" t="s">
        <v>294</v>
      </c>
      <c r="L139" s="50" t="s">
        <v>295</v>
      </c>
      <c r="M139" s="52" t="s">
        <v>296</v>
      </c>
      <c r="N139" s="52" t="s">
        <v>297</v>
      </c>
      <c r="O139" s="52" t="s">
        <v>298</v>
      </c>
      <c r="P139" s="52" t="s">
        <v>299</v>
      </c>
      <c r="Q139" s="50" t="n">
        <v>6</v>
      </c>
      <c r="R139" s="52" t="s">
        <v>300</v>
      </c>
      <c r="S139" s="52" t="s">
        <v>257</v>
      </c>
      <c r="T139" s="54" t="s">
        <v>258</v>
      </c>
      <c r="U139" s="54" t="s">
        <v>259</v>
      </c>
      <c r="V139" s="54" t="s">
        <v>259</v>
      </c>
      <c r="W139" s="50" t="s">
        <v>260</v>
      </c>
      <c r="X139" s="50"/>
    </row>
    <row r="140" customFormat="false" ht="126.75" hidden="false" customHeight="true" outlineLevel="0" collapsed="false">
      <c r="A140" s="29" t="n">
        <v>135</v>
      </c>
      <c r="B140" s="30" t="n">
        <f aca="false">सारांश!$B$4+A140-1</f>
        <v>46475</v>
      </c>
      <c r="C140" s="29" t="str">
        <f aca="false">CHOOSE(WEEKDAY(B140,2),"सोमवार","मंगलवार","बुधवार","गुरुवार","शुक्रवार","शनिवार","रविवार")</f>
        <v>सोमवार</v>
      </c>
      <c r="D140" s="29" t="n">
        <f aca="false">IF(A140=1,0,INT((A140-2)/7)+1)</f>
        <v>20</v>
      </c>
      <c r="E140" s="29" t="n">
        <f aca="false">(YEAR(B140)-YEAR(सारांश!$B$4))*12+MONTH(B140)-MONTH(सारांश!$B$4)+IF(DAY(B140)&gt;=DAY(सारांश!$B$4),1,0)</f>
        <v>5</v>
      </c>
      <c r="F140" s="31" t="s">
        <v>16</v>
      </c>
      <c r="G140" s="14" t="s">
        <v>536</v>
      </c>
      <c r="H140" s="32" t="s">
        <v>618</v>
      </c>
      <c r="I140" s="32" t="s">
        <v>619</v>
      </c>
      <c r="J140" s="48" t="s">
        <v>620</v>
      </c>
      <c r="K140" s="48" t="s">
        <v>540</v>
      </c>
      <c r="L140" s="14" t="s">
        <v>561</v>
      </c>
      <c r="M140" s="32" t="s">
        <v>621</v>
      </c>
      <c r="N140" s="32" t="s">
        <v>268</v>
      </c>
      <c r="O140" s="32" t="s">
        <v>269</v>
      </c>
      <c r="P140" s="32" t="s">
        <v>270</v>
      </c>
      <c r="Q140" s="14" t="n">
        <v>7.5</v>
      </c>
      <c r="R140" s="32" t="s">
        <v>542</v>
      </c>
      <c r="S140" s="32" t="s">
        <v>563</v>
      </c>
      <c r="T140" s="49" t="s">
        <v>258</v>
      </c>
      <c r="U140" s="49" t="s">
        <v>259</v>
      </c>
      <c r="V140" s="49" t="s">
        <v>259</v>
      </c>
      <c r="W140" s="14" t="s">
        <v>260</v>
      </c>
      <c r="X140" s="14"/>
      <c r="Y140" s="48" t="s">
        <v>273</v>
      </c>
    </row>
    <row r="141" customFormat="false" ht="126.75" hidden="false" customHeight="true" outlineLevel="0" collapsed="false">
      <c r="A141" s="29" t="n">
        <v>136</v>
      </c>
      <c r="B141" s="30" t="n">
        <f aca="false">सारांश!$B$4+A141-1</f>
        <v>46476</v>
      </c>
      <c r="C141" s="29" t="str">
        <f aca="false">CHOOSE(WEEKDAY(B141,2),"सोमवार","मंगलवार","बुधवार","गुरुवार","शुक्रवार","शनिवार","रविवार")</f>
        <v>मंगलवार</v>
      </c>
      <c r="D141" s="29" t="n">
        <f aca="false">IF(A141=1,0,INT((A141-2)/7)+1)</f>
        <v>20</v>
      </c>
      <c r="E141" s="29" t="n">
        <f aca="false">(YEAR(B141)-YEAR(सारांश!$B$4))*12+MONTH(B141)-MONTH(सारांश!$B$4)+IF(DAY(B141)&gt;=DAY(सारांश!$B$4),1,0)</f>
        <v>5</v>
      </c>
      <c r="F141" s="31" t="s">
        <v>16</v>
      </c>
      <c r="G141" s="14" t="s">
        <v>536</v>
      </c>
      <c r="H141" s="32" t="s">
        <v>622</v>
      </c>
      <c r="I141" s="32" t="s">
        <v>619</v>
      </c>
      <c r="J141" s="48" t="s">
        <v>620</v>
      </c>
      <c r="K141" s="48" t="s">
        <v>540</v>
      </c>
      <c r="L141" s="14" t="s">
        <v>561</v>
      </c>
      <c r="M141" s="32" t="s">
        <v>623</v>
      </c>
      <c r="N141" s="32" t="s">
        <v>276</v>
      </c>
      <c r="O141" s="32" t="s">
        <v>269</v>
      </c>
      <c r="P141" s="32" t="s">
        <v>270</v>
      </c>
      <c r="Q141" s="14" t="n">
        <v>7.5</v>
      </c>
      <c r="R141" s="32" t="s">
        <v>542</v>
      </c>
      <c r="S141" s="32" t="s">
        <v>563</v>
      </c>
      <c r="T141" s="49" t="s">
        <v>258</v>
      </c>
      <c r="U141" s="49" t="s">
        <v>259</v>
      </c>
      <c r="V141" s="49" t="s">
        <v>259</v>
      </c>
      <c r="W141" s="14" t="s">
        <v>260</v>
      </c>
      <c r="X141" s="14"/>
      <c r="Y141" s="48" t="s">
        <v>273</v>
      </c>
    </row>
    <row r="142" customFormat="false" ht="126.75" hidden="false" customHeight="true" outlineLevel="0" collapsed="false">
      <c r="A142" s="29" t="n">
        <v>137</v>
      </c>
      <c r="B142" s="30" t="n">
        <f aca="false">सारांश!$B$4+A142-1</f>
        <v>46477</v>
      </c>
      <c r="C142" s="29" t="str">
        <f aca="false">CHOOSE(WEEKDAY(B142,2),"सोमवार","मंगलवार","बुधवार","गुरुवार","शुक्रवार","शनिवार","रविवार")</f>
        <v>बुधवार</v>
      </c>
      <c r="D142" s="29" t="n">
        <f aca="false">IF(A142=1,0,INT((A142-2)/7)+1)</f>
        <v>20</v>
      </c>
      <c r="E142" s="29" t="n">
        <f aca="false">(YEAR(B142)-YEAR(सारांश!$B$4))*12+MONTH(B142)-MONTH(सारांश!$B$4)+IF(DAY(B142)&gt;=DAY(सारांश!$B$4),1,0)</f>
        <v>5</v>
      </c>
      <c r="F142" s="31" t="s">
        <v>16</v>
      </c>
      <c r="G142" s="14" t="s">
        <v>536</v>
      </c>
      <c r="H142" s="32" t="s">
        <v>624</v>
      </c>
      <c r="I142" s="32" t="s">
        <v>619</v>
      </c>
      <c r="J142" s="48" t="s">
        <v>620</v>
      </c>
      <c r="K142" s="48" t="s">
        <v>540</v>
      </c>
      <c r="L142" s="14" t="s">
        <v>561</v>
      </c>
      <c r="M142" s="32" t="s">
        <v>625</v>
      </c>
      <c r="N142" s="32" t="s">
        <v>279</v>
      </c>
      <c r="O142" s="32" t="s">
        <v>269</v>
      </c>
      <c r="P142" s="32" t="s">
        <v>270</v>
      </c>
      <c r="Q142" s="14" t="n">
        <v>7.5</v>
      </c>
      <c r="R142" s="32" t="s">
        <v>542</v>
      </c>
      <c r="S142" s="32" t="s">
        <v>563</v>
      </c>
      <c r="T142" s="49" t="s">
        <v>258</v>
      </c>
      <c r="U142" s="49" t="s">
        <v>259</v>
      </c>
      <c r="V142" s="49" t="s">
        <v>259</v>
      </c>
      <c r="W142" s="14" t="s">
        <v>260</v>
      </c>
      <c r="X142" s="14"/>
      <c r="Y142" s="48" t="s">
        <v>273</v>
      </c>
    </row>
    <row r="143" customFormat="false" ht="126.75" hidden="false" customHeight="true" outlineLevel="0" collapsed="false">
      <c r="A143" s="29" t="n">
        <v>138</v>
      </c>
      <c r="B143" s="30" t="n">
        <f aca="false">सारांश!$B$4+A143-1</f>
        <v>46478</v>
      </c>
      <c r="C143" s="29" t="str">
        <f aca="false">CHOOSE(WEEKDAY(B143,2),"सोमवार","मंगलवार","बुधवार","गुरुवार","शुक्रवार","शनिवार","रविवार")</f>
        <v>गुरुवार</v>
      </c>
      <c r="D143" s="29" t="n">
        <f aca="false">IF(A143=1,0,INT((A143-2)/7)+1)</f>
        <v>20</v>
      </c>
      <c r="E143" s="29" t="n">
        <f aca="false">(YEAR(B143)-YEAR(सारांश!$B$4))*12+MONTH(B143)-MONTH(सारांश!$B$4)+IF(DAY(B143)&gt;=DAY(सारांश!$B$4),1,0)</f>
        <v>5</v>
      </c>
      <c r="F143" s="31" t="s">
        <v>16</v>
      </c>
      <c r="G143" s="14" t="s">
        <v>536</v>
      </c>
      <c r="H143" s="32" t="s">
        <v>626</v>
      </c>
      <c r="I143" s="32" t="s">
        <v>627</v>
      </c>
      <c r="J143" s="48" t="s">
        <v>628</v>
      </c>
      <c r="K143" s="48" t="s">
        <v>540</v>
      </c>
      <c r="L143" s="14" t="s">
        <v>561</v>
      </c>
      <c r="M143" s="32" t="s">
        <v>629</v>
      </c>
      <c r="N143" s="32" t="s">
        <v>284</v>
      </c>
      <c r="O143" s="32" t="s">
        <v>269</v>
      </c>
      <c r="P143" s="32" t="s">
        <v>270</v>
      </c>
      <c r="Q143" s="14" t="n">
        <v>7.5</v>
      </c>
      <c r="R143" s="32" t="s">
        <v>542</v>
      </c>
      <c r="S143" s="32" t="s">
        <v>563</v>
      </c>
      <c r="T143" s="49" t="s">
        <v>258</v>
      </c>
      <c r="U143" s="49" t="s">
        <v>259</v>
      </c>
      <c r="V143" s="49" t="s">
        <v>259</v>
      </c>
      <c r="W143" s="14" t="s">
        <v>260</v>
      </c>
      <c r="X143" s="14"/>
      <c r="Y143" s="48" t="s">
        <v>273</v>
      </c>
    </row>
    <row r="144" customFormat="false" ht="126.75" hidden="false" customHeight="true" outlineLevel="0" collapsed="false">
      <c r="A144" s="29" t="n">
        <v>139</v>
      </c>
      <c r="B144" s="30" t="n">
        <f aca="false">सारांश!$B$4+A144-1</f>
        <v>46479</v>
      </c>
      <c r="C144" s="29" t="str">
        <f aca="false">CHOOSE(WEEKDAY(B144,2),"सोमवार","मंगलवार","बुधवार","गुरुवार","शुक्रवार","शनिवार","रविवार")</f>
        <v>शुक्रवार</v>
      </c>
      <c r="D144" s="29" t="n">
        <f aca="false">IF(A144=1,0,INT((A144-2)/7)+1)</f>
        <v>20</v>
      </c>
      <c r="E144" s="29" t="n">
        <f aca="false">(YEAR(B144)-YEAR(सारांश!$B$4))*12+MONTH(B144)-MONTH(सारांश!$B$4)+IF(DAY(B144)&gt;=DAY(सारांश!$B$4),1,0)</f>
        <v>5</v>
      </c>
      <c r="F144" s="31" t="s">
        <v>16</v>
      </c>
      <c r="G144" s="14" t="s">
        <v>536</v>
      </c>
      <c r="H144" s="32" t="s">
        <v>630</v>
      </c>
      <c r="I144" s="32" t="s">
        <v>627</v>
      </c>
      <c r="J144" s="48" t="s">
        <v>628</v>
      </c>
      <c r="K144" s="48" t="s">
        <v>540</v>
      </c>
      <c r="L144" s="14" t="s">
        <v>561</v>
      </c>
      <c r="M144" s="32" t="s">
        <v>631</v>
      </c>
      <c r="N144" s="32" t="s">
        <v>287</v>
      </c>
      <c r="O144" s="32" t="s">
        <v>269</v>
      </c>
      <c r="P144" s="32" t="s">
        <v>270</v>
      </c>
      <c r="Q144" s="14" t="n">
        <v>7.5</v>
      </c>
      <c r="R144" s="32" t="s">
        <v>542</v>
      </c>
      <c r="S144" s="32" t="s">
        <v>563</v>
      </c>
      <c r="T144" s="49" t="s">
        <v>258</v>
      </c>
      <c r="U144" s="49" t="s">
        <v>259</v>
      </c>
      <c r="V144" s="49" t="s">
        <v>259</v>
      </c>
      <c r="W144" s="14" t="s">
        <v>260</v>
      </c>
      <c r="X144" s="14"/>
      <c r="Y144" s="48" t="s">
        <v>273</v>
      </c>
    </row>
    <row r="145" customFormat="false" ht="126.75" hidden="false" customHeight="true" outlineLevel="0" collapsed="false">
      <c r="A145" s="29" t="n">
        <v>140</v>
      </c>
      <c r="B145" s="30" t="n">
        <f aca="false">सारांश!$B$4+A145-1</f>
        <v>46480</v>
      </c>
      <c r="C145" s="29" t="str">
        <f aca="false">CHOOSE(WEEKDAY(B145,2),"सोमवार","मंगलवार","बुधवार","गुरुवार","शुक्रवार","शनिवार","रविवार")</f>
        <v>शनिवार</v>
      </c>
      <c r="D145" s="29" t="n">
        <f aca="false">IF(A145=1,0,INT((A145-2)/7)+1)</f>
        <v>20</v>
      </c>
      <c r="E145" s="29" t="n">
        <f aca="false">(YEAR(B145)-YEAR(सारांश!$B$4))*12+MONTH(B145)-MONTH(सारांश!$B$4)+IF(DAY(B145)&gt;=DAY(सारांश!$B$4),1,0)</f>
        <v>5</v>
      </c>
      <c r="F145" s="31" t="s">
        <v>16</v>
      </c>
      <c r="G145" s="14" t="s">
        <v>536</v>
      </c>
      <c r="H145" s="32" t="s">
        <v>632</v>
      </c>
      <c r="I145" s="32" t="s">
        <v>627</v>
      </c>
      <c r="J145" s="48" t="s">
        <v>628</v>
      </c>
      <c r="K145" s="48" t="s">
        <v>540</v>
      </c>
      <c r="L145" s="14" t="s">
        <v>561</v>
      </c>
      <c r="M145" s="32" t="s">
        <v>633</v>
      </c>
      <c r="N145" s="32" t="s">
        <v>290</v>
      </c>
      <c r="O145" s="32" t="s">
        <v>269</v>
      </c>
      <c r="P145" s="32" t="s">
        <v>270</v>
      </c>
      <c r="Q145" s="14" t="n">
        <v>7.5</v>
      </c>
      <c r="R145" s="32" t="s">
        <v>542</v>
      </c>
      <c r="S145" s="32" t="s">
        <v>563</v>
      </c>
      <c r="T145" s="49" t="s">
        <v>258</v>
      </c>
      <c r="U145" s="49" t="s">
        <v>259</v>
      </c>
      <c r="V145" s="49" t="s">
        <v>259</v>
      </c>
      <c r="W145" s="14" t="s">
        <v>260</v>
      </c>
      <c r="X145" s="14"/>
      <c r="Y145" s="48" t="s">
        <v>273</v>
      </c>
    </row>
    <row r="146" customFormat="false" ht="75.75" hidden="false" customHeight="true" outlineLevel="0" collapsed="false">
      <c r="A146" s="50" t="n">
        <v>141</v>
      </c>
      <c r="B146" s="51" t="n">
        <f aca="false">सारांश!$B$4+A146-1</f>
        <v>46481</v>
      </c>
      <c r="C146" s="50" t="str">
        <f aca="false">CHOOSE(WEEKDAY(B146,2),"सोमवार","मंगलवार","बुधवार","गुरुवार","शुक्रवार","शनिवार","रविवार")</f>
        <v>रविवार</v>
      </c>
      <c r="D146" s="50" t="n">
        <f aca="false">IF(A146=1,0,INT((A146-2)/7)+1)</f>
        <v>20</v>
      </c>
      <c r="E146" s="50" t="n">
        <f aca="false">(YEAR(B146)-YEAR(सारांश!$B$4))*12+MONTH(B146)-MONTH(सारांश!$B$4)+IF(DAY(B146)&gt;=DAY(सारांश!$B$4),1,0)</f>
        <v>5</v>
      </c>
      <c r="F146" s="52" t="s">
        <v>16</v>
      </c>
      <c r="G146" s="50" t="s">
        <v>291</v>
      </c>
      <c r="H146" s="52" t="s">
        <v>135</v>
      </c>
      <c r="I146" s="52" t="s">
        <v>634</v>
      </c>
      <c r="J146" s="53" t="s">
        <v>293</v>
      </c>
      <c r="K146" s="53" t="s">
        <v>294</v>
      </c>
      <c r="L146" s="50" t="s">
        <v>295</v>
      </c>
      <c r="M146" s="52" t="s">
        <v>296</v>
      </c>
      <c r="N146" s="52" t="s">
        <v>297</v>
      </c>
      <c r="O146" s="52" t="s">
        <v>298</v>
      </c>
      <c r="P146" s="52" t="s">
        <v>299</v>
      </c>
      <c r="Q146" s="50" t="n">
        <v>6</v>
      </c>
      <c r="R146" s="52" t="s">
        <v>300</v>
      </c>
      <c r="S146" s="52" t="s">
        <v>257</v>
      </c>
      <c r="T146" s="54" t="s">
        <v>258</v>
      </c>
      <c r="U146" s="54" t="s">
        <v>259</v>
      </c>
      <c r="V146" s="54" t="s">
        <v>259</v>
      </c>
      <c r="W146" s="50" t="s">
        <v>260</v>
      </c>
      <c r="X146" s="50"/>
    </row>
    <row r="147" customFormat="false" ht="126.75" hidden="false" customHeight="true" outlineLevel="0" collapsed="false">
      <c r="A147" s="29" t="n">
        <v>142</v>
      </c>
      <c r="B147" s="30" t="n">
        <f aca="false">सारांश!$B$4+A147-1</f>
        <v>46482</v>
      </c>
      <c r="C147" s="29" t="str">
        <f aca="false">CHOOSE(WEEKDAY(B147,2),"सोमवार","मंगलवार","बुधवार","गुरुवार","शुक्रवार","शनिवार","रविवार")</f>
        <v>सोमवार</v>
      </c>
      <c r="D147" s="29" t="n">
        <f aca="false">IF(A147=1,0,INT((A147-2)/7)+1)</f>
        <v>21</v>
      </c>
      <c r="E147" s="29" t="n">
        <f aca="false">(YEAR(B147)-YEAR(सारांश!$B$4))*12+MONTH(B147)-MONTH(सारांश!$B$4)+IF(DAY(B147)&gt;=DAY(सारांश!$B$4),1,0)</f>
        <v>5</v>
      </c>
      <c r="F147" s="31" t="s">
        <v>16</v>
      </c>
      <c r="G147" s="14" t="s">
        <v>635</v>
      </c>
      <c r="H147" s="32" t="s">
        <v>636</v>
      </c>
      <c r="I147" s="32" t="s">
        <v>637</v>
      </c>
      <c r="J147" s="48" t="s">
        <v>638</v>
      </c>
      <c r="K147" s="48" t="s">
        <v>639</v>
      </c>
      <c r="L147" s="14" t="s">
        <v>561</v>
      </c>
      <c r="M147" s="32" t="s">
        <v>640</v>
      </c>
      <c r="N147" s="32" t="s">
        <v>268</v>
      </c>
      <c r="O147" s="32" t="s">
        <v>269</v>
      </c>
      <c r="P147" s="32" t="s">
        <v>270</v>
      </c>
      <c r="Q147" s="14" t="n">
        <v>7.5</v>
      </c>
      <c r="R147" s="32" t="s">
        <v>641</v>
      </c>
      <c r="S147" s="32" t="s">
        <v>563</v>
      </c>
      <c r="T147" s="49" t="s">
        <v>258</v>
      </c>
      <c r="U147" s="49" t="s">
        <v>259</v>
      </c>
      <c r="V147" s="49" t="s">
        <v>259</v>
      </c>
      <c r="W147" s="14" t="s">
        <v>260</v>
      </c>
      <c r="X147" s="14"/>
      <c r="Y147" s="48" t="s">
        <v>273</v>
      </c>
    </row>
    <row r="148" customFormat="false" ht="126.75" hidden="false" customHeight="true" outlineLevel="0" collapsed="false">
      <c r="A148" s="29" t="n">
        <v>143</v>
      </c>
      <c r="B148" s="30" t="n">
        <f aca="false">सारांश!$B$4+A148-1</f>
        <v>46483</v>
      </c>
      <c r="C148" s="29" t="str">
        <f aca="false">CHOOSE(WEEKDAY(B148,2),"सोमवार","मंगलवार","बुधवार","गुरुवार","शुक्रवार","शनिवार","रविवार")</f>
        <v>मंगलवार</v>
      </c>
      <c r="D148" s="29" t="n">
        <f aca="false">IF(A148=1,0,INT((A148-2)/7)+1)</f>
        <v>21</v>
      </c>
      <c r="E148" s="29" t="n">
        <f aca="false">(YEAR(B148)-YEAR(सारांश!$B$4))*12+MONTH(B148)-MONTH(सारांश!$B$4)+IF(DAY(B148)&gt;=DAY(सारांश!$B$4),1,0)</f>
        <v>5</v>
      </c>
      <c r="F148" s="31" t="s">
        <v>16</v>
      </c>
      <c r="G148" s="14" t="s">
        <v>635</v>
      </c>
      <c r="H148" s="32" t="s">
        <v>642</v>
      </c>
      <c r="I148" s="32" t="s">
        <v>637</v>
      </c>
      <c r="J148" s="48" t="s">
        <v>638</v>
      </c>
      <c r="K148" s="48" t="s">
        <v>639</v>
      </c>
      <c r="L148" s="14" t="s">
        <v>561</v>
      </c>
      <c r="M148" s="32" t="s">
        <v>643</v>
      </c>
      <c r="N148" s="32" t="s">
        <v>276</v>
      </c>
      <c r="O148" s="32" t="s">
        <v>269</v>
      </c>
      <c r="P148" s="32" t="s">
        <v>270</v>
      </c>
      <c r="Q148" s="14" t="n">
        <v>7.5</v>
      </c>
      <c r="R148" s="32" t="s">
        <v>641</v>
      </c>
      <c r="S148" s="32" t="s">
        <v>563</v>
      </c>
      <c r="T148" s="49" t="s">
        <v>258</v>
      </c>
      <c r="U148" s="49" t="s">
        <v>259</v>
      </c>
      <c r="V148" s="49" t="s">
        <v>259</v>
      </c>
      <c r="W148" s="14" t="s">
        <v>260</v>
      </c>
      <c r="X148" s="14"/>
      <c r="Y148" s="48" t="s">
        <v>273</v>
      </c>
    </row>
    <row r="149" customFormat="false" ht="126.75" hidden="false" customHeight="true" outlineLevel="0" collapsed="false">
      <c r="A149" s="29" t="n">
        <v>144</v>
      </c>
      <c r="B149" s="30" t="n">
        <f aca="false">सारांश!$B$4+A149-1</f>
        <v>46484</v>
      </c>
      <c r="C149" s="29" t="str">
        <f aca="false">CHOOSE(WEEKDAY(B149,2),"सोमवार","मंगलवार","बुधवार","गुरुवार","शुक्रवार","शनिवार","रविवार")</f>
        <v>बुधवार</v>
      </c>
      <c r="D149" s="29" t="n">
        <f aca="false">IF(A149=1,0,INT((A149-2)/7)+1)</f>
        <v>21</v>
      </c>
      <c r="E149" s="29" t="n">
        <f aca="false">(YEAR(B149)-YEAR(सारांश!$B$4))*12+MONTH(B149)-MONTH(सारांश!$B$4)+IF(DAY(B149)&gt;=DAY(सारांश!$B$4),1,0)</f>
        <v>5</v>
      </c>
      <c r="F149" s="31" t="s">
        <v>16</v>
      </c>
      <c r="G149" s="14" t="s">
        <v>635</v>
      </c>
      <c r="H149" s="32" t="s">
        <v>644</v>
      </c>
      <c r="I149" s="32" t="s">
        <v>637</v>
      </c>
      <c r="J149" s="48" t="s">
        <v>638</v>
      </c>
      <c r="K149" s="48" t="s">
        <v>639</v>
      </c>
      <c r="L149" s="14" t="s">
        <v>561</v>
      </c>
      <c r="M149" s="32" t="s">
        <v>645</v>
      </c>
      <c r="N149" s="32" t="s">
        <v>279</v>
      </c>
      <c r="O149" s="32" t="s">
        <v>269</v>
      </c>
      <c r="P149" s="32" t="s">
        <v>270</v>
      </c>
      <c r="Q149" s="14" t="n">
        <v>7.5</v>
      </c>
      <c r="R149" s="32" t="s">
        <v>641</v>
      </c>
      <c r="S149" s="32" t="s">
        <v>563</v>
      </c>
      <c r="T149" s="49" t="s">
        <v>258</v>
      </c>
      <c r="U149" s="49" t="s">
        <v>259</v>
      </c>
      <c r="V149" s="49" t="s">
        <v>259</v>
      </c>
      <c r="W149" s="14" t="s">
        <v>260</v>
      </c>
      <c r="X149" s="14"/>
      <c r="Y149" s="48" t="s">
        <v>273</v>
      </c>
    </row>
    <row r="150" customFormat="false" ht="126.75" hidden="false" customHeight="true" outlineLevel="0" collapsed="false">
      <c r="A150" s="29" t="n">
        <v>145</v>
      </c>
      <c r="B150" s="30" t="n">
        <f aca="false">सारांश!$B$4+A150-1</f>
        <v>46485</v>
      </c>
      <c r="C150" s="29" t="str">
        <f aca="false">CHOOSE(WEEKDAY(B150,2),"सोमवार","मंगलवार","बुधवार","गुरुवार","शुक्रवार","शनिवार","रविवार")</f>
        <v>गुरुवार</v>
      </c>
      <c r="D150" s="29" t="n">
        <f aca="false">IF(A150=1,0,INT((A150-2)/7)+1)</f>
        <v>21</v>
      </c>
      <c r="E150" s="29" t="n">
        <f aca="false">(YEAR(B150)-YEAR(सारांश!$B$4))*12+MONTH(B150)-MONTH(सारांश!$B$4)+IF(DAY(B150)&gt;=DAY(सारांश!$B$4),1,0)</f>
        <v>5</v>
      </c>
      <c r="F150" s="31" t="s">
        <v>16</v>
      </c>
      <c r="G150" s="14" t="s">
        <v>635</v>
      </c>
      <c r="H150" s="32" t="s">
        <v>646</v>
      </c>
      <c r="I150" s="32" t="s">
        <v>637</v>
      </c>
      <c r="J150" s="48" t="s">
        <v>638</v>
      </c>
      <c r="K150" s="48" t="s">
        <v>639</v>
      </c>
      <c r="L150" s="14" t="s">
        <v>561</v>
      </c>
      <c r="M150" s="32" t="s">
        <v>647</v>
      </c>
      <c r="N150" s="32" t="s">
        <v>284</v>
      </c>
      <c r="O150" s="32" t="s">
        <v>269</v>
      </c>
      <c r="P150" s="32" t="s">
        <v>270</v>
      </c>
      <c r="Q150" s="14" t="n">
        <v>7.5</v>
      </c>
      <c r="R150" s="32" t="s">
        <v>641</v>
      </c>
      <c r="S150" s="32" t="s">
        <v>563</v>
      </c>
      <c r="T150" s="49" t="s">
        <v>258</v>
      </c>
      <c r="U150" s="49" t="s">
        <v>259</v>
      </c>
      <c r="V150" s="49" t="s">
        <v>259</v>
      </c>
      <c r="W150" s="14" t="s">
        <v>260</v>
      </c>
      <c r="X150" s="14"/>
      <c r="Y150" s="48" t="s">
        <v>273</v>
      </c>
    </row>
    <row r="151" customFormat="false" ht="126.75" hidden="false" customHeight="true" outlineLevel="0" collapsed="false">
      <c r="A151" s="29" t="n">
        <v>146</v>
      </c>
      <c r="B151" s="30" t="n">
        <f aca="false">सारांश!$B$4+A151-1</f>
        <v>46486</v>
      </c>
      <c r="C151" s="29" t="str">
        <f aca="false">CHOOSE(WEEKDAY(B151,2),"सोमवार","मंगलवार","बुधवार","गुरुवार","शुक्रवार","शनिवार","रविवार")</f>
        <v>शुक्रवार</v>
      </c>
      <c r="D151" s="29" t="n">
        <f aca="false">IF(A151=1,0,INT((A151-2)/7)+1)</f>
        <v>21</v>
      </c>
      <c r="E151" s="29" t="n">
        <f aca="false">(YEAR(B151)-YEAR(सारांश!$B$4))*12+MONTH(B151)-MONTH(सारांश!$B$4)+IF(DAY(B151)&gt;=DAY(सारांश!$B$4),1,0)</f>
        <v>5</v>
      </c>
      <c r="F151" s="31" t="s">
        <v>16</v>
      </c>
      <c r="G151" s="14" t="s">
        <v>635</v>
      </c>
      <c r="H151" s="32" t="s">
        <v>648</v>
      </c>
      <c r="I151" s="32" t="s">
        <v>649</v>
      </c>
      <c r="J151" s="48" t="s">
        <v>650</v>
      </c>
      <c r="K151" s="48" t="s">
        <v>639</v>
      </c>
      <c r="L151" s="14" t="s">
        <v>561</v>
      </c>
      <c r="M151" s="32" t="s">
        <v>651</v>
      </c>
      <c r="N151" s="32" t="s">
        <v>287</v>
      </c>
      <c r="O151" s="32" t="s">
        <v>269</v>
      </c>
      <c r="P151" s="32" t="s">
        <v>270</v>
      </c>
      <c r="Q151" s="14" t="n">
        <v>7.5</v>
      </c>
      <c r="R151" s="32" t="s">
        <v>641</v>
      </c>
      <c r="S151" s="32" t="s">
        <v>563</v>
      </c>
      <c r="T151" s="49" t="s">
        <v>258</v>
      </c>
      <c r="U151" s="49" t="s">
        <v>259</v>
      </c>
      <c r="V151" s="49" t="s">
        <v>259</v>
      </c>
      <c r="W151" s="14" t="s">
        <v>260</v>
      </c>
      <c r="X151" s="14"/>
      <c r="Y151" s="48" t="s">
        <v>273</v>
      </c>
    </row>
    <row r="152" customFormat="false" ht="126.75" hidden="false" customHeight="true" outlineLevel="0" collapsed="false">
      <c r="A152" s="29" t="n">
        <v>147</v>
      </c>
      <c r="B152" s="30" t="n">
        <f aca="false">सारांश!$B$4+A152-1</f>
        <v>46487</v>
      </c>
      <c r="C152" s="29" t="str">
        <f aca="false">CHOOSE(WEEKDAY(B152,2),"सोमवार","मंगलवार","बुधवार","गुरुवार","शुक्रवार","शनिवार","रविवार")</f>
        <v>शनिवार</v>
      </c>
      <c r="D152" s="29" t="n">
        <f aca="false">IF(A152=1,0,INT((A152-2)/7)+1)</f>
        <v>21</v>
      </c>
      <c r="E152" s="29" t="n">
        <f aca="false">(YEAR(B152)-YEAR(सारांश!$B$4))*12+MONTH(B152)-MONTH(सारांश!$B$4)+IF(DAY(B152)&gt;=DAY(सारांश!$B$4),1,0)</f>
        <v>5</v>
      </c>
      <c r="F152" s="31" t="s">
        <v>16</v>
      </c>
      <c r="G152" s="14" t="s">
        <v>635</v>
      </c>
      <c r="H152" s="32" t="s">
        <v>652</v>
      </c>
      <c r="I152" s="32" t="s">
        <v>649</v>
      </c>
      <c r="J152" s="48" t="s">
        <v>650</v>
      </c>
      <c r="K152" s="48" t="s">
        <v>639</v>
      </c>
      <c r="L152" s="14" t="s">
        <v>561</v>
      </c>
      <c r="M152" s="32" t="s">
        <v>653</v>
      </c>
      <c r="N152" s="32" t="s">
        <v>290</v>
      </c>
      <c r="O152" s="32" t="s">
        <v>269</v>
      </c>
      <c r="P152" s="32" t="s">
        <v>270</v>
      </c>
      <c r="Q152" s="14" t="n">
        <v>7.5</v>
      </c>
      <c r="R152" s="32" t="s">
        <v>641</v>
      </c>
      <c r="S152" s="32" t="s">
        <v>563</v>
      </c>
      <c r="T152" s="49" t="s">
        <v>258</v>
      </c>
      <c r="U152" s="49" t="s">
        <v>259</v>
      </c>
      <c r="V152" s="49" t="s">
        <v>259</v>
      </c>
      <c r="W152" s="14" t="s">
        <v>260</v>
      </c>
      <c r="X152" s="14"/>
      <c r="Y152" s="48" t="s">
        <v>273</v>
      </c>
    </row>
    <row r="153" customFormat="false" ht="75.75" hidden="false" customHeight="true" outlineLevel="0" collapsed="false">
      <c r="A153" s="50" t="n">
        <v>148</v>
      </c>
      <c r="B153" s="51" t="n">
        <f aca="false">सारांश!$B$4+A153-1</f>
        <v>46488</v>
      </c>
      <c r="C153" s="50" t="str">
        <f aca="false">CHOOSE(WEEKDAY(B153,2),"सोमवार","मंगलवार","बुधवार","गुरुवार","शुक्रवार","शनिवार","रविवार")</f>
        <v>रविवार</v>
      </c>
      <c r="D153" s="50" t="n">
        <f aca="false">IF(A153=1,0,INT((A153-2)/7)+1)</f>
        <v>21</v>
      </c>
      <c r="E153" s="50" t="n">
        <f aca="false">(YEAR(B153)-YEAR(सारांश!$B$4))*12+MONTH(B153)-MONTH(सारांश!$B$4)+IF(DAY(B153)&gt;=DAY(सारांश!$B$4),1,0)</f>
        <v>5</v>
      </c>
      <c r="F153" s="52" t="s">
        <v>16</v>
      </c>
      <c r="G153" s="50" t="s">
        <v>291</v>
      </c>
      <c r="H153" s="52" t="s">
        <v>127</v>
      </c>
      <c r="I153" s="52" t="s">
        <v>654</v>
      </c>
      <c r="J153" s="53" t="s">
        <v>293</v>
      </c>
      <c r="K153" s="53" t="s">
        <v>294</v>
      </c>
      <c r="L153" s="50" t="s">
        <v>295</v>
      </c>
      <c r="M153" s="52" t="s">
        <v>296</v>
      </c>
      <c r="N153" s="52" t="s">
        <v>297</v>
      </c>
      <c r="O153" s="52" t="s">
        <v>298</v>
      </c>
      <c r="P153" s="52" t="s">
        <v>299</v>
      </c>
      <c r="Q153" s="50" t="n">
        <v>6</v>
      </c>
      <c r="R153" s="52" t="s">
        <v>300</v>
      </c>
      <c r="S153" s="52" t="s">
        <v>257</v>
      </c>
      <c r="T153" s="54" t="s">
        <v>258</v>
      </c>
      <c r="U153" s="54" t="s">
        <v>259</v>
      </c>
      <c r="V153" s="54" t="s">
        <v>259</v>
      </c>
      <c r="W153" s="50" t="s">
        <v>260</v>
      </c>
      <c r="X153" s="50"/>
    </row>
    <row r="154" customFormat="false" ht="126.75" hidden="false" customHeight="true" outlineLevel="0" collapsed="false">
      <c r="A154" s="29" t="n">
        <v>149</v>
      </c>
      <c r="B154" s="30" t="n">
        <f aca="false">सारांश!$B$4+A154-1</f>
        <v>46489</v>
      </c>
      <c r="C154" s="29" t="str">
        <f aca="false">CHOOSE(WEEKDAY(B154,2),"सोमवार","मंगलवार","बुधवार","गुरुवार","शुक्रवार","शनिवार","रविवार")</f>
        <v>सोमवार</v>
      </c>
      <c r="D154" s="29" t="n">
        <f aca="false">IF(A154=1,0,INT((A154-2)/7)+1)</f>
        <v>22</v>
      </c>
      <c r="E154" s="29" t="n">
        <f aca="false">(YEAR(B154)-YEAR(सारांश!$B$4))*12+MONTH(B154)-MONTH(सारांश!$B$4)+IF(DAY(B154)&gt;=DAY(सारांश!$B$4),1,0)</f>
        <v>5</v>
      </c>
      <c r="F154" s="31" t="s">
        <v>16</v>
      </c>
      <c r="G154" s="14" t="s">
        <v>635</v>
      </c>
      <c r="H154" s="32" t="s">
        <v>655</v>
      </c>
      <c r="I154" s="32" t="s">
        <v>649</v>
      </c>
      <c r="J154" s="48" t="s">
        <v>650</v>
      </c>
      <c r="K154" s="48" t="s">
        <v>639</v>
      </c>
      <c r="L154" s="14" t="s">
        <v>561</v>
      </c>
      <c r="M154" s="32" t="s">
        <v>656</v>
      </c>
      <c r="N154" s="32" t="s">
        <v>268</v>
      </c>
      <c r="O154" s="32" t="s">
        <v>269</v>
      </c>
      <c r="P154" s="32" t="s">
        <v>270</v>
      </c>
      <c r="Q154" s="14" t="n">
        <v>7.5</v>
      </c>
      <c r="R154" s="32" t="s">
        <v>641</v>
      </c>
      <c r="S154" s="32" t="s">
        <v>563</v>
      </c>
      <c r="T154" s="49" t="s">
        <v>258</v>
      </c>
      <c r="U154" s="49" t="s">
        <v>259</v>
      </c>
      <c r="V154" s="49" t="s">
        <v>259</v>
      </c>
      <c r="W154" s="14" t="s">
        <v>260</v>
      </c>
      <c r="X154" s="14"/>
      <c r="Y154" s="48" t="s">
        <v>273</v>
      </c>
    </row>
    <row r="155" customFormat="false" ht="126.75" hidden="false" customHeight="true" outlineLevel="0" collapsed="false">
      <c r="A155" s="29" t="n">
        <v>150</v>
      </c>
      <c r="B155" s="30" t="n">
        <f aca="false">सारांश!$B$4+A155-1</f>
        <v>46490</v>
      </c>
      <c r="C155" s="29" t="str">
        <f aca="false">CHOOSE(WEEKDAY(B155,2),"सोमवार","मंगलवार","बुधवार","गुरुवार","शुक्रवार","शनिवार","रविवार")</f>
        <v>मंगलवार</v>
      </c>
      <c r="D155" s="29" t="n">
        <f aca="false">IF(A155=1,0,INT((A155-2)/7)+1)</f>
        <v>22</v>
      </c>
      <c r="E155" s="29" t="n">
        <f aca="false">(YEAR(B155)-YEAR(सारांश!$B$4))*12+MONTH(B155)-MONTH(सारांश!$B$4)+IF(DAY(B155)&gt;=DAY(सारांश!$B$4),1,0)</f>
        <v>5</v>
      </c>
      <c r="F155" s="31" t="s">
        <v>16</v>
      </c>
      <c r="G155" s="14" t="s">
        <v>635</v>
      </c>
      <c r="H155" s="32" t="s">
        <v>657</v>
      </c>
      <c r="I155" s="32" t="s">
        <v>658</v>
      </c>
      <c r="J155" s="48" t="s">
        <v>659</v>
      </c>
      <c r="K155" s="48" t="s">
        <v>639</v>
      </c>
      <c r="L155" s="14" t="s">
        <v>561</v>
      </c>
      <c r="M155" s="32" t="s">
        <v>660</v>
      </c>
      <c r="N155" s="32" t="s">
        <v>276</v>
      </c>
      <c r="O155" s="32" t="s">
        <v>269</v>
      </c>
      <c r="P155" s="32" t="s">
        <v>270</v>
      </c>
      <c r="Q155" s="14" t="n">
        <v>7.5</v>
      </c>
      <c r="R155" s="32" t="s">
        <v>641</v>
      </c>
      <c r="S155" s="32" t="s">
        <v>563</v>
      </c>
      <c r="T155" s="49" t="s">
        <v>258</v>
      </c>
      <c r="U155" s="49" t="s">
        <v>259</v>
      </c>
      <c r="V155" s="49" t="s">
        <v>259</v>
      </c>
      <c r="W155" s="14" t="s">
        <v>260</v>
      </c>
      <c r="X155" s="14"/>
      <c r="Y155" s="48" t="s">
        <v>273</v>
      </c>
    </row>
    <row r="156" customFormat="false" ht="126.75" hidden="false" customHeight="true" outlineLevel="0" collapsed="false">
      <c r="A156" s="29" t="n">
        <v>151</v>
      </c>
      <c r="B156" s="30" t="n">
        <f aca="false">सारांश!$B$4+A156-1</f>
        <v>46491</v>
      </c>
      <c r="C156" s="29" t="str">
        <f aca="false">CHOOSE(WEEKDAY(B156,2),"सोमवार","मंगलवार","बुधवार","गुरुवार","शुक्रवार","शनिवार","रविवार")</f>
        <v>बुधवार</v>
      </c>
      <c r="D156" s="29" t="n">
        <f aca="false">IF(A156=1,0,INT((A156-2)/7)+1)</f>
        <v>22</v>
      </c>
      <c r="E156" s="29" t="n">
        <f aca="false">(YEAR(B156)-YEAR(सारांश!$B$4))*12+MONTH(B156)-MONTH(सारांश!$B$4)+IF(DAY(B156)&gt;=DAY(सारांश!$B$4),1,0)</f>
        <v>5</v>
      </c>
      <c r="F156" s="31" t="s">
        <v>16</v>
      </c>
      <c r="G156" s="14" t="s">
        <v>635</v>
      </c>
      <c r="H156" s="32" t="s">
        <v>661</v>
      </c>
      <c r="I156" s="32" t="s">
        <v>658</v>
      </c>
      <c r="J156" s="48" t="s">
        <v>659</v>
      </c>
      <c r="K156" s="48" t="s">
        <v>639</v>
      </c>
      <c r="L156" s="14" t="s">
        <v>561</v>
      </c>
      <c r="M156" s="32" t="s">
        <v>662</v>
      </c>
      <c r="N156" s="32" t="s">
        <v>279</v>
      </c>
      <c r="O156" s="32" t="s">
        <v>269</v>
      </c>
      <c r="P156" s="32" t="s">
        <v>270</v>
      </c>
      <c r="Q156" s="14" t="n">
        <v>7.5</v>
      </c>
      <c r="R156" s="32" t="s">
        <v>641</v>
      </c>
      <c r="S156" s="32" t="s">
        <v>563</v>
      </c>
      <c r="T156" s="49" t="s">
        <v>258</v>
      </c>
      <c r="U156" s="49" t="s">
        <v>259</v>
      </c>
      <c r="V156" s="49" t="s">
        <v>259</v>
      </c>
      <c r="W156" s="14" t="s">
        <v>260</v>
      </c>
      <c r="X156" s="14"/>
      <c r="Y156" s="48" t="s">
        <v>273</v>
      </c>
    </row>
    <row r="157" customFormat="false" ht="126.75" hidden="false" customHeight="true" outlineLevel="0" collapsed="false">
      <c r="A157" s="29" t="n">
        <v>152</v>
      </c>
      <c r="B157" s="30" t="n">
        <f aca="false">सारांश!$B$4+A157-1</f>
        <v>46492</v>
      </c>
      <c r="C157" s="29" t="str">
        <f aca="false">CHOOSE(WEEKDAY(B157,2),"सोमवार","मंगलवार","बुधवार","गुरुवार","शुक्रवार","शनिवार","रविवार")</f>
        <v>गुरुवार</v>
      </c>
      <c r="D157" s="29" t="n">
        <f aca="false">IF(A157=1,0,INT((A157-2)/7)+1)</f>
        <v>22</v>
      </c>
      <c r="E157" s="29" t="n">
        <f aca="false">(YEAR(B157)-YEAR(सारांश!$B$4))*12+MONTH(B157)-MONTH(सारांश!$B$4)+IF(DAY(B157)&gt;=DAY(सारांश!$B$4),1,0)</f>
        <v>6</v>
      </c>
      <c r="F157" s="31" t="s">
        <v>16</v>
      </c>
      <c r="G157" s="14" t="s">
        <v>635</v>
      </c>
      <c r="H157" s="32" t="s">
        <v>663</v>
      </c>
      <c r="I157" s="32" t="s">
        <v>658</v>
      </c>
      <c r="J157" s="48" t="s">
        <v>659</v>
      </c>
      <c r="K157" s="48" t="s">
        <v>639</v>
      </c>
      <c r="L157" s="14" t="s">
        <v>561</v>
      </c>
      <c r="M157" s="32" t="s">
        <v>664</v>
      </c>
      <c r="N157" s="32" t="s">
        <v>284</v>
      </c>
      <c r="O157" s="32" t="s">
        <v>269</v>
      </c>
      <c r="P157" s="32" t="s">
        <v>270</v>
      </c>
      <c r="Q157" s="14" t="n">
        <v>7.5</v>
      </c>
      <c r="R157" s="32" t="s">
        <v>641</v>
      </c>
      <c r="S157" s="32" t="s">
        <v>563</v>
      </c>
      <c r="T157" s="49" t="s">
        <v>258</v>
      </c>
      <c r="U157" s="49" t="s">
        <v>259</v>
      </c>
      <c r="V157" s="49" t="s">
        <v>259</v>
      </c>
      <c r="W157" s="14" t="s">
        <v>260</v>
      </c>
      <c r="X157" s="14"/>
      <c r="Y157" s="48" t="s">
        <v>273</v>
      </c>
    </row>
    <row r="158" customFormat="false" ht="126.75" hidden="false" customHeight="true" outlineLevel="0" collapsed="false">
      <c r="A158" s="29" t="n">
        <v>153</v>
      </c>
      <c r="B158" s="30" t="n">
        <f aca="false">सारांश!$B$4+A158-1</f>
        <v>46493</v>
      </c>
      <c r="C158" s="29" t="str">
        <f aca="false">CHOOSE(WEEKDAY(B158,2),"सोमवार","मंगलवार","बुधवार","गुरुवार","शुक्रवार","शनिवार","रविवार")</f>
        <v>शुक्रवार</v>
      </c>
      <c r="D158" s="29" t="n">
        <f aca="false">IF(A158=1,0,INT((A158-2)/7)+1)</f>
        <v>22</v>
      </c>
      <c r="E158" s="29" t="n">
        <f aca="false">(YEAR(B158)-YEAR(सारांश!$B$4))*12+MONTH(B158)-MONTH(सारांश!$B$4)+IF(DAY(B158)&gt;=DAY(सारांश!$B$4),1,0)</f>
        <v>6</v>
      </c>
      <c r="F158" s="31" t="s">
        <v>16</v>
      </c>
      <c r="G158" s="14" t="s">
        <v>635</v>
      </c>
      <c r="H158" s="32" t="s">
        <v>665</v>
      </c>
      <c r="I158" s="32" t="s">
        <v>658</v>
      </c>
      <c r="J158" s="48" t="s">
        <v>659</v>
      </c>
      <c r="K158" s="48" t="s">
        <v>639</v>
      </c>
      <c r="L158" s="14" t="s">
        <v>561</v>
      </c>
      <c r="M158" s="32" t="s">
        <v>666</v>
      </c>
      <c r="N158" s="32" t="s">
        <v>287</v>
      </c>
      <c r="O158" s="32" t="s">
        <v>269</v>
      </c>
      <c r="P158" s="32" t="s">
        <v>270</v>
      </c>
      <c r="Q158" s="14" t="n">
        <v>7.5</v>
      </c>
      <c r="R158" s="32" t="s">
        <v>641</v>
      </c>
      <c r="S158" s="32" t="s">
        <v>563</v>
      </c>
      <c r="T158" s="49" t="s">
        <v>258</v>
      </c>
      <c r="U158" s="49" t="s">
        <v>259</v>
      </c>
      <c r="V158" s="49" t="s">
        <v>259</v>
      </c>
      <c r="W158" s="14" t="s">
        <v>260</v>
      </c>
      <c r="X158" s="14"/>
      <c r="Y158" s="48" t="s">
        <v>273</v>
      </c>
    </row>
    <row r="159" customFormat="false" ht="126.75" hidden="false" customHeight="true" outlineLevel="0" collapsed="false">
      <c r="A159" s="29" t="n">
        <v>154</v>
      </c>
      <c r="B159" s="30" t="n">
        <f aca="false">सारांश!$B$4+A159-1</f>
        <v>46494</v>
      </c>
      <c r="C159" s="29" t="str">
        <f aca="false">CHOOSE(WEEKDAY(B159,2),"सोमवार","मंगलवार","बुधवार","गुरुवार","शुक्रवार","शनिवार","रविवार")</f>
        <v>शनिवार</v>
      </c>
      <c r="D159" s="29" t="n">
        <f aca="false">IF(A159=1,0,INT((A159-2)/7)+1)</f>
        <v>22</v>
      </c>
      <c r="E159" s="29" t="n">
        <f aca="false">(YEAR(B159)-YEAR(सारांश!$B$4))*12+MONTH(B159)-MONTH(सारांश!$B$4)+IF(DAY(B159)&gt;=DAY(सारांश!$B$4),1,0)</f>
        <v>6</v>
      </c>
      <c r="F159" s="31" t="s">
        <v>16</v>
      </c>
      <c r="G159" s="14" t="s">
        <v>635</v>
      </c>
      <c r="H159" s="32" t="s">
        <v>667</v>
      </c>
      <c r="I159" s="32" t="s">
        <v>658</v>
      </c>
      <c r="J159" s="48" t="s">
        <v>659</v>
      </c>
      <c r="K159" s="48" t="s">
        <v>639</v>
      </c>
      <c r="L159" s="14" t="s">
        <v>561</v>
      </c>
      <c r="M159" s="32" t="s">
        <v>668</v>
      </c>
      <c r="N159" s="32" t="s">
        <v>290</v>
      </c>
      <c r="O159" s="32" t="s">
        <v>269</v>
      </c>
      <c r="P159" s="32" t="s">
        <v>270</v>
      </c>
      <c r="Q159" s="14" t="n">
        <v>7.5</v>
      </c>
      <c r="R159" s="32" t="s">
        <v>641</v>
      </c>
      <c r="S159" s="32" t="s">
        <v>563</v>
      </c>
      <c r="T159" s="49" t="s">
        <v>258</v>
      </c>
      <c r="U159" s="49" t="s">
        <v>259</v>
      </c>
      <c r="V159" s="49" t="s">
        <v>259</v>
      </c>
      <c r="W159" s="14" t="s">
        <v>260</v>
      </c>
      <c r="X159" s="14"/>
      <c r="Y159" s="48" t="s">
        <v>273</v>
      </c>
    </row>
    <row r="160" customFormat="false" ht="75.75" hidden="false" customHeight="true" outlineLevel="0" collapsed="false">
      <c r="A160" s="50" t="n">
        <v>155</v>
      </c>
      <c r="B160" s="51" t="n">
        <f aca="false">सारांश!$B$4+A160-1</f>
        <v>46495</v>
      </c>
      <c r="C160" s="50" t="str">
        <f aca="false">CHOOSE(WEEKDAY(B160,2),"सोमवार","मंगलवार","बुधवार","गुरुवार","शुक्रवार","शनिवार","रविवार")</f>
        <v>रविवार</v>
      </c>
      <c r="D160" s="50" t="n">
        <f aca="false">IF(A160=1,0,INT((A160-2)/7)+1)</f>
        <v>22</v>
      </c>
      <c r="E160" s="50" t="n">
        <f aca="false">(YEAR(B160)-YEAR(सारांश!$B$4))*12+MONTH(B160)-MONTH(सारांश!$B$4)+IF(DAY(B160)&gt;=DAY(सारांश!$B$4),1,0)</f>
        <v>6</v>
      </c>
      <c r="F160" s="52" t="s">
        <v>16</v>
      </c>
      <c r="G160" s="50" t="s">
        <v>291</v>
      </c>
      <c r="H160" s="52" t="s">
        <v>127</v>
      </c>
      <c r="I160" s="52" t="s">
        <v>669</v>
      </c>
      <c r="J160" s="53" t="s">
        <v>293</v>
      </c>
      <c r="K160" s="53" t="s">
        <v>294</v>
      </c>
      <c r="L160" s="50" t="s">
        <v>295</v>
      </c>
      <c r="M160" s="52" t="s">
        <v>296</v>
      </c>
      <c r="N160" s="52" t="s">
        <v>297</v>
      </c>
      <c r="O160" s="52" t="s">
        <v>298</v>
      </c>
      <c r="P160" s="52" t="s">
        <v>299</v>
      </c>
      <c r="Q160" s="50" t="n">
        <v>6</v>
      </c>
      <c r="R160" s="52" t="s">
        <v>300</v>
      </c>
      <c r="S160" s="52" t="s">
        <v>257</v>
      </c>
      <c r="T160" s="54" t="s">
        <v>258</v>
      </c>
      <c r="U160" s="54" t="s">
        <v>259</v>
      </c>
      <c r="V160" s="54" t="s">
        <v>259</v>
      </c>
      <c r="W160" s="50" t="s">
        <v>260</v>
      </c>
      <c r="X160" s="50"/>
    </row>
    <row r="161" customFormat="false" ht="126.75" hidden="false" customHeight="true" outlineLevel="0" collapsed="false">
      <c r="A161" s="29" t="n">
        <v>156</v>
      </c>
      <c r="B161" s="30" t="n">
        <f aca="false">सारांश!$B$4+A161-1</f>
        <v>46496</v>
      </c>
      <c r="C161" s="29" t="str">
        <f aca="false">CHOOSE(WEEKDAY(B161,2),"सोमवार","मंगलवार","बुधवार","गुरुवार","शुक्रवार","शनिवार","रविवार")</f>
        <v>सोमवार</v>
      </c>
      <c r="D161" s="29" t="n">
        <f aca="false">IF(A161=1,0,INT((A161-2)/7)+1)</f>
        <v>23</v>
      </c>
      <c r="E161" s="29" t="n">
        <f aca="false">(YEAR(B161)-YEAR(सारांश!$B$4))*12+MONTH(B161)-MONTH(सारांश!$B$4)+IF(DAY(B161)&gt;=DAY(सारांश!$B$4),1,0)</f>
        <v>6</v>
      </c>
      <c r="F161" s="31" t="s">
        <v>16</v>
      </c>
      <c r="G161" s="14" t="s">
        <v>635</v>
      </c>
      <c r="H161" s="32" t="s">
        <v>670</v>
      </c>
      <c r="I161" s="32" t="s">
        <v>671</v>
      </c>
      <c r="J161" s="48" t="s">
        <v>672</v>
      </c>
      <c r="K161" s="48" t="s">
        <v>639</v>
      </c>
      <c r="L161" s="14" t="s">
        <v>561</v>
      </c>
      <c r="M161" s="32" t="s">
        <v>673</v>
      </c>
      <c r="N161" s="32" t="s">
        <v>268</v>
      </c>
      <c r="O161" s="32" t="s">
        <v>269</v>
      </c>
      <c r="P161" s="32" t="s">
        <v>270</v>
      </c>
      <c r="Q161" s="14" t="n">
        <v>7.5</v>
      </c>
      <c r="R161" s="32" t="s">
        <v>641</v>
      </c>
      <c r="S161" s="32" t="s">
        <v>563</v>
      </c>
      <c r="T161" s="49" t="s">
        <v>258</v>
      </c>
      <c r="U161" s="49" t="s">
        <v>259</v>
      </c>
      <c r="V161" s="49" t="s">
        <v>259</v>
      </c>
      <c r="W161" s="14" t="s">
        <v>260</v>
      </c>
      <c r="X161" s="14"/>
      <c r="Y161" s="48" t="s">
        <v>273</v>
      </c>
    </row>
    <row r="162" customFormat="false" ht="126.75" hidden="false" customHeight="true" outlineLevel="0" collapsed="false">
      <c r="A162" s="29" t="n">
        <v>157</v>
      </c>
      <c r="B162" s="30" t="n">
        <f aca="false">सारांश!$B$4+A162-1</f>
        <v>46497</v>
      </c>
      <c r="C162" s="29" t="str">
        <f aca="false">CHOOSE(WEEKDAY(B162,2),"सोमवार","मंगलवार","बुधवार","गुरुवार","शुक्रवार","शनिवार","रविवार")</f>
        <v>मंगलवार</v>
      </c>
      <c r="D162" s="29" t="n">
        <f aca="false">IF(A162=1,0,INT((A162-2)/7)+1)</f>
        <v>23</v>
      </c>
      <c r="E162" s="29" t="n">
        <f aca="false">(YEAR(B162)-YEAR(सारांश!$B$4))*12+MONTH(B162)-MONTH(सारांश!$B$4)+IF(DAY(B162)&gt;=DAY(सारांश!$B$4),1,0)</f>
        <v>6</v>
      </c>
      <c r="F162" s="31" t="s">
        <v>16</v>
      </c>
      <c r="G162" s="14" t="s">
        <v>635</v>
      </c>
      <c r="H162" s="32" t="s">
        <v>674</v>
      </c>
      <c r="I162" s="32" t="s">
        <v>671</v>
      </c>
      <c r="J162" s="48" t="s">
        <v>672</v>
      </c>
      <c r="K162" s="48" t="s">
        <v>639</v>
      </c>
      <c r="L162" s="14" t="s">
        <v>561</v>
      </c>
      <c r="M162" s="32" t="s">
        <v>675</v>
      </c>
      <c r="N162" s="32" t="s">
        <v>276</v>
      </c>
      <c r="O162" s="32" t="s">
        <v>269</v>
      </c>
      <c r="P162" s="32" t="s">
        <v>270</v>
      </c>
      <c r="Q162" s="14" t="n">
        <v>7.5</v>
      </c>
      <c r="R162" s="32" t="s">
        <v>641</v>
      </c>
      <c r="S162" s="32" t="s">
        <v>563</v>
      </c>
      <c r="T162" s="49" t="s">
        <v>258</v>
      </c>
      <c r="U162" s="49" t="s">
        <v>259</v>
      </c>
      <c r="V162" s="49" t="s">
        <v>259</v>
      </c>
      <c r="W162" s="14" t="s">
        <v>260</v>
      </c>
      <c r="X162" s="14"/>
      <c r="Y162" s="48" t="s">
        <v>273</v>
      </c>
    </row>
    <row r="163" customFormat="false" ht="126.75" hidden="false" customHeight="true" outlineLevel="0" collapsed="false">
      <c r="A163" s="29" t="n">
        <v>158</v>
      </c>
      <c r="B163" s="30" t="n">
        <f aca="false">सारांश!$B$4+A163-1</f>
        <v>46498</v>
      </c>
      <c r="C163" s="29" t="str">
        <f aca="false">CHOOSE(WEEKDAY(B163,2),"सोमवार","मंगलवार","बुधवार","गुरुवार","शुक्रवार","शनिवार","रविवार")</f>
        <v>बुधवार</v>
      </c>
      <c r="D163" s="29" t="n">
        <f aca="false">IF(A163=1,0,INT((A163-2)/7)+1)</f>
        <v>23</v>
      </c>
      <c r="E163" s="29" t="n">
        <f aca="false">(YEAR(B163)-YEAR(सारांश!$B$4))*12+MONTH(B163)-MONTH(सारांश!$B$4)+IF(DAY(B163)&gt;=DAY(सारांश!$B$4),1,0)</f>
        <v>6</v>
      </c>
      <c r="F163" s="31" t="s">
        <v>16</v>
      </c>
      <c r="G163" s="14" t="s">
        <v>635</v>
      </c>
      <c r="H163" s="32" t="s">
        <v>676</v>
      </c>
      <c r="I163" s="32" t="s">
        <v>671</v>
      </c>
      <c r="J163" s="48" t="s">
        <v>672</v>
      </c>
      <c r="K163" s="48" t="s">
        <v>639</v>
      </c>
      <c r="L163" s="14" t="s">
        <v>561</v>
      </c>
      <c r="M163" s="32" t="s">
        <v>677</v>
      </c>
      <c r="N163" s="32" t="s">
        <v>279</v>
      </c>
      <c r="O163" s="32" t="s">
        <v>269</v>
      </c>
      <c r="P163" s="32" t="s">
        <v>270</v>
      </c>
      <c r="Q163" s="14" t="n">
        <v>7.5</v>
      </c>
      <c r="R163" s="32" t="s">
        <v>641</v>
      </c>
      <c r="S163" s="32" t="s">
        <v>563</v>
      </c>
      <c r="T163" s="49" t="s">
        <v>258</v>
      </c>
      <c r="U163" s="49" t="s">
        <v>259</v>
      </c>
      <c r="V163" s="49" t="s">
        <v>259</v>
      </c>
      <c r="W163" s="14" t="s">
        <v>260</v>
      </c>
      <c r="X163" s="14"/>
      <c r="Y163" s="48" t="s">
        <v>273</v>
      </c>
    </row>
    <row r="164" customFormat="false" ht="109.5" hidden="false" customHeight="true" outlineLevel="0" collapsed="false">
      <c r="A164" s="29" t="n">
        <v>159</v>
      </c>
      <c r="B164" s="30" t="n">
        <f aca="false">सारांश!$B$4+A164-1</f>
        <v>46499</v>
      </c>
      <c r="C164" s="29" t="str">
        <f aca="false">CHOOSE(WEEKDAY(B164,2),"सोमवार","मंगलवार","बुधवार","गुरुवार","शुक्रवार","शनिवार","रविवार")</f>
        <v>गुरुवार</v>
      </c>
      <c r="D164" s="29" t="n">
        <f aca="false">IF(A164=1,0,INT((A164-2)/7)+1)</f>
        <v>23</v>
      </c>
      <c r="E164" s="29" t="n">
        <f aca="false">(YEAR(B164)-YEAR(सारांश!$B$4))*12+MONTH(B164)-MONTH(सारांश!$B$4)+IF(DAY(B164)&gt;=DAY(सारांश!$B$4),1,0)</f>
        <v>6</v>
      </c>
      <c r="F164" s="31" t="s">
        <v>16</v>
      </c>
      <c r="G164" s="14" t="s">
        <v>635</v>
      </c>
      <c r="H164" s="32" t="s">
        <v>678</v>
      </c>
      <c r="I164" s="32" t="s">
        <v>679</v>
      </c>
      <c r="J164" s="48" t="s">
        <v>680</v>
      </c>
      <c r="K164" s="48" t="s">
        <v>639</v>
      </c>
      <c r="L164" s="14" t="s">
        <v>561</v>
      </c>
      <c r="M164" s="32" t="s">
        <v>681</v>
      </c>
      <c r="N164" s="32" t="s">
        <v>284</v>
      </c>
      <c r="O164" s="32" t="s">
        <v>269</v>
      </c>
      <c r="P164" s="32" t="s">
        <v>270</v>
      </c>
      <c r="Q164" s="14" t="n">
        <v>7.5</v>
      </c>
      <c r="R164" s="32" t="s">
        <v>641</v>
      </c>
      <c r="S164" s="32" t="s">
        <v>563</v>
      </c>
      <c r="T164" s="49" t="s">
        <v>258</v>
      </c>
      <c r="U164" s="49" t="s">
        <v>259</v>
      </c>
      <c r="V164" s="49" t="s">
        <v>259</v>
      </c>
      <c r="W164" s="14" t="s">
        <v>260</v>
      </c>
      <c r="X164" s="14"/>
      <c r="Y164" s="48" t="s">
        <v>273</v>
      </c>
    </row>
    <row r="165" customFormat="false" ht="109.5" hidden="false" customHeight="true" outlineLevel="0" collapsed="false">
      <c r="A165" s="29" t="n">
        <v>160</v>
      </c>
      <c r="B165" s="30" t="n">
        <f aca="false">सारांश!$B$4+A165-1</f>
        <v>46500</v>
      </c>
      <c r="C165" s="29" t="str">
        <f aca="false">CHOOSE(WEEKDAY(B165,2),"सोमवार","मंगलवार","बुधवार","गुरुवार","शुक्रवार","शनिवार","रविवार")</f>
        <v>शुक्रवार</v>
      </c>
      <c r="D165" s="29" t="n">
        <f aca="false">IF(A165=1,0,INT((A165-2)/7)+1)</f>
        <v>23</v>
      </c>
      <c r="E165" s="29" t="n">
        <f aca="false">(YEAR(B165)-YEAR(सारांश!$B$4))*12+MONTH(B165)-MONTH(सारांश!$B$4)+IF(DAY(B165)&gt;=DAY(सारांश!$B$4),1,0)</f>
        <v>6</v>
      </c>
      <c r="F165" s="31" t="s">
        <v>16</v>
      </c>
      <c r="G165" s="14" t="s">
        <v>635</v>
      </c>
      <c r="H165" s="32" t="s">
        <v>682</v>
      </c>
      <c r="I165" s="32" t="s">
        <v>679</v>
      </c>
      <c r="J165" s="48" t="s">
        <v>680</v>
      </c>
      <c r="K165" s="48" t="s">
        <v>639</v>
      </c>
      <c r="L165" s="14" t="s">
        <v>561</v>
      </c>
      <c r="M165" s="32" t="s">
        <v>683</v>
      </c>
      <c r="N165" s="32" t="s">
        <v>287</v>
      </c>
      <c r="O165" s="32" t="s">
        <v>269</v>
      </c>
      <c r="P165" s="32" t="s">
        <v>270</v>
      </c>
      <c r="Q165" s="14" t="n">
        <v>7.5</v>
      </c>
      <c r="R165" s="32" t="s">
        <v>641</v>
      </c>
      <c r="S165" s="32" t="s">
        <v>563</v>
      </c>
      <c r="T165" s="49" t="s">
        <v>258</v>
      </c>
      <c r="U165" s="49" t="s">
        <v>259</v>
      </c>
      <c r="V165" s="49" t="s">
        <v>259</v>
      </c>
      <c r="W165" s="14" t="s">
        <v>260</v>
      </c>
      <c r="X165" s="14"/>
      <c r="Y165" s="48" t="s">
        <v>273</v>
      </c>
    </row>
    <row r="166" customFormat="false" ht="109.5" hidden="false" customHeight="true" outlineLevel="0" collapsed="false">
      <c r="A166" s="29" t="n">
        <v>161</v>
      </c>
      <c r="B166" s="30" t="n">
        <f aca="false">सारांश!$B$4+A166-1</f>
        <v>46501</v>
      </c>
      <c r="C166" s="29" t="str">
        <f aca="false">CHOOSE(WEEKDAY(B166,2),"सोमवार","मंगलवार","बुधवार","गुरुवार","शुक्रवार","शनिवार","रविवार")</f>
        <v>शनिवार</v>
      </c>
      <c r="D166" s="29" t="n">
        <f aca="false">IF(A166=1,0,INT((A166-2)/7)+1)</f>
        <v>23</v>
      </c>
      <c r="E166" s="29" t="n">
        <f aca="false">(YEAR(B166)-YEAR(सारांश!$B$4))*12+MONTH(B166)-MONTH(सारांश!$B$4)+IF(DAY(B166)&gt;=DAY(सारांश!$B$4),1,0)</f>
        <v>6</v>
      </c>
      <c r="F166" s="31" t="s">
        <v>16</v>
      </c>
      <c r="G166" s="14" t="s">
        <v>635</v>
      </c>
      <c r="H166" s="32" t="s">
        <v>684</v>
      </c>
      <c r="I166" s="32" t="s">
        <v>679</v>
      </c>
      <c r="J166" s="48" t="s">
        <v>680</v>
      </c>
      <c r="K166" s="48" t="s">
        <v>639</v>
      </c>
      <c r="L166" s="14" t="s">
        <v>561</v>
      </c>
      <c r="M166" s="32" t="s">
        <v>685</v>
      </c>
      <c r="N166" s="32" t="s">
        <v>290</v>
      </c>
      <c r="O166" s="32" t="s">
        <v>269</v>
      </c>
      <c r="P166" s="32" t="s">
        <v>270</v>
      </c>
      <c r="Q166" s="14" t="n">
        <v>7.5</v>
      </c>
      <c r="R166" s="32" t="s">
        <v>641</v>
      </c>
      <c r="S166" s="32" t="s">
        <v>563</v>
      </c>
      <c r="T166" s="49" t="s">
        <v>258</v>
      </c>
      <c r="U166" s="49" t="s">
        <v>259</v>
      </c>
      <c r="V166" s="49" t="s">
        <v>259</v>
      </c>
      <c r="W166" s="14" t="s">
        <v>260</v>
      </c>
      <c r="X166" s="14"/>
      <c r="Y166" s="48" t="s">
        <v>273</v>
      </c>
    </row>
    <row r="167" customFormat="false" ht="75.75" hidden="false" customHeight="true" outlineLevel="0" collapsed="false">
      <c r="A167" s="50" t="n">
        <v>162</v>
      </c>
      <c r="B167" s="51" t="n">
        <f aca="false">सारांश!$B$4+A167-1</f>
        <v>46502</v>
      </c>
      <c r="C167" s="50" t="str">
        <f aca="false">CHOOSE(WEEKDAY(B167,2),"सोमवार","मंगलवार","बुधवार","गुरुवार","शुक्रवार","शनिवार","रविवार")</f>
        <v>रविवार</v>
      </c>
      <c r="D167" s="50" t="n">
        <f aca="false">IF(A167=1,0,INT((A167-2)/7)+1)</f>
        <v>23</v>
      </c>
      <c r="E167" s="50" t="n">
        <f aca="false">(YEAR(B167)-YEAR(सारांश!$B$4))*12+MONTH(B167)-MONTH(सारांश!$B$4)+IF(DAY(B167)&gt;=DAY(सारांश!$B$4),1,0)</f>
        <v>6</v>
      </c>
      <c r="F167" s="52" t="s">
        <v>16</v>
      </c>
      <c r="G167" s="50" t="s">
        <v>291</v>
      </c>
      <c r="H167" s="52" t="s">
        <v>127</v>
      </c>
      <c r="I167" s="52" t="s">
        <v>686</v>
      </c>
      <c r="J167" s="53" t="s">
        <v>293</v>
      </c>
      <c r="K167" s="53" t="s">
        <v>294</v>
      </c>
      <c r="L167" s="50" t="s">
        <v>295</v>
      </c>
      <c r="M167" s="52" t="s">
        <v>296</v>
      </c>
      <c r="N167" s="52" t="s">
        <v>297</v>
      </c>
      <c r="O167" s="52" t="s">
        <v>298</v>
      </c>
      <c r="P167" s="52" t="s">
        <v>299</v>
      </c>
      <c r="Q167" s="50" t="n">
        <v>6</v>
      </c>
      <c r="R167" s="52" t="s">
        <v>300</v>
      </c>
      <c r="S167" s="52" t="s">
        <v>257</v>
      </c>
      <c r="T167" s="54" t="s">
        <v>258</v>
      </c>
      <c r="U167" s="54" t="s">
        <v>259</v>
      </c>
      <c r="V167" s="54" t="s">
        <v>259</v>
      </c>
      <c r="W167" s="50" t="s">
        <v>260</v>
      </c>
      <c r="X167" s="50"/>
    </row>
    <row r="168" customFormat="false" ht="109.5" hidden="false" customHeight="true" outlineLevel="0" collapsed="false">
      <c r="A168" s="29" t="n">
        <v>163</v>
      </c>
      <c r="B168" s="30" t="n">
        <f aca="false">सारांश!$B$4+A168-1</f>
        <v>46503</v>
      </c>
      <c r="C168" s="29" t="str">
        <f aca="false">CHOOSE(WEEKDAY(B168,2),"सोमवार","मंगलवार","बुधवार","गुरुवार","शुक्रवार","शनिवार","रविवार")</f>
        <v>सोमवार</v>
      </c>
      <c r="D168" s="29" t="n">
        <f aca="false">IF(A168=1,0,INT((A168-2)/7)+1)</f>
        <v>24</v>
      </c>
      <c r="E168" s="29" t="n">
        <f aca="false">(YEAR(B168)-YEAR(सारांश!$B$4))*12+MONTH(B168)-MONTH(सारांश!$B$4)+IF(DAY(B168)&gt;=DAY(सारांश!$B$4),1,0)</f>
        <v>6</v>
      </c>
      <c r="F168" s="31" t="s">
        <v>16</v>
      </c>
      <c r="G168" s="14" t="s">
        <v>635</v>
      </c>
      <c r="H168" s="32" t="s">
        <v>687</v>
      </c>
      <c r="I168" s="32" t="s">
        <v>688</v>
      </c>
      <c r="J168" s="48" t="s">
        <v>689</v>
      </c>
      <c r="K168" s="48" t="s">
        <v>639</v>
      </c>
      <c r="L168" s="14" t="s">
        <v>690</v>
      </c>
      <c r="M168" s="32" t="s">
        <v>691</v>
      </c>
      <c r="N168" s="32" t="s">
        <v>268</v>
      </c>
      <c r="O168" s="32" t="s">
        <v>269</v>
      </c>
      <c r="P168" s="32" t="s">
        <v>270</v>
      </c>
      <c r="Q168" s="14" t="n">
        <v>7.5</v>
      </c>
      <c r="R168" s="32" t="s">
        <v>641</v>
      </c>
      <c r="S168" s="32" t="s">
        <v>692</v>
      </c>
      <c r="T168" s="49" t="s">
        <v>258</v>
      </c>
      <c r="U168" s="49" t="s">
        <v>259</v>
      </c>
      <c r="V168" s="49" t="s">
        <v>259</v>
      </c>
      <c r="W168" s="14" t="s">
        <v>260</v>
      </c>
      <c r="X168" s="14"/>
      <c r="Y168" s="48" t="s">
        <v>273</v>
      </c>
    </row>
    <row r="169" customFormat="false" ht="109.5" hidden="false" customHeight="true" outlineLevel="0" collapsed="false">
      <c r="A169" s="29" t="n">
        <v>164</v>
      </c>
      <c r="B169" s="30" t="n">
        <f aca="false">सारांश!$B$4+A169-1</f>
        <v>46504</v>
      </c>
      <c r="C169" s="29" t="str">
        <f aca="false">CHOOSE(WEEKDAY(B169,2),"सोमवार","मंगलवार","बुधवार","गुरुवार","शुक्रवार","शनिवार","रविवार")</f>
        <v>मंगलवार</v>
      </c>
      <c r="D169" s="29" t="n">
        <f aca="false">IF(A169=1,0,INT((A169-2)/7)+1)</f>
        <v>24</v>
      </c>
      <c r="E169" s="29" t="n">
        <f aca="false">(YEAR(B169)-YEAR(सारांश!$B$4))*12+MONTH(B169)-MONTH(सारांश!$B$4)+IF(DAY(B169)&gt;=DAY(सारांश!$B$4),1,0)</f>
        <v>6</v>
      </c>
      <c r="F169" s="31" t="s">
        <v>16</v>
      </c>
      <c r="G169" s="14" t="s">
        <v>635</v>
      </c>
      <c r="H169" s="32" t="s">
        <v>693</v>
      </c>
      <c r="I169" s="32" t="s">
        <v>688</v>
      </c>
      <c r="J169" s="48" t="s">
        <v>689</v>
      </c>
      <c r="K169" s="48" t="s">
        <v>639</v>
      </c>
      <c r="L169" s="14" t="s">
        <v>690</v>
      </c>
      <c r="M169" s="32" t="s">
        <v>694</v>
      </c>
      <c r="N169" s="32" t="s">
        <v>276</v>
      </c>
      <c r="O169" s="32" t="s">
        <v>269</v>
      </c>
      <c r="P169" s="32" t="s">
        <v>270</v>
      </c>
      <c r="Q169" s="14" t="n">
        <v>7.5</v>
      </c>
      <c r="R169" s="32" t="s">
        <v>641</v>
      </c>
      <c r="S169" s="32" t="s">
        <v>692</v>
      </c>
      <c r="T169" s="49" t="s">
        <v>258</v>
      </c>
      <c r="U169" s="49" t="s">
        <v>259</v>
      </c>
      <c r="V169" s="49" t="s">
        <v>259</v>
      </c>
      <c r="W169" s="14" t="s">
        <v>260</v>
      </c>
      <c r="X169" s="14"/>
      <c r="Y169" s="48" t="s">
        <v>273</v>
      </c>
    </row>
    <row r="170" customFormat="false" ht="109.5" hidden="false" customHeight="true" outlineLevel="0" collapsed="false">
      <c r="A170" s="29" t="n">
        <v>165</v>
      </c>
      <c r="B170" s="30" t="n">
        <f aca="false">सारांश!$B$4+A170-1</f>
        <v>46505</v>
      </c>
      <c r="C170" s="29" t="str">
        <f aca="false">CHOOSE(WEEKDAY(B170,2),"सोमवार","मंगलवार","बुधवार","गुरुवार","शुक्रवार","शनिवार","रविवार")</f>
        <v>बुधवार</v>
      </c>
      <c r="D170" s="29" t="n">
        <f aca="false">IF(A170=1,0,INT((A170-2)/7)+1)</f>
        <v>24</v>
      </c>
      <c r="E170" s="29" t="n">
        <f aca="false">(YEAR(B170)-YEAR(सारांश!$B$4))*12+MONTH(B170)-MONTH(सारांश!$B$4)+IF(DAY(B170)&gt;=DAY(सारांश!$B$4),1,0)</f>
        <v>6</v>
      </c>
      <c r="F170" s="31" t="s">
        <v>16</v>
      </c>
      <c r="G170" s="14" t="s">
        <v>635</v>
      </c>
      <c r="H170" s="32" t="s">
        <v>695</v>
      </c>
      <c r="I170" s="32" t="s">
        <v>688</v>
      </c>
      <c r="J170" s="48" t="s">
        <v>689</v>
      </c>
      <c r="K170" s="48" t="s">
        <v>639</v>
      </c>
      <c r="L170" s="14" t="s">
        <v>690</v>
      </c>
      <c r="M170" s="32" t="s">
        <v>696</v>
      </c>
      <c r="N170" s="32" t="s">
        <v>279</v>
      </c>
      <c r="O170" s="32" t="s">
        <v>269</v>
      </c>
      <c r="P170" s="32" t="s">
        <v>270</v>
      </c>
      <c r="Q170" s="14" t="n">
        <v>7.5</v>
      </c>
      <c r="R170" s="32" t="s">
        <v>641</v>
      </c>
      <c r="S170" s="32" t="s">
        <v>692</v>
      </c>
      <c r="T170" s="49" t="s">
        <v>258</v>
      </c>
      <c r="U170" s="49" t="s">
        <v>259</v>
      </c>
      <c r="V170" s="49" t="s">
        <v>259</v>
      </c>
      <c r="W170" s="14" t="s">
        <v>260</v>
      </c>
      <c r="X170" s="14"/>
      <c r="Y170" s="48" t="s">
        <v>273</v>
      </c>
    </row>
    <row r="171" customFormat="false" ht="126.75" hidden="false" customHeight="true" outlineLevel="0" collapsed="false">
      <c r="A171" s="29" t="n">
        <v>166</v>
      </c>
      <c r="B171" s="30" t="n">
        <f aca="false">सारांश!$B$4+A171-1</f>
        <v>46506</v>
      </c>
      <c r="C171" s="29" t="str">
        <f aca="false">CHOOSE(WEEKDAY(B171,2),"सोमवार","मंगलवार","बुधवार","गुरुवार","शुक्रवार","शनिवार","रविवार")</f>
        <v>गुरुवार</v>
      </c>
      <c r="D171" s="29" t="n">
        <f aca="false">IF(A171=1,0,INT((A171-2)/7)+1)</f>
        <v>24</v>
      </c>
      <c r="E171" s="29" t="n">
        <f aca="false">(YEAR(B171)-YEAR(सारांश!$B$4))*12+MONTH(B171)-MONTH(सारांश!$B$4)+IF(DAY(B171)&gt;=DAY(सारांश!$B$4),1,0)</f>
        <v>6</v>
      </c>
      <c r="F171" s="31" t="s">
        <v>16</v>
      </c>
      <c r="G171" s="14" t="s">
        <v>635</v>
      </c>
      <c r="H171" s="32" t="s">
        <v>697</v>
      </c>
      <c r="I171" s="32" t="s">
        <v>698</v>
      </c>
      <c r="J171" s="48" t="s">
        <v>699</v>
      </c>
      <c r="K171" s="48" t="s">
        <v>639</v>
      </c>
      <c r="L171" s="14" t="s">
        <v>690</v>
      </c>
      <c r="M171" s="32" t="s">
        <v>700</v>
      </c>
      <c r="N171" s="32" t="s">
        <v>284</v>
      </c>
      <c r="O171" s="32" t="s">
        <v>269</v>
      </c>
      <c r="P171" s="32" t="s">
        <v>270</v>
      </c>
      <c r="Q171" s="14" t="n">
        <v>7.5</v>
      </c>
      <c r="R171" s="32" t="s">
        <v>641</v>
      </c>
      <c r="S171" s="32" t="s">
        <v>692</v>
      </c>
      <c r="T171" s="49" t="s">
        <v>258</v>
      </c>
      <c r="U171" s="49" t="s">
        <v>259</v>
      </c>
      <c r="V171" s="49" t="s">
        <v>259</v>
      </c>
      <c r="W171" s="14" t="s">
        <v>260</v>
      </c>
      <c r="X171" s="14"/>
      <c r="Y171" s="48" t="s">
        <v>273</v>
      </c>
    </row>
    <row r="172" customFormat="false" ht="126.75" hidden="false" customHeight="true" outlineLevel="0" collapsed="false">
      <c r="A172" s="29" t="n">
        <v>167</v>
      </c>
      <c r="B172" s="30" t="n">
        <f aca="false">सारांश!$B$4+A172-1</f>
        <v>46507</v>
      </c>
      <c r="C172" s="29" t="str">
        <f aca="false">CHOOSE(WEEKDAY(B172,2),"सोमवार","मंगलवार","बुधवार","गुरुवार","शुक्रवार","शनिवार","रविवार")</f>
        <v>शुक्रवार</v>
      </c>
      <c r="D172" s="29" t="n">
        <f aca="false">IF(A172=1,0,INT((A172-2)/7)+1)</f>
        <v>24</v>
      </c>
      <c r="E172" s="29" t="n">
        <f aca="false">(YEAR(B172)-YEAR(सारांश!$B$4))*12+MONTH(B172)-MONTH(सारांश!$B$4)+IF(DAY(B172)&gt;=DAY(सारांश!$B$4),1,0)</f>
        <v>6</v>
      </c>
      <c r="F172" s="31" t="s">
        <v>16</v>
      </c>
      <c r="G172" s="14" t="s">
        <v>635</v>
      </c>
      <c r="H172" s="32" t="s">
        <v>701</v>
      </c>
      <c r="I172" s="32" t="s">
        <v>698</v>
      </c>
      <c r="J172" s="48" t="s">
        <v>699</v>
      </c>
      <c r="K172" s="48" t="s">
        <v>639</v>
      </c>
      <c r="L172" s="14" t="s">
        <v>690</v>
      </c>
      <c r="M172" s="32" t="s">
        <v>702</v>
      </c>
      <c r="N172" s="32" t="s">
        <v>287</v>
      </c>
      <c r="O172" s="32" t="s">
        <v>269</v>
      </c>
      <c r="P172" s="32" t="s">
        <v>270</v>
      </c>
      <c r="Q172" s="14" t="n">
        <v>7.5</v>
      </c>
      <c r="R172" s="32" t="s">
        <v>641</v>
      </c>
      <c r="S172" s="32" t="s">
        <v>692</v>
      </c>
      <c r="T172" s="49" t="s">
        <v>258</v>
      </c>
      <c r="U172" s="49" t="s">
        <v>259</v>
      </c>
      <c r="V172" s="49" t="s">
        <v>259</v>
      </c>
      <c r="W172" s="14" t="s">
        <v>260</v>
      </c>
      <c r="X172" s="14"/>
      <c r="Y172" s="48" t="s">
        <v>273</v>
      </c>
    </row>
    <row r="173" customFormat="false" ht="126.75" hidden="false" customHeight="true" outlineLevel="0" collapsed="false">
      <c r="A173" s="29" t="n">
        <v>168</v>
      </c>
      <c r="B173" s="30" t="n">
        <f aca="false">सारांश!$B$4+A173-1</f>
        <v>46508</v>
      </c>
      <c r="C173" s="29" t="str">
        <f aca="false">CHOOSE(WEEKDAY(B173,2),"सोमवार","मंगलवार","बुधवार","गुरुवार","शुक्रवार","शनिवार","रविवार")</f>
        <v>शनिवार</v>
      </c>
      <c r="D173" s="29" t="n">
        <f aca="false">IF(A173=1,0,INT((A173-2)/7)+1)</f>
        <v>24</v>
      </c>
      <c r="E173" s="29" t="n">
        <f aca="false">(YEAR(B173)-YEAR(सारांश!$B$4))*12+MONTH(B173)-MONTH(सारांश!$B$4)+IF(DAY(B173)&gt;=DAY(सारांश!$B$4),1,0)</f>
        <v>6</v>
      </c>
      <c r="F173" s="31" t="s">
        <v>16</v>
      </c>
      <c r="G173" s="14" t="s">
        <v>635</v>
      </c>
      <c r="H173" s="32" t="s">
        <v>703</v>
      </c>
      <c r="I173" s="32" t="s">
        <v>698</v>
      </c>
      <c r="J173" s="48" t="s">
        <v>699</v>
      </c>
      <c r="K173" s="48" t="s">
        <v>639</v>
      </c>
      <c r="L173" s="14" t="s">
        <v>690</v>
      </c>
      <c r="M173" s="32" t="s">
        <v>704</v>
      </c>
      <c r="N173" s="32" t="s">
        <v>290</v>
      </c>
      <c r="O173" s="32" t="s">
        <v>269</v>
      </c>
      <c r="P173" s="32" t="s">
        <v>270</v>
      </c>
      <c r="Q173" s="14" t="n">
        <v>7.5</v>
      </c>
      <c r="R173" s="32" t="s">
        <v>641</v>
      </c>
      <c r="S173" s="32" t="s">
        <v>692</v>
      </c>
      <c r="T173" s="49" t="s">
        <v>258</v>
      </c>
      <c r="U173" s="49" t="s">
        <v>259</v>
      </c>
      <c r="V173" s="49" t="s">
        <v>259</v>
      </c>
      <c r="W173" s="14" t="s">
        <v>260</v>
      </c>
      <c r="X173" s="14"/>
      <c r="Y173" s="48" t="s">
        <v>273</v>
      </c>
    </row>
    <row r="174" customFormat="false" ht="75.75" hidden="false" customHeight="true" outlineLevel="0" collapsed="false">
      <c r="A174" s="50" t="n">
        <v>169</v>
      </c>
      <c r="B174" s="51" t="n">
        <f aca="false">सारांश!$B$4+A174-1</f>
        <v>46509</v>
      </c>
      <c r="C174" s="50" t="str">
        <f aca="false">CHOOSE(WEEKDAY(B174,2),"सोमवार","मंगलवार","बुधवार","गुरुवार","शुक्रवार","शनिवार","रविवार")</f>
        <v>रविवार</v>
      </c>
      <c r="D174" s="50" t="n">
        <f aca="false">IF(A174=1,0,INT((A174-2)/7)+1)</f>
        <v>24</v>
      </c>
      <c r="E174" s="50" t="n">
        <f aca="false">(YEAR(B174)-YEAR(सारांश!$B$4))*12+MONTH(B174)-MONTH(सारांश!$B$4)+IF(DAY(B174)&gt;=DAY(सारांश!$B$4),1,0)</f>
        <v>6</v>
      </c>
      <c r="F174" s="52" t="s">
        <v>16</v>
      </c>
      <c r="G174" s="50" t="s">
        <v>291</v>
      </c>
      <c r="H174" s="52" t="s">
        <v>135</v>
      </c>
      <c r="I174" s="52" t="s">
        <v>705</v>
      </c>
      <c r="J174" s="53" t="s">
        <v>293</v>
      </c>
      <c r="K174" s="53" t="s">
        <v>294</v>
      </c>
      <c r="L174" s="50" t="s">
        <v>295</v>
      </c>
      <c r="M174" s="52" t="s">
        <v>296</v>
      </c>
      <c r="N174" s="52" t="s">
        <v>297</v>
      </c>
      <c r="O174" s="52" t="s">
        <v>298</v>
      </c>
      <c r="P174" s="52" t="s">
        <v>299</v>
      </c>
      <c r="Q174" s="50" t="n">
        <v>6</v>
      </c>
      <c r="R174" s="52" t="s">
        <v>300</v>
      </c>
      <c r="S174" s="52" t="s">
        <v>257</v>
      </c>
      <c r="T174" s="54" t="s">
        <v>258</v>
      </c>
      <c r="U174" s="54" t="s">
        <v>259</v>
      </c>
      <c r="V174" s="54" t="s">
        <v>259</v>
      </c>
      <c r="W174" s="50" t="s">
        <v>260</v>
      </c>
      <c r="X174" s="50"/>
    </row>
    <row r="175" customFormat="false" ht="126.75" hidden="false" customHeight="true" outlineLevel="0" collapsed="false">
      <c r="A175" s="29" t="n">
        <v>170</v>
      </c>
      <c r="B175" s="30" t="n">
        <f aca="false">सारांश!$B$4+A175-1</f>
        <v>46510</v>
      </c>
      <c r="C175" s="29" t="str">
        <f aca="false">CHOOSE(WEEKDAY(B175,2),"सोमवार","मंगलवार","बुधवार","गुरुवार","शुक्रवार","शनिवार","रविवार")</f>
        <v>सोमवार</v>
      </c>
      <c r="D175" s="29" t="n">
        <f aca="false">IF(A175=1,0,INT((A175-2)/7)+1)</f>
        <v>25</v>
      </c>
      <c r="E175" s="29" t="n">
        <f aca="false">(YEAR(B175)-YEAR(सारांश!$B$4))*12+MONTH(B175)-MONTH(सारांश!$B$4)+IF(DAY(B175)&gt;=DAY(सारांश!$B$4),1,0)</f>
        <v>6</v>
      </c>
      <c r="F175" s="31" t="s">
        <v>16</v>
      </c>
      <c r="G175" s="14" t="s">
        <v>635</v>
      </c>
      <c r="H175" s="32" t="s">
        <v>706</v>
      </c>
      <c r="I175" s="32" t="s">
        <v>707</v>
      </c>
      <c r="J175" s="48" t="s">
        <v>708</v>
      </c>
      <c r="K175" s="48" t="s">
        <v>639</v>
      </c>
      <c r="L175" s="14" t="s">
        <v>690</v>
      </c>
      <c r="M175" s="32" t="s">
        <v>709</v>
      </c>
      <c r="N175" s="32" t="s">
        <v>268</v>
      </c>
      <c r="O175" s="32" t="s">
        <v>269</v>
      </c>
      <c r="P175" s="32" t="s">
        <v>270</v>
      </c>
      <c r="Q175" s="14" t="n">
        <v>7.5</v>
      </c>
      <c r="R175" s="32" t="s">
        <v>641</v>
      </c>
      <c r="S175" s="32" t="s">
        <v>692</v>
      </c>
      <c r="T175" s="49" t="s">
        <v>258</v>
      </c>
      <c r="U175" s="49" t="s">
        <v>259</v>
      </c>
      <c r="V175" s="49" t="s">
        <v>259</v>
      </c>
      <c r="W175" s="14" t="s">
        <v>260</v>
      </c>
      <c r="X175" s="14"/>
      <c r="Y175" s="48" t="s">
        <v>273</v>
      </c>
    </row>
    <row r="176" customFormat="false" ht="126.75" hidden="false" customHeight="true" outlineLevel="0" collapsed="false">
      <c r="A176" s="29" t="n">
        <v>171</v>
      </c>
      <c r="B176" s="30" t="n">
        <f aca="false">सारांश!$B$4+A176-1</f>
        <v>46511</v>
      </c>
      <c r="C176" s="29" t="str">
        <f aca="false">CHOOSE(WEEKDAY(B176,2),"सोमवार","मंगलवार","बुधवार","गुरुवार","शुक्रवार","शनिवार","रविवार")</f>
        <v>मंगलवार</v>
      </c>
      <c r="D176" s="29" t="n">
        <f aca="false">IF(A176=1,0,INT((A176-2)/7)+1)</f>
        <v>25</v>
      </c>
      <c r="E176" s="29" t="n">
        <f aca="false">(YEAR(B176)-YEAR(सारांश!$B$4))*12+MONTH(B176)-MONTH(सारांश!$B$4)+IF(DAY(B176)&gt;=DAY(सारांश!$B$4),1,0)</f>
        <v>6</v>
      </c>
      <c r="F176" s="31" t="s">
        <v>16</v>
      </c>
      <c r="G176" s="14" t="s">
        <v>635</v>
      </c>
      <c r="H176" s="32" t="s">
        <v>710</v>
      </c>
      <c r="I176" s="32" t="s">
        <v>707</v>
      </c>
      <c r="J176" s="48" t="s">
        <v>708</v>
      </c>
      <c r="K176" s="48" t="s">
        <v>639</v>
      </c>
      <c r="L176" s="14" t="s">
        <v>690</v>
      </c>
      <c r="M176" s="32" t="s">
        <v>711</v>
      </c>
      <c r="N176" s="32" t="s">
        <v>276</v>
      </c>
      <c r="O176" s="32" t="s">
        <v>269</v>
      </c>
      <c r="P176" s="32" t="s">
        <v>270</v>
      </c>
      <c r="Q176" s="14" t="n">
        <v>7.5</v>
      </c>
      <c r="R176" s="32" t="s">
        <v>641</v>
      </c>
      <c r="S176" s="32" t="s">
        <v>692</v>
      </c>
      <c r="T176" s="49" t="s">
        <v>258</v>
      </c>
      <c r="U176" s="49" t="s">
        <v>259</v>
      </c>
      <c r="V176" s="49" t="s">
        <v>259</v>
      </c>
      <c r="W176" s="14" t="s">
        <v>260</v>
      </c>
      <c r="X176" s="14"/>
      <c r="Y176" s="48" t="s">
        <v>273</v>
      </c>
    </row>
    <row r="177" customFormat="false" ht="126.75" hidden="false" customHeight="true" outlineLevel="0" collapsed="false">
      <c r="A177" s="29" t="n">
        <v>172</v>
      </c>
      <c r="B177" s="30" t="n">
        <f aca="false">सारांश!$B$4+A177-1</f>
        <v>46512</v>
      </c>
      <c r="C177" s="29" t="str">
        <f aca="false">CHOOSE(WEEKDAY(B177,2),"सोमवार","मंगलवार","बुधवार","गुरुवार","शुक्रवार","शनिवार","रविवार")</f>
        <v>बुधवार</v>
      </c>
      <c r="D177" s="29" t="n">
        <f aca="false">IF(A177=1,0,INT((A177-2)/7)+1)</f>
        <v>25</v>
      </c>
      <c r="E177" s="29" t="n">
        <f aca="false">(YEAR(B177)-YEAR(सारांश!$B$4))*12+MONTH(B177)-MONTH(सारांश!$B$4)+IF(DAY(B177)&gt;=DAY(सारांश!$B$4),1,0)</f>
        <v>6</v>
      </c>
      <c r="F177" s="31" t="s">
        <v>16</v>
      </c>
      <c r="G177" s="14" t="s">
        <v>635</v>
      </c>
      <c r="H177" s="32" t="s">
        <v>712</v>
      </c>
      <c r="I177" s="32" t="s">
        <v>707</v>
      </c>
      <c r="J177" s="48" t="s">
        <v>708</v>
      </c>
      <c r="K177" s="48" t="s">
        <v>639</v>
      </c>
      <c r="L177" s="14" t="s">
        <v>690</v>
      </c>
      <c r="M177" s="32" t="s">
        <v>713</v>
      </c>
      <c r="N177" s="32" t="s">
        <v>279</v>
      </c>
      <c r="O177" s="32" t="s">
        <v>269</v>
      </c>
      <c r="P177" s="32" t="s">
        <v>270</v>
      </c>
      <c r="Q177" s="14" t="n">
        <v>7.5</v>
      </c>
      <c r="R177" s="32" t="s">
        <v>641</v>
      </c>
      <c r="S177" s="32" t="s">
        <v>692</v>
      </c>
      <c r="T177" s="49" t="s">
        <v>258</v>
      </c>
      <c r="U177" s="49" t="s">
        <v>259</v>
      </c>
      <c r="V177" s="49" t="s">
        <v>259</v>
      </c>
      <c r="W177" s="14" t="s">
        <v>260</v>
      </c>
      <c r="X177" s="14"/>
      <c r="Y177" s="48" t="s">
        <v>273</v>
      </c>
    </row>
    <row r="178" customFormat="false" ht="126.75" hidden="false" customHeight="true" outlineLevel="0" collapsed="false">
      <c r="A178" s="29" t="n">
        <v>173</v>
      </c>
      <c r="B178" s="30" t="n">
        <f aca="false">सारांश!$B$4+A178-1</f>
        <v>46513</v>
      </c>
      <c r="C178" s="29" t="str">
        <f aca="false">CHOOSE(WEEKDAY(B178,2),"सोमवार","मंगलवार","बुधवार","गुरुवार","शुक्रवार","शनिवार","रविवार")</f>
        <v>गुरुवार</v>
      </c>
      <c r="D178" s="29" t="n">
        <f aca="false">IF(A178=1,0,INT((A178-2)/7)+1)</f>
        <v>25</v>
      </c>
      <c r="E178" s="29" t="n">
        <f aca="false">(YEAR(B178)-YEAR(सारांश!$B$4))*12+MONTH(B178)-MONTH(सारांश!$B$4)+IF(DAY(B178)&gt;=DAY(सारांश!$B$4),1,0)</f>
        <v>6</v>
      </c>
      <c r="F178" s="31" t="s">
        <v>16</v>
      </c>
      <c r="G178" s="14" t="s">
        <v>714</v>
      </c>
      <c r="H178" s="32" t="s">
        <v>715</v>
      </c>
      <c r="I178" s="32" t="s">
        <v>716</v>
      </c>
      <c r="J178" s="48" t="s">
        <v>717</v>
      </c>
      <c r="K178" s="48" t="s">
        <v>294</v>
      </c>
      <c r="L178" s="14" t="s">
        <v>690</v>
      </c>
      <c r="M178" s="32" t="s">
        <v>718</v>
      </c>
      <c r="N178" s="32" t="s">
        <v>284</v>
      </c>
      <c r="O178" s="32" t="s">
        <v>269</v>
      </c>
      <c r="P178" s="32" t="s">
        <v>270</v>
      </c>
      <c r="Q178" s="14" t="n">
        <v>7.5</v>
      </c>
      <c r="R178" s="32" t="s">
        <v>719</v>
      </c>
      <c r="S178" s="32" t="s">
        <v>692</v>
      </c>
      <c r="T178" s="49" t="s">
        <v>258</v>
      </c>
      <c r="U178" s="49" t="s">
        <v>259</v>
      </c>
      <c r="V178" s="49" t="s">
        <v>259</v>
      </c>
      <c r="W178" s="14" t="s">
        <v>260</v>
      </c>
      <c r="X178" s="14"/>
      <c r="Y178" s="48" t="s">
        <v>273</v>
      </c>
    </row>
    <row r="179" customFormat="false" ht="126.75" hidden="false" customHeight="true" outlineLevel="0" collapsed="false">
      <c r="A179" s="29" t="n">
        <v>174</v>
      </c>
      <c r="B179" s="30" t="n">
        <f aca="false">सारांश!$B$4+A179-1</f>
        <v>46514</v>
      </c>
      <c r="C179" s="29" t="str">
        <f aca="false">CHOOSE(WEEKDAY(B179,2),"सोमवार","मंगलवार","बुधवार","गुरुवार","शुक्रवार","शनिवार","रविवार")</f>
        <v>शुक्रवार</v>
      </c>
      <c r="D179" s="29" t="n">
        <f aca="false">IF(A179=1,0,INT((A179-2)/7)+1)</f>
        <v>25</v>
      </c>
      <c r="E179" s="29" t="n">
        <f aca="false">(YEAR(B179)-YEAR(सारांश!$B$4))*12+MONTH(B179)-MONTH(सारांश!$B$4)+IF(DAY(B179)&gt;=DAY(सारांश!$B$4),1,0)</f>
        <v>6</v>
      </c>
      <c r="F179" s="31" t="s">
        <v>16</v>
      </c>
      <c r="G179" s="14" t="s">
        <v>714</v>
      </c>
      <c r="H179" s="32" t="s">
        <v>720</v>
      </c>
      <c r="I179" s="32" t="s">
        <v>716</v>
      </c>
      <c r="J179" s="48" t="s">
        <v>717</v>
      </c>
      <c r="K179" s="48" t="s">
        <v>294</v>
      </c>
      <c r="L179" s="14" t="s">
        <v>690</v>
      </c>
      <c r="M179" s="32" t="s">
        <v>721</v>
      </c>
      <c r="N179" s="32" t="s">
        <v>287</v>
      </c>
      <c r="O179" s="32" t="s">
        <v>269</v>
      </c>
      <c r="P179" s="32" t="s">
        <v>270</v>
      </c>
      <c r="Q179" s="14" t="n">
        <v>7.5</v>
      </c>
      <c r="R179" s="32" t="s">
        <v>719</v>
      </c>
      <c r="S179" s="32" t="s">
        <v>692</v>
      </c>
      <c r="T179" s="49" t="s">
        <v>258</v>
      </c>
      <c r="U179" s="49" t="s">
        <v>259</v>
      </c>
      <c r="V179" s="49" t="s">
        <v>259</v>
      </c>
      <c r="W179" s="14" t="s">
        <v>260</v>
      </c>
      <c r="X179" s="14"/>
      <c r="Y179" s="48" t="s">
        <v>273</v>
      </c>
    </row>
    <row r="180" customFormat="false" ht="126.75" hidden="false" customHeight="true" outlineLevel="0" collapsed="false">
      <c r="A180" s="29" t="n">
        <v>175</v>
      </c>
      <c r="B180" s="30" t="n">
        <f aca="false">सारांश!$B$4+A180-1</f>
        <v>46515</v>
      </c>
      <c r="C180" s="29" t="str">
        <f aca="false">CHOOSE(WEEKDAY(B180,2),"सोमवार","मंगलवार","बुधवार","गुरुवार","शुक्रवार","शनिवार","रविवार")</f>
        <v>शनिवार</v>
      </c>
      <c r="D180" s="29" t="n">
        <f aca="false">IF(A180=1,0,INT((A180-2)/7)+1)</f>
        <v>25</v>
      </c>
      <c r="E180" s="29" t="n">
        <f aca="false">(YEAR(B180)-YEAR(सारांश!$B$4))*12+MONTH(B180)-MONTH(सारांश!$B$4)+IF(DAY(B180)&gt;=DAY(सारांश!$B$4),1,0)</f>
        <v>6</v>
      </c>
      <c r="F180" s="31" t="s">
        <v>16</v>
      </c>
      <c r="G180" s="14" t="s">
        <v>714</v>
      </c>
      <c r="H180" s="32" t="s">
        <v>722</v>
      </c>
      <c r="I180" s="32" t="s">
        <v>716</v>
      </c>
      <c r="J180" s="48" t="s">
        <v>717</v>
      </c>
      <c r="K180" s="48" t="s">
        <v>294</v>
      </c>
      <c r="L180" s="14" t="s">
        <v>690</v>
      </c>
      <c r="M180" s="32" t="s">
        <v>723</v>
      </c>
      <c r="N180" s="32" t="s">
        <v>290</v>
      </c>
      <c r="O180" s="32" t="s">
        <v>269</v>
      </c>
      <c r="P180" s="32" t="s">
        <v>270</v>
      </c>
      <c r="Q180" s="14" t="n">
        <v>7.5</v>
      </c>
      <c r="R180" s="32" t="s">
        <v>719</v>
      </c>
      <c r="S180" s="32" t="s">
        <v>692</v>
      </c>
      <c r="T180" s="49" t="s">
        <v>258</v>
      </c>
      <c r="U180" s="49" t="s">
        <v>259</v>
      </c>
      <c r="V180" s="49" t="s">
        <v>259</v>
      </c>
      <c r="W180" s="14" t="s">
        <v>260</v>
      </c>
      <c r="X180" s="14"/>
      <c r="Y180" s="48" t="s">
        <v>273</v>
      </c>
    </row>
    <row r="181" customFormat="false" ht="75.75" hidden="false" customHeight="true" outlineLevel="0" collapsed="false">
      <c r="A181" s="50" t="n">
        <v>176</v>
      </c>
      <c r="B181" s="51" t="n">
        <f aca="false">सारांश!$B$4+A181-1</f>
        <v>46516</v>
      </c>
      <c r="C181" s="50" t="str">
        <f aca="false">CHOOSE(WEEKDAY(B181,2),"सोमवार","मंगलवार","बुधवार","गुरुवार","शुक्रवार","शनिवार","रविवार")</f>
        <v>रविवार</v>
      </c>
      <c r="D181" s="50" t="n">
        <f aca="false">IF(A181=1,0,INT((A181-2)/7)+1)</f>
        <v>25</v>
      </c>
      <c r="E181" s="50" t="n">
        <f aca="false">(YEAR(B181)-YEAR(सारांश!$B$4))*12+MONTH(B181)-MONTH(सारांश!$B$4)+IF(DAY(B181)&gt;=DAY(सारांश!$B$4),1,0)</f>
        <v>6</v>
      </c>
      <c r="F181" s="52" t="s">
        <v>16</v>
      </c>
      <c r="G181" s="50" t="s">
        <v>291</v>
      </c>
      <c r="H181" s="52" t="s">
        <v>127</v>
      </c>
      <c r="I181" s="52" t="s">
        <v>724</v>
      </c>
      <c r="J181" s="53" t="s">
        <v>293</v>
      </c>
      <c r="K181" s="53" t="s">
        <v>294</v>
      </c>
      <c r="L181" s="50" t="s">
        <v>295</v>
      </c>
      <c r="M181" s="52" t="s">
        <v>296</v>
      </c>
      <c r="N181" s="52" t="s">
        <v>297</v>
      </c>
      <c r="O181" s="52" t="s">
        <v>298</v>
      </c>
      <c r="P181" s="52" t="s">
        <v>299</v>
      </c>
      <c r="Q181" s="50" t="n">
        <v>6</v>
      </c>
      <c r="R181" s="52" t="s">
        <v>300</v>
      </c>
      <c r="S181" s="52" t="s">
        <v>257</v>
      </c>
      <c r="T181" s="54" t="s">
        <v>258</v>
      </c>
      <c r="U181" s="54" t="s">
        <v>259</v>
      </c>
      <c r="V181" s="54" t="s">
        <v>259</v>
      </c>
      <c r="W181" s="50" t="s">
        <v>260</v>
      </c>
      <c r="X181" s="50"/>
    </row>
    <row r="182" customFormat="false" ht="126.75" hidden="false" customHeight="true" outlineLevel="0" collapsed="false">
      <c r="A182" s="29" t="n">
        <v>177</v>
      </c>
      <c r="B182" s="30" t="n">
        <f aca="false">सारांश!$B$4+A182-1</f>
        <v>46517</v>
      </c>
      <c r="C182" s="29" t="str">
        <f aca="false">CHOOSE(WEEKDAY(B182,2),"सोमवार","मंगलवार","बुधवार","गुरुवार","शुक्रवार","शनिवार","रविवार")</f>
        <v>सोमवार</v>
      </c>
      <c r="D182" s="29" t="n">
        <f aca="false">IF(A182=1,0,INT((A182-2)/7)+1)</f>
        <v>26</v>
      </c>
      <c r="E182" s="29" t="n">
        <f aca="false">(YEAR(B182)-YEAR(सारांश!$B$4))*12+MONTH(B182)-MONTH(सारांश!$B$4)+IF(DAY(B182)&gt;=DAY(सारांश!$B$4),1,0)</f>
        <v>6</v>
      </c>
      <c r="F182" s="31" t="s">
        <v>16</v>
      </c>
      <c r="G182" s="14" t="s">
        <v>714</v>
      </c>
      <c r="H182" s="32" t="s">
        <v>725</v>
      </c>
      <c r="I182" s="32" t="s">
        <v>726</v>
      </c>
      <c r="J182" s="48" t="s">
        <v>727</v>
      </c>
      <c r="K182" s="48" t="s">
        <v>294</v>
      </c>
      <c r="L182" s="14" t="s">
        <v>690</v>
      </c>
      <c r="M182" s="32" t="s">
        <v>728</v>
      </c>
      <c r="N182" s="32" t="s">
        <v>268</v>
      </c>
      <c r="O182" s="32" t="s">
        <v>269</v>
      </c>
      <c r="P182" s="32" t="s">
        <v>270</v>
      </c>
      <c r="Q182" s="14" t="n">
        <v>7.5</v>
      </c>
      <c r="R182" s="32" t="s">
        <v>719</v>
      </c>
      <c r="S182" s="32" t="s">
        <v>692</v>
      </c>
      <c r="T182" s="49" t="s">
        <v>258</v>
      </c>
      <c r="U182" s="49" t="s">
        <v>259</v>
      </c>
      <c r="V182" s="49" t="s">
        <v>259</v>
      </c>
      <c r="W182" s="14" t="s">
        <v>260</v>
      </c>
      <c r="X182" s="14"/>
      <c r="Y182" s="48" t="s">
        <v>273</v>
      </c>
    </row>
    <row r="183" customFormat="false" ht="126.75" hidden="false" customHeight="true" outlineLevel="0" collapsed="false">
      <c r="A183" s="29" t="n">
        <v>178</v>
      </c>
      <c r="B183" s="30" t="n">
        <f aca="false">सारांश!$B$4+A183-1</f>
        <v>46518</v>
      </c>
      <c r="C183" s="29" t="str">
        <f aca="false">CHOOSE(WEEKDAY(B183,2),"सोमवार","मंगलवार","बुधवार","गुरुवार","शुक्रवार","शनिवार","रविवार")</f>
        <v>मंगलवार</v>
      </c>
      <c r="D183" s="29" t="n">
        <f aca="false">IF(A183=1,0,INT((A183-2)/7)+1)</f>
        <v>26</v>
      </c>
      <c r="E183" s="29" t="n">
        <f aca="false">(YEAR(B183)-YEAR(सारांश!$B$4))*12+MONTH(B183)-MONTH(सारांश!$B$4)+IF(DAY(B183)&gt;=DAY(सारांश!$B$4),1,0)</f>
        <v>6</v>
      </c>
      <c r="F183" s="31" t="s">
        <v>16</v>
      </c>
      <c r="G183" s="14" t="s">
        <v>714</v>
      </c>
      <c r="H183" s="32" t="s">
        <v>729</v>
      </c>
      <c r="I183" s="32" t="s">
        <v>726</v>
      </c>
      <c r="J183" s="48" t="s">
        <v>727</v>
      </c>
      <c r="K183" s="48" t="s">
        <v>294</v>
      </c>
      <c r="L183" s="14" t="s">
        <v>690</v>
      </c>
      <c r="M183" s="32" t="s">
        <v>730</v>
      </c>
      <c r="N183" s="32" t="s">
        <v>276</v>
      </c>
      <c r="O183" s="32" t="s">
        <v>269</v>
      </c>
      <c r="P183" s="32" t="s">
        <v>270</v>
      </c>
      <c r="Q183" s="14" t="n">
        <v>7.5</v>
      </c>
      <c r="R183" s="32" t="s">
        <v>719</v>
      </c>
      <c r="S183" s="32" t="s">
        <v>692</v>
      </c>
      <c r="T183" s="49" t="s">
        <v>258</v>
      </c>
      <c r="U183" s="49" t="s">
        <v>259</v>
      </c>
      <c r="V183" s="49" t="s">
        <v>259</v>
      </c>
      <c r="W183" s="14" t="s">
        <v>260</v>
      </c>
      <c r="X183" s="14"/>
      <c r="Y183" s="48" t="s">
        <v>273</v>
      </c>
    </row>
    <row r="184" customFormat="false" ht="126.75" hidden="false" customHeight="true" outlineLevel="0" collapsed="false">
      <c r="A184" s="29" t="n">
        <v>179</v>
      </c>
      <c r="B184" s="30" t="n">
        <f aca="false">सारांश!$B$4+A184-1</f>
        <v>46519</v>
      </c>
      <c r="C184" s="29" t="str">
        <f aca="false">CHOOSE(WEEKDAY(B184,2),"सोमवार","मंगलवार","बुधवार","गुरुवार","शुक्रवार","शनिवार","रविवार")</f>
        <v>बुधवार</v>
      </c>
      <c r="D184" s="29" t="n">
        <f aca="false">IF(A184=1,0,INT((A184-2)/7)+1)</f>
        <v>26</v>
      </c>
      <c r="E184" s="29" t="n">
        <f aca="false">(YEAR(B184)-YEAR(सारांश!$B$4))*12+MONTH(B184)-MONTH(सारांश!$B$4)+IF(DAY(B184)&gt;=DAY(सारांश!$B$4),1,0)</f>
        <v>6</v>
      </c>
      <c r="F184" s="31" t="s">
        <v>16</v>
      </c>
      <c r="G184" s="14" t="s">
        <v>714</v>
      </c>
      <c r="H184" s="32" t="s">
        <v>731</v>
      </c>
      <c r="I184" s="32" t="s">
        <v>726</v>
      </c>
      <c r="J184" s="48" t="s">
        <v>727</v>
      </c>
      <c r="K184" s="48" t="s">
        <v>294</v>
      </c>
      <c r="L184" s="14" t="s">
        <v>690</v>
      </c>
      <c r="M184" s="32" t="s">
        <v>732</v>
      </c>
      <c r="N184" s="32" t="s">
        <v>279</v>
      </c>
      <c r="O184" s="32" t="s">
        <v>269</v>
      </c>
      <c r="P184" s="32" t="s">
        <v>270</v>
      </c>
      <c r="Q184" s="14" t="n">
        <v>7.5</v>
      </c>
      <c r="R184" s="32" t="s">
        <v>719</v>
      </c>
      <c r="S184" s="32" t="s">
        <v>692</v>
      </c>
      <c r="T184" s="49" t="s">
        <v>258</v>
      </c>
      <c r="U184" s="49" t="s">
        <v>259</v>
      </c>
      <c r="V184" s="49" t="s">
        <v>259</v>
      </c>
      <c r="W184" s="14" t="s">
        <v>260</v>
      </c>
      <c r="X184" s="14"/>
      <c r="Y184" s="48" t="s">
        <v>273</v>
      </c>
    </row>
    <row r="185" customFormat="false" ht="126.75" hidden="false" customHeight="true" outlineLevel="0" collapsed="false">
      <c r="A185" s="29" t="n">
        <v>180</v>
      </c>
      <c r="B185" s="30" t="n">
        <f aca="false">सारांश!$B$4+A185-1</f>
        <v>46520</v>
      </c>
      <c r="C185" s="29" t="str">
        <f aca="false">CHOOSE(WEEKDAY(B185,2),"सोमवार","मंगलवार","बुधवार","गुरुवार","शुक्रवार","शनिवार","रविवार")</f>
        <v>गुरुवार</v>
      </c>
      <c r="D185" s="29" t="n">
        <f aca="false">IF(A185=1,0,INT((A185-2)/7)+1)</f>
        <v>26</v>
      </c>
      <c r="E185" s="29" t="n">
        <f aca="false">(YEAR(B185)-YEAR(सारांश!$B$4))*12+MONTH(B185)-MONTH(सारांश!$B$4)+IF(DAY(B185)&gt;=DAY(सारांश!$B$4),1,0)</f>
        <v>6</v>
      </c>
      <c r="F185" s="31" t="s">
        <v>16</v>
      </c>
      <c r="G185" s="14" t="s">
        <v>714</v>
      </c>
      <c r="H185" s="32" t="s">
        <v>733</v>
      </c>
      <c r="I185" s="32" t="s">
        <v>734</v>
      </c>
      <c r="J185" s="48" t="s">
        <v>735</v>
      </c>
      <c r="K185" s="48" t="s">
        <v>294</v>
      </c>
      <c r="L185" s="14" t="s">
        <v>690</v>
      </c>
      <c r="M185" s="32" t="s">
        <v>736</v>
      </c>
      <c r="N185" s="32" t="s">
        <v>284</v>
      </c>
      <c r="O185" s="32" t="s">
        <v>269</v>
      </c>
      <c r="P185" s="32" t="s">
        <v>270</v>
      </c>
      <c r="Q185" s="14" t="n">
        <v>7.5</v>
      </c>
      <c r="R185" s="32" t="s">
        <v>719</v>
      </c>
      <c r="S185" s="32" t="s">
        <v>692</v>
      </c>
      <c r="T185" s="49" t="s">
        <v>258</v>
      </c>
      <c r="U185" s="49" t="s">
        <v>259</v>
      </c>
      <c r="V185" s="49" t="s">
        <v>259</v>
      </c>
      <c r="W185" s="14" t="s">
        <v>260</v>
      </c>
      <c r="X185" s="14"/>
      <c r="Y185" s="48" t="s">
        <v>273</v>
      </c>
    </row>
    <row r="186" customFormat="false" ht="126.75" hidden="false" customHeight="true" outlineLevel="0" collapsed="false">
      <c r="A186" s="29" t="n">
        <v>181</v>
      </c>
      <c r="B186" s="30" t="n">
        <f aca="false">सारांश!$B$4+A186-1</f>
        <v>46521</v>
      </c>
      <c r="C186" s="29" t="str">
        <f aca="false">CHOOSE(WEEKDAY(B186,2),"सोमवार","मंगलवार","बुधवार","गुरुवार","शुक्रवार","शनिवार","रविवार")</f>
        <v>शुक्रवार</v>
      </c>
      <c r="D186" s="29" t="n">
        <f aca="false">IF(A186=1,0,INT((A186-2)/7)+1)</f>
        <v>26</v>
      </c>
      <c r="E186" s="29" t="n">
        <f aca="false">(YEAR(B186)-YEAR(सारांश!$B$4))*12+MONTH(B186)-MONTH(सारांश!$B$4)+IF(DAY(B186)&gt;=DAY(सारांश!$B$4),1,0)</f>
        <v>6</v>
      </c>
      <c r="F186" s="31" t="s">
        <v>16</v>
      </c>
      <c r="G186" s="14" t="s">
        <v>714</v>
      </c>
      <c r="H186" s="32" t="s">
        <v>737</v>
      </c>
      <c r="I186" s="32" t="s">
        <v>734</v>
      </c>
      <c r="J186" s="48" t="s">
        <v>735</v>
      </c>
      <c r="K186" s="48" t="s">
        <v>294</v>
      </c>
      <c r="L186" s="14" t="s">
        <v>690</v>
      </c>
      <c r="M186" s="32" t="s">
        <v>738</v>
      </c>
      <c r="N186" s="32" t="s">
        <v>287</v>
      </c>
      <c r="O186" s="32" t="s">
        <v>269</v>
      </c>
      <c r="P186" s="32" t="s">
        <v>270</v>
      </c>
      <c r="Q186" s="14" t="n">
        <v>7.5</v>
      </c>
      <c r="R186" s="32" t="s">
        <v>719</v>
      </c>
      <c r="S186" s="32" t="s">
        <v>692</v>
      </c>
      <c r="T186" s="49" t="s">
        <v>258</v>
      </c>
      <c r="U186" s="49" t="s">
        <v>259</v>
      </c>
      <c r="V186" s="49" t="s">
        <v>259</v>
      </c>
      <c r="W186" s="14" t="s">
        <v>260</v>
      </c>
      <c r="X186" s="14"/>
      <c r="Y186" s="48" t="s">
        <v>273</v>
      </c>
    </row>
    <row r="187" customFormat="false" ht="126.75" hidden="false" customHeight="true" outlineLevel="0" collapsed="false">
      <c r="A187" s="29" t="n">
        <v>182</v>
      </c>
      <c r="B187" s="30" t="n">
        <f aca="false">सारांश!$B$4+A187-1</f>
        <v>46522</v>
      </c>
      <c r="C187" s="29" t="str">
        <f aca="false">CHOOSE(WEEKDAY(B187,2),"सोमवार","मंगलवार","बुधवार","गुरुवार","शुक्रवार","शनिवार","रविवार")</f>
        <v>शनिवार</v>
      </c>
      <c r="D187" s="29" t="n">
        <f aca="false">IF(A187=1,0,INT((A187-2)/7)+1)</f>
        <v>26</v>
      </c>
      <c r="E187" s="29" t="n">
        <f aca="false">(YEAR(B187)-YEAR(सारांश!$B$4))*12+MONTH(B187)-MONTH(सारांश!$B$4)+IF(DAY(B187)&gt;=DAY(सारांश!$B$4),1,0)</f>
        <v>7</v>
      </c>
      <c r="F187" s="31" t="s">
        <v>16</v>
      </c>
      <c r="G187" s="14" t="s">
        <v>714</v>
      </c>
      <c r="H187" s="32" t="s">
        <v>739</v>
      </c>
      <c r="I187" s="32" t="s">
        <v>734</v>
      </c>
      <c r="J187" s="48" t="s">
        <v>735</v>
      </c>
      <c r="K187" s="48" t="s">
        <v>294</v>
      </c>
      <c r="L187" s="14" t="s">
        <v>690</v>
      </c>
      <c r="M187" s="32" t="s">
        <v>740</v>
      </c>
      <c r="N187" s="32" t="s">
        <v>290</v>
      </c>
      <c r="O187" s="32" t="s">
        <v>269</v>
      </c>
      <c r="P187" s="32" t="s">
        <v>270</v>
      </c>
      <c r="Q187" s="14" t="n">
        <v>7.5</v>
      </c>
      <c r="R187" s="32" t="s">
        <v>719</v>
      </c>
      <c r="S187" s="32" t="s">
        <v>692</v>
      </c>
      <c r="T187" s="49" t="s">
        <v>258</v>
      </c>
      <c r="U187" s="49" t="s">
        <v>259</v>
      </c>
      <c r="V187" s="49" t="s">
        <v>259</v>
      </c>
      <c r="W187" s="14" t="s">
        <v>260</v>
      </c>
      <c r="X187" s="14"/>
      <c r="Y187" s="48" t="s">
        <v>273</v>
      </c>
    </row>
    <row r="188" customFormat="false" ht="75.75" hidden="false" customHeight="true" outlineLevel="0" collapsed="false">
      <c r="A188" s="50" t="n">
        <v>183</v>
      </c>
      <c r="B188" s="51" t="n">
        <f aca="false">सारांश!$B$4+A188-1</f>
        <v>46523</v>
      </c>
      <c r="C188" s="50" t="str">
        <f aca="false">CHOOSE(WEEKDAY(B188,2),"सोमवार","मंगलवार","बुधवार","गुरुवार","शुक्रवार","शनिवार","रविवार")</f>
        <v>रविवार</v>
      </c>
      <c r="D188" s="50" t="n">
        <f aca="false">IF(A188=1,0,INT((A188-2)/7)+1)</f>
        <v>26</v>
      </c>
      <c r="E188" s="50" t="n">
        <f aca="false">(YEAR(B188)-YEAR(सारांश!$B$4))*12+MONTH(B188)-MONTH(सारांश!$B$4)+IF(DAY(B188)&gt;=DAY(सारांश!$B$4),1,0)</f>
        <v>7</v>
      </c>
      <c r="F188" s="52" t="s">
        <v>16</v>
      </c>
      <c r="G188" s="50" t="s">
        <v>291</v>
      </c>
      <c r="H188" s="52" t="s">
        <v>127</v>
      </c>
      <c r="I188" s="52" t="s">
        <v>741</v>
      </c>
      <c r="J188" s="53" t="s">
        <v>293</v>
      </c>
      <c r="K188" s="53" t="s">
        <v>294</v>
      </c>
      <c r="L188" s="50" t="s">
        <v>295</v>
      </c>
      <c r="M188" s="52" t="s">
        <v>296</v>
      </c>
      <c r="N188" s="52" t="s">
        <v>297</v>
      </c>
      <c r="O188" s="52" t="s">
        <v>298</v>
      </c>
      <c r="P188" s="52" t="s">
        <v>299</v>
      </c>
      <c r="Q188" s="50" t="n">
        <v>6</v>
      </c>
      <c r="R188" s="52" t="s">
        <v>300</v>
      </c>
      <c r="S188" s="52" t="s">
        <v>257</v>
      </c>
      <c r="T188" s="54" t="s">
        <v>258</v>
      </c>
      <c r="U188" s="54" t="s">
        <v>259</v>
      </c>
      <c r="V188" s="54" t="s">
        <v>259</v>
      </c>
      <c r="W188" s="50" t="s">
        <v>260</v>
      </c>
      <c r="X188" s="50"/>
    </row>
    <row r="189" customFormat="false" ht="126.75" hidden="false" customHeight="true" outlineLevel="0" collapsed="false">
      <c r="A189" s="33" t="n">
        <v>184</v>
      </c>
      <c r="B189" s="34" t="n">
        <f aca="false">सारांश!$B$4+A189-1</f>
        <v>46524</v>
      </c>
      <c r="C189" s="33" t="str">
        <f aca="false">CHOOSE(WEEKDAY(B189,2),"सोमवार","मंगलवार","बुधवार","गुरुवार","शुक्रवार","शनिवार","रविवार")</f>
        <v>सोमवार</v>
      </c>
      <c r="D189" s="33" t="n">
        <f aca="false">IF(A189=1,0,INT((A189-2)/7)+1)</f>
        <v>27</v>
      </c>
      <c r="E189" s="33" t="n">
        <f aca="false">(YEAR(B189)-YEAR(सारांश!$B$4))*12+MONTH(B189)-MONTH(सारांश!$B$4)+IF(DAY(B189)&gt;=DAY(सारांश!$B$4),1,0)</f>
        <v>7</v>
      </c>
      <c r="F189" s="35" t="s">
        <v>18</v>
      </c>
      <c r="G189" s="14" t="s">
        <v>261</v>
      </c>
      <c r="H189" s="32" t="s">
        <v>742</v>
      </c>
      <c r="I189" s="32" t="s">
        <v>263</v>
      </c>
      <c r="J189" s="48" t="s">
        <v>264</v>
      </c>
      <c r="K189" s="48" t="s">
        <v>265</v>
      </c>
      <c r="L189" s="14" t="s">
        <v>266</v>
      </c>
      <c r="M189" s="32" t="s">
        <v>743</v>
      </c>
      <c r="N189" s="32" t="s">
        <v>268</v>
      </c>
      <c r="O189" s="32" t="s">
        <v>744</v>
      </c>
      <c r="P189" s="32" t="s">
        <v>745</v>
      </c>
      <c r="Q189" s="14" t="n">
        <v>7.5</v>
      </c>
      <c r="R189" s="32" t="s">
        <v>271</v>
      </c>
      <c r="S189" s="32" t="s">
        <v>272</v>
      </c>
      <c r="T189" s="49" t="s">
        <v>258</v>
      </c>
      <c r="U189" s="49" t="s">
        <v>259</v>
      </c>
      <c r="V189" s="49" t="s">
        <v>259</v>
      </c>
      <c r="W189" s="14" t="s">
        <v>260</v>
      </c>
      <c r="X189" s="14"/>
      <c r="Y189" s="48" t="s">
        <v>273</v>
      </c>
    </row>
    <row r="190" customFormat="false" ht="126.75" hidden="false" customHeight="true" outlineLevel="0" collapsed="false">
      <c r="A190" s="33" t="n">
        <v>185</v>
      </c>
      <c r="B190" s="34" t="n">
        <f aca="false">सारांश!$B$4+A190-1</f>
        <v>46525</v>
      </c>
      <c r="C190" s="33" t="str">
        <f aca="false">CHOOSE(WEEKDAY(B190,2),"सोमवार","मंगलवार","बुधवार","गुरुवार","शुक्रवार","शनिवार","रविवार")</f>
        <v>मंगलवार</v>
      </c>
      <c r="D190" s="33" t="n">
        <f aca="false">IF(A190=1,0,INT((A190-2)/7)+1)</f>
        <v>27</v>
      </c>
      <c r="E190" s="33" t="n">
        <f aca="false">(YEAR(B190)-YEAR(सारांश!$B$4))*12+MONTH(B190)-MONTH(सारांश!$B$4)+IF(DAY(B190)&gt;=DAY(सारांश!$B$4),1,0)</f>
        <v>7</v>
      </c>
      <c r="F190" s="35" t="s">
        <v>18</v>
      </c>
      <c r="G190" s="14" t="s">
        <v>261</v>
      </c>
      <c r="H190" s="32" t="s">
        <v>746</v>
      </c>
      <c r="I190" s="32" t="s">
        <v>263</v>
      </c>
      <c r="J190" s="48" t="s">
        <v>264</v>
      </c>
      <c r="K190" s="48" t="s">
        <v>265</v>
      </c>
      <c r="L190" s="14" t="s">
        <v>266</v>
      </c>
      <c r="M190" s="32" t="s">
        <v>747</v>
      </c>
      <c r="N190" s="32" t="s">
        <v>276</v>
      </c>
      <c r="O190" s="32" t="s">
        <v>744</v>
      </c>
      <c r="P190" s="32" t="s">
        <v>745</v>
      </c>
      <c r="Q190" s="14" t="n">
        <v>7.5</v>
      </c>
      <c r="R190" s="32" t="s">
        <v>271</v>
      </c>
      <c r="S190" s="32" t="s">
        <v>272</v>
      </c>
      <c r="T190" s="49" t="s">
        <v>258</v>
      </c>
      <c r="U190" s="49" t="s">
        <v>259</v>
      </c>
      <c r="V190" s="49" t="s">
        <v>259</v>
      </c>
      <c r="W190" s="14" t="s">
        <v>260</v>
      </c>
      <c r="X190" s="14"/>
      <c r="Y190" s="48" t="s">
        <v>273</v>
      </c>
    </row>
    <row r="191" customFormat="false" ht="126.75" hidden="false" customHeight="true" outlineLevel="0" collapsed="false">
      <c r="A191" s="33" t="n">
        <v>186</v>
      </c>
      <c r="B191" s="34" t="n">
        <f aca="false">सारांश!$B$4+A191-1</f>
        <v>46526</v>
      </c>
      <c r="C191" s="33" t="str">
        <f aca="false">CHOOSE(WEEKDAY(B191,2),"सोमवार","मंगलवार","बुधवार","गुरुवार","शुक्रवार","शनिवार","रविवार")</f>
        <v>बुधवार</v>
      </c>
      <c r="D191" s="33" t="n">
        <f aca="false">IF(A191=1,0,INT((A191-2)/7)+1)</f>
        <v>27</v>
      </c>
      <c r="E191" s="33" t="n">
        <f aca="false">(YEAR(B191)-YEAR(सारांश!$B$4))*12+MONTH(B191)-MONTH(सारांश!$B$4)+IF(DAY(B191)&gt;=DAY(सारांश!$B$4),1,0)</f>
        <v>7</v>
      </c>
      <c r="F191" s="35" t="s">
        <v>18</v>
      </c>
      <c r="G191" s="14" t="s">
        <v>261</v>
      </c>
      <c r="H191" s="32" t="s">
        <v>748</v>
      </c>
      <c r="I191" s="32" t="s">
        <v>263</v>
      </c>
      <c r="J191" s="48" t="s">
        <v>264</v>
      </c>
      <c r="K191" s="48" t="s">
        <v>265</v>
      </c>
      <c r="L191" s="14" t="s">
        <v>266</v>
      </c>
      <c r="M191" s="32" t="s">
        <v>749</v>
      </c>
      <c r="N191" s="32" t="s">
        <v>279</v>
      </c>
      <c r="O191" s="32" t="s">
        <v>744</v>
      </c>
      <c r="P191" s="32" t="s">
        <v>745</v>
      </c>
      <c r="Q191" s="14" t="n">
        <v>7.5</v>
      </c>
      <c r="R191" s="32" t="s">
        <v>271</v>
      </c>
      <c r="S191" s="32" t="s">
        <v>272</v>
      </c>
      <c r="T191" s="49" t="s">
        <v>258</v>
      </c>
      <c r="U191" s="49" t="s">
        <v>259</v>
      </c>
      <c r="V191" s="49" t="s">
        <v>259</v>
      </c>
      <c r="W191" s="14" t="s">
        <v>260</v>
      </c>
      <c r="X191" s="14"/>
      <c r="Y191" s="48" t="s">
        <v>273</v>
      </c>
    </row>
    <row r="192" customFormat="false" ht="109.5" hidden="false" customHeight="true" outlineLevel="0" collapsed="false">
      <c r="A192" s="33" t="n">
        <v>187</v>
      </c>
      <c r="B192" s="34" t="n">
        <f aca="false">सारांश!$B$4+A192-1</f>
        <v>46527</v>
      </c>
      <c r="C192" s="33" t="str">
        <f aca="false">CHOOSE(WEEKDAY(B192,2),"सोमवार","मंगलवार","बुधवार","गुरुवार","शुक्रवार","शनिवार","रविवार")</f>
        <v>गुरुवार</v>
      </c>
      <c r="D192" s="33" t="n">
        <f aca="false">IF(A192=1,0,INT((A192-2)/7)+1)</f>
        <v>27</v>
      </c>
      <c r="E192" s="33" t="n">
        <f aca="false">(YEAR(B192)-YEAR(सारांश!$B$4))*12+MONTH(B192)-MONTH(सारांश!$B$4)+IF(DAY(B192)&gt;=DAY(सारांश!$B$4),1,0)</f>
        <v>7</v>
      </c>
      <c r="F192" s="35" t="s">
        <v>18</v>
      </c>
      <c r="G192" s="14" t="s">
        <v>261</v>
      </c>
      <c r="H192" s="32" t="s">
        <v>750</v>
      </c>
      <c r="I192" s="32" t="s">
        <v>281</v>
      </c>
      <c r="J192" s="48" t="s">
        <v>282</v>
      </c>
      <c r="K192" s="48" t="s">
        <v>265</v>
      </c>
      <c r="L192" s="14" t="s">
        <v>266</v>
      </c>
      <c r="M192" s="32" t="s">
        <v>751</v>
      </c>
      <c r="N192" s="32" t="s">
        <v>284</v>
      </c>
      <c r="O192" s="32" t="s">
        <v>744</v>
      </c>
      <c r="P192" s="32" t="s">
        <v>745</v>
      </c>
      <c r="Q192" s="14" t="n">
        <v>7.5</v>
      </c>
      <c r="R192" s="32" t="s">
        <v>271</v>
      </c>
      <c r="S192" s="32" t="s">
        <v>272</v>
      </c>
      <c r="T192" s="49" t="s">
        <v>258</v>
      </c>
      <c r="U192" s="49" t="s">
        <v>259</v>
      </c>
      <c r="V192" s="49" t="s">
        <v>259</v>
      </c>
      <c r="W192" s="14" t="s">
        <v>260</v>
      </c>
      <c r="X192" s="14"/>
      <c r="Y192" s="48" t="s">
        <v>273</v>
      </c>
    </row>
    <row r="193" customFormat="false" ht="109.5" hidden="false" customHeight="true" outlineLevel="0" collapsed="false">
      <c r="A193" s="33" t="n">
        <v>188</v>
      </c>
      <c r="B193" s="34" t="n">
        <f aca="false">सारांश!$B$4+A193-1</f>
        <v>46528</v>
      </c>
      <c r="C193" s="33" t="str">
        <f aca="false">CHOOSE(WEEKDAY(B193,2),"सोमवार","मंगलवार","बुधवार","गुरुवार","शुक्रवार","शनिवार","रविवार")</f>
        <v>शुक्रवार</v>
      </c>
      <c r="D193" s="33" t="n">
        <f aca="false">IF(A193=1,0,INT((A193-2)/7)+1)</f>
        <v>27</v>
      </c>
      <c r="E193" s="33" t="n">
        <f aca="false">(YEAR(B193)-YEAR(सारांश!$B$4))*12+MONTH(B193)-MONTH(सारांश!$B$4)+IF(DAY(B193)&gt;=DAY(सारांश!$B$4),1,0)</f>
        <v>7</v>
      </c>
      <c r="F193" s="35" t="s">
        <v>18</v>
      </c>
      <c r="G193" s="14" t="s">
        <v>261</v>
      </c>
      <c r="H193" s="32" t="s">
        <v>752</v>
      </c>
      <c r="I193" s="32" t="s">
        <v>281</v>
      </c>
      <c r="J193" s="48" t="s">
        <v>282</v>
      </c>
      <c r="K193" s="48" t="s">
        <v>265</v>
      </c>
      <c r="L193" s="14" t="s">
        <v>266</v>
      </c>
      <c r="M193" s="32" t="s">
        <v>753</v>
      </c>
      <c r="N193" s="32" t="s">
        <v>287</v>
      </c>
      <c r="O193" s="32" t="s">
        <v>744</v>
      </c>
      <c r="P193" s="32" t="s">
        <v>745</v>
      </c>
      <c r="Q193" s="14" t="n">
        <v>7.5</v>
      </c>
      <c r="R193" s="32" t="s">
        <v>271</v>
      </c>
      <c r="S193" s="32" t="s">
        <v>272</v>
      </c>
      <c r="T193" s="49" t="s">
        <v>258</v>
      </c>
      <c r="U193" s="49" t="s">
        <v>259</v>
      </c>
      <c r="V193" s="49" t="s">
        <v>259</v>
      </c>
      <c r="W193" s="14" t="s">
        <v>260</v>
      </c>
      <c r="X193" s="14"/>
      <c r="Y193" s="48" t="s">
        <v>273</v>
      </c>
    </row>
    <row r="194" customFormat="false" ht="109.5" hidden="false" customHeight="true" outlineLevel="0" collapsed="false">
      <c r="A194" s="33" t="n">
        <v>189</v>
      </c>
      <c r="B194" s="34" t="n">
        <f aca="false">सारांश!$B$4+A194-1</f>
        <v>46529</v>
      </c>
      <c r="C194" s="33" t="str">
        <f aca="false">CHOOSE(WEEKDAY(B194,2),"सोमवार","मंगलवार","बुधवार","गुरुवार","शुक्रवार","शनिवार","रविवार")</f>
        <v>शनिवार</v>
      </c>
      <c r="D194" s="33" t="n">
        <f aca="false">IF(A194=1,0,INT((A194-2)/7)+1)</f>
        <v>27</v>
      </c>
      <c r="E194" s="33" t="n">
        <f aca="false">(YEAR(B194)-YEAR(सारांश!$B$4))*12+MONTH(B194)-MONTH(सारांश!$B$4)+IF(DAY(B194)&gt;=DAY(सारांश!$B$4),1,0)</f>
        <v>7</v>
      </c>
      <c r="F194" s="35" t="s">
        <v>18</v>
      </c>
      <c r="G194" s="14" t="s">
        <v>261</v>
      </c>
      <c r="H194" s="32" t="s">
        <v>754</v>
      </c>
      <c r="I194" s="32" t="s">
        <v>281</v>
      </c>
      <c r="J194" s="48" t="s">
        <v>282</v>
      </c>
      <c r="K194" s="48" t="s">
        <v>265</v>
      </c>
      <c r="L194" s="14" t="s">
        <v>266</v>
      </c>
      <c r="M194" s="32" t="s">
        <v>755</v>
      </c>
      <c r="N194" s="32" t="s">
        <v>290</v>
      </c>
      <c r="O194" s="32" t="s">
        <v>744</v>
      </c>
      <c r="P194" s="32" t="s">
        <v>745</v>
      </c>
      <c r="Q194" s="14" t="n">
        <v>7.5</v>
      </c>
      <c r="R194" s="32" t="s">
        <v>271</v>
      </c>
      <c r="S194" s="32" t="s">
        <v>272</v>
      </c>
      <c r="T194" s="49" t="s">
        <v>258</v>
      </c>
      <c r="U194" s="49" t="s">
        <v>259</v>
      </c>
      <c r="V194" s="49" t="s">
        <v>259</v>
      </c>
      <c r="W194" s="14" t="s">
        <v>260</v>
      </c>
      <c r="X194" s="14"/>
      <c r="Y194" s="48" t="s">
        <v>273</v>
      </c>
    </row>
    <row r="195" customFormat="false" ht="75.75" hidden="false" customHeight="true" outlineLevel="0" collapsed="false">
      <c r="A195" s="50" t="n">
        <v>190</v>
      </c>
      <c r="B195" s="51" t="n">
        <f aca="false">सारांश!$B$4+A195-1</f>
        <v>46530</v>
      </c>
      <c r="C195" s="50" t="str">
        <f aca="false">CHOOSE(WEEKDAY(B195,2),"सोमवार","मंगलवार","बुधवार","गुरुवार","शुक्रवार","शनिवार","रविवार")</f>
        <v>रविवार</v>
      </c>
      <c r="D195" s="50" t="n">
        <f aca="false">IF(A195=1,0,INT((A195-2)/7)+1)</f>
        <v>27</v>
      </c>
      <c r="E195" s="50" t="n">
        <f aca="false">(YEAR(B195)-YEAR(सारांश!$B$4))*12+MONTH(B195)-MONTH(सारांश!$B$4)+IF(DAY(B195)&gt;=DAY(सारांश!$B$4),1,0)</f>
        <v>7</v>
      </c>
      <c r="F195" s="52" t="s">
        <v>18</v>
      </c>
      <c r="G195" s="50" t="s">
        <v>291</v>
      </c>
      <c r="H195" s="52" t="s">
        <v>127</v>
      </c>
      <c r="I195" s="52" t="s">
        <v>292</v>
      </c>
      <c r="J195" s="53" t="s">
        <v>293</v>
      </c>
      <c r="K195" s="53" t="s">
        <v>294</v>
      </c>
      <c r="L195" s="50" t="s">
        <v>295</v>
      </c>
      <c r="M195" s="52" t="s">
        <v>296</v>
      </c>
      <c r="N195" s="52" t="s">
        <v>297</v>
      </c>
      <c r="O195" s="52" t="s">
        <v>756</v>
      </c>
      <c r="P195" s="52" t="s">
        <v>299</v>
      </c>
      <c r="Q195" s="50" t="n">
        <v>6</v>
      </c>
      <c r="R195" s="52" t="s">
        <v>300</v>
      </c>
      <c r="S195" s="52" t="s">
        <v>257</v>
      </c>
      <c r="T195" s="54" t="s">
        <v>258</v>
      </c>
      <c r="U195" s="54" t="s">
        <v>259</v>
      </c>
      <c r="V195" s="54" t="s">
        <v>259</v>
      </c>
      <c r="W195" s="50" t="s">
        <v>260</v>
      </c>
      <c r="X195" s="50"/>
    </row>
    <row r="196" customFormat="false" ht="126.75" hidden="false" customHeight="true" outlineLevel="0" collapsed="false">
      <c r="A196" s="33" t="n">
        <v>191</v>
      </c>
      <c r="B196" s="34" t="n">
        <f aca="false">सारांश!$B$4+A196-1</f>
        <v>46531</v>
      </c>
      <c r="C196" s="33" t="str">
        <f aca="false">CHOOSE(WEEKDAY(B196,2),"सोमवार","मंगलवार","बुधवार","गुरुवार","शुक्रवार","शनिवार","रविवार")</f>
        <v>सोमवार</v>
      </c>
      <c r="D196" s="33" t="n">
        <f aca="false">IF(A196=1,0,INT((A196-2)/7)+1)</f>
        <v>28</v>
      </c>
      <c r="E196" s="33" t="n">
        <f aca="false">(YEAR(B196)-YEAR(सारांश!$B$4))*12+MONTH(B196)-MONTH(सारांश!$B$4)+IF(DAY(B196)&gt;=DAY(सारांश!$B$4),1,0)</f>
        <v>7</v>
      </c>
      <c r="F196" s="35" t="s">
        <v>18</v>
      </c>
      <c r="G196" s="14" t="s">
        <v>261</v>
      </c>
      <c r="H196" s="32" t="s">
        <v>757</v>
      </c>
      <c r="I196" s="32" t="s">
        <v>302</v>
      </c>
      <c r="J196" s="48" t="s">
        <v>303</v>
      </c>
      <c r="K196" s="48" t="s">
        <v>265</v>
      </c>
      <c r="L196" s="14" t="s">
        <v>266</v>
      </c>
      <c r="M196" s="32" t="s">
        <v>758</v>
      </c>
      <c r="N196" s="32" t="s">
        <v>268</v>
      </c>
      <c r="O196" s="32" t="s">
        <v>744</v>
      </c>
      <c r="P196" s="32" t="s">
        <v>745</v>
      </c>
      <c r="Q196" s="14" t="n">
        <v>7.5</v>
      </c>
      <c r="R196" s="32" t="s">
        <v>271</v>
      </c>
      <c r="S196" s="32" t="s">
        <v>272</v>
      </c>
      <c r="T196" s="49" t="s">
        <v>258</v>
      </c>
      <c r="U196" s="49" t="s">
        <v>259</v>
      </c>
      <c r="V196" s="49" t="s">
        <v>259</v>
      </c>
      <c r="W196" s="14" t="s">
        <v>260</v>
      </c>
      <c r="X196" s="14"/>
      <c r="Y196" s="48" t="s">
        <v>273</v>
      </c>
    </row>
    <row r="197" customFormat="false" ht="126.75" hidden="false" customHeight="true" outlineLevel="0" collapsed="false">
      <c r="A197" s="33" t="n">
        <v>192</v>
      </c>
      <c r="B197" s="34" t="n">
        <f aca="false">सारांश!$B$4+A197-1</f>
        <v>46532</v>
      </c>
      <c r="C197" s="33" t="str">
        <f aca="false">CHOOSE(WEEKDAY(B197,2),"सोमवार","मंगलवार","बुधवार","गुरुवार","शुक्रवार","शनिवार","रविवार")</f>
        <v>मंगलवार</v>
      </c>
      <c r="D197" s="33" t="n">
        <f aca="false">IF(A197=1,0,INT((A197-2)/7)+1)</f>
        <v>28</v>
      </c>
      <c r="E197" s="33" t="n">
        <f aca="false">(YEAR(B197)-YEAR(सारांश!$B$4))*12+MONTH(B197)-MONTH(सारांश!$B$4)+IF(DAY(B197)&gt;=DAY(सारांश!$B$4),1,0)</f>
        <v>7</v>
      </c>
      <c r="F197" s="35" t="s">
        <v>18</v>
      </c>
      <c r="G197" s="14" t="s">
        <v>261</v>
      </c>
      <c r="H197" s="32" t="s">
        <v>759</v>
      </c>
      <c r="I197" s="32" t="s">
        <v>302</v>
      </c>
      <c r="J197" s="48" t="s">
        <v>303</v>
      </c>
      <c r="K197" s="48" t="s">
        <v>265</v>
      </c>
      <c r="L197" s="14" t="s">
        <v>266</v>
      </c>
      <c r="M197" s="32" t="s">
        <v>760</v>
      </c>
      <c r="N197" s="32" t="s">
        <v>276</v>
      </c>
      <c r="O197" s="32" t="s">
        <v>744</v>
      </c>
      <c r="P197" s="32" t="s">
        <v>745</v>
      </c>
      <c r="Q197" s="14" t="n">
        <v>7.5</v>
      </c>
      <c r="R197" s="32" t="s">
        <v>271</v>
      </c>
      <c r="S197" s="32" t="s">
        <v>272</v>
      </c>
      <c r="T197" s="49" t="s">
        <v>258</v>
      </c>
      <c r="U197" s="49" t="s">
        <v>259</v>
      </c>
      <c r="V197" s="49" t="s">
        <v>259</v>
      </c>
      <c r="W197" s="14" t="s">
        <v>260</v>
      </c>
      <c r="X197" s="14"/>
      <c r="Y197" s="48" t="s">
        <v>273</v>
      </c>
    </row>
    <row r="198" customFormat="false" ht="109.5" hidden="false" customHeight="true" outlineLevel="0" collapsed="false">
      <c r="A198" s="33" t="n">
        <v>193</v>
      </c>
      <c r="B198" s="34" t="n">
        <f aca="false">सारांश!$B$4+A198-1</f>
        <v>46533</v>
      </c>
      <c r="C198" s="33" t="str">
        <f aca="false">CHOOSE(WEEKDAY(B198,2),"सोमवार","मंगलवार","बुधवार","गुरुवार","शुक्रवार","शनिवार","रविवार")</f>
        <v>बुधवार</v>
      </c>
      <c r="D198" s="33" t="n">
        <f aca="false">IF(A198=1,0,INT((A198-2)/7)+1)</f>
        <v>28</v>
      </c>
      <c r="E198" s="33" t="n">
        <f aca="false">(YEAR(B198)-YEAR(सारांश!$B$4))*12+MONTH(B198)-MONTH(सारांश!$B$4)+IF(DAY(B198)&gt;=DAY(सारांश!$B$4),1,0)</f>
        <v>7</v>
      </c>
      <c r="F198" s="35" t="s">
        <v>18</v>
      </c>
      <c r="G198" s="14" t="s">
        <v>261</v>
      </c>
      <c r="H198" s="32" t="s">
        <v>761</v>
      </c>
      <c r="I198" s="32" t="s">
        <v>308</v>
      </c>
      <c r="J198" s="48" t="s">
        <v>309</v>
      </c>
      <c r="K198" s="48" t="s">
        <v>265</v>
      </c>
      <c r="L198" s="14" t="s">
        <v>266</v>
      </c>
      <c r="M198" s="32" t="s">
        <v>762</v>
      </c>
      <c r="N198" s="32" t="s">
        <v>279</v>
      </c>
      <c r="O198" s="32" t="s">
        <v>744</v>
      </c>
      <c r="P198" s="32" t="s">
        <v>745</v>
      </c>
      <c r="Q198" s="14" t="n">
        <v>7.5</v>
      </c>
      <c r="R198" s="32" t="s">
        <v>271</v>
      </c>
      <c r="S198" s="32" t="s">
        <v>272</v>
      </c>
      <c r="T198" s="49" t="s">
        <v>258</v>
      </c>
      <c r="U198" s="49" t="s">
        <v>259</v>
      </c>
      <c r="V198" s="49" t="s">
        <v>259</v>
      </c>
      <c r="W198" s="14" t="s">
        <v>260</v>
      </c>
      <c r="X198" s="14"/>
      <c r="Y198" s="48" t="s">
        <v>273</v>
      </c>
    </row>
    <row r="199" customFormat="false" ht="109.5" hidden="false" customHeight="true" outlineLevel="0" collapsed="false">
      <c r="A199" s="33" t="n">
        <v>194</v>
      </c>
      <c r="B199" s="34" t="n">
        <f aca="false">सारांश!$B$4+A199-1</f>
        <v>46534</v>
      </c>
      <c r="C199" s="33" t="str">
        <f aca="false">CHOOSE(WEEKDAY(B199,2),"सोमवार","मंगलवार","बुधवार","गुरुवार","शुक्रवार","शनिवार","रविवार")</f>
        <v>गुरुवार</v>
      </c>
      <c r="D199" s="33" t="n">
        <f aca="false">IF(A199=1,0,INT((A199-2)/7)+1)</f>
        <v>28</v>
      </c>
      <c r="E199" s="33" t="n">
        <f aca="false">(YEAR(B199)-YEAR(सारांश!$B$4))*12+MONTH(B199)-MONTH(सारांश!$B$4)+IF(DAY(B199)&gt;=DAY(सारांश!$B$4),1,0)</f>
        <v>7</v>
      </c>
      <c r="F199" s="35" t="s">
        <v>18</v>
      </c>
      <c r="G199" s="14" t="s">
        <v>261</v>
      </c>
      <c r="H199" s="32" t="s">
        <v>763</v>
      </c>
      <c r="I199" s="32" t="s">
        <v>308</v>
      </c>
      <c r="J199" s="48" t="s">
        <v>309</v>
      </c>
      <c r="K199" s="48" t="s">
        <v>265</v>
      </c>
      <c r="L199" s="14" t="s">
        <v>266</v>
      </c>
      <c r="M199" s="32" t="s">
        <v>764</v>
      </c>
      <c r="N199" s="32" t="s">
        <v>284</v>
      </c>
      <c r="O199" s="32" t="s">
        <v>744</v>
      </c>
      <c r="P199" s="32" t="s">
        <v>745</v>
      </c>
      <c r="Q199" s="14" t="n">
        <v>7.5</v>
      </c>
      <c r="R199" s="32" t="s">
        <v>271</v>
      </c>
      <c r="S199" s="32" t="s">
        <v>272</v>
      </c>
      <c r="T199" s="49" t="s">
        <v>258</v>
      </c>
      <c r="U199" s="49" t="s">
        <v>259</v>
      </c>
      <c r="V199" s="49" t="s">
        <v>259</v>
      </c>
      <c r="W199" s="14" t="s">
        <v>260</v>
      </c>
      <c r="X199" s="14"/>
      <c r="Y199" s="48" t="s">
        <v>273</v>
      </c>
    </row>
    <row r="200" customFormat="false" ht="109.5" hidden="false" customHeight="true" outlineLevel="0" collapsed="false">
      <c r="A200" s="33" t="n">
        <v>195</v>
      </c>
      <c r="B200" s="34" t="n">
        <f aca="false">सारांश!$B$4+A200-1</f>
        <v>46535</v>
      </c>
      <c r="C200" s="33" t="str">
        <f aca="false">CHOOSE(WEEKDAY(B200,2),"सोमवार","मंगलवार","बुधवार","गुरुवार","शुक्रवार","शनिवार","रविवार")</f>
        <v>शुक्रवार</v>
      </c>
      <c r="D200" s="33" t="n">
        <f aca="false">IF(A200=1,0,INT((A200-2)/7)+1)</f>
        <v>28</v>
      </c>
      <c r="E200" s="33" t="n">
        <f aca="false">(YEAR(B200)-YEAR(सारांश!$B$4))*12+MONTH(B200)-MONTH(सारांश!$B$4)+IF(DAY(B200)&gt;=DAY(सारांश!$B$4),1,0)</f>
        <v>7</v>
      </c>
      <c r="F200" s="35" t="s">
        <v>18</v>
      </c>
      <c r="G200" s="14" t="s">
        <v>261</v>
      </c>
      <c r="H200" s="32" t="s">
        <v>765</v>
      </c>
      <c r="I200" s="32" t="s">
        <v>308</v>
      </c>
      <c r="J200" s="48" t="s">
        <v>309</v>
      </c>
      <c r="K200" s="48" t="s">
        <v>265</v>
      </c>
      <c r="L200" s="14" t="s">
        <v>266</v>
      </c>
      <c r="M200" s="32" t="s">
        <v>766</v>
      </c>
      <c r="N200" s="32" t="s">
        <v>287</v>
      </c>
      <c r="O200" s="32" t="s">
        <v>744</v>
      </c>
      <c r="P200" s="32" t="s">
        <v>745</v>
      </c>
      <c r="Q200" s="14" t="n">
        <v>7.5</v>
      </c>
      <c r="R200" s="32" t="s">
        <v>271</v>
      </c>
      <c r="S200" s="32" t="s">
        <v>272</v>
      </c>
      <c r="T200" s="49" t="s">
        <v>258</v>
      </c>
      <c r="U200" s="49" t="s">
        <v>259</v>
      </c>
      <c r="V200" s="49" t="s">
        <v>259</v>
      </c>
      <c r="W200" s="14" t="s">
        <v>260</v>
      </c>
      <c r="X200" s="14"/>
      <c r="Y200" s="48" t="s">
        <v>273</v>
      </c>
    </row>
    <row r="201" customFormat="false" ht="126.75" hidden="false" customHeight="true" outlineLevel="0" collapsed="false">
      <c r="A201" s="33" t="n">
        <v>196</v>
      </c>
      <c r="B201" s="34" t="n">
        <f aca="false">सारांश!$B$4+A201-1</f>
        <v>46536</v>
      </c>
      <c r="C201" s="33" t="str">
        <f aca="false">CHOOSE(WEEKDAY(B201,2),"सोमवार","मंगलवार","बुधवार","गुरुवार","शुक्रवार","शनिवार","रविवार")</f>
        <v>शनिवार</v>
      </c>
      <c r="D201" s="33" t="n">
        <f aca="false">IF(A201=1,0,INT((A201-2)/7)+1)</f>
        <v>28</v>
      </c>
      <c r="E201" s="33" t="n">
        <f aca="false">(YEAR(B201)-YEAR(सारांश!$B$4))*12+MONTH(B201)-MONTH(सारांश!$B$4)+IF(DAY(B201)&gt;=DAY(सारांश!$B$4),1,0)</f>
        <v>7</v>
      </c>
      <c r="F201" s="35" t="s">
        <v>18</v>
      </c>
      <c r="G201" s="14" t="s">
        <v>261</v>
      </c>
      <c r="H201" s="32" t="s">
        <v>767</v>
      </c>
      <c r="I201" s="32" t="s">
        <v>316</v>
      </c>
      <c r="J201" s="48" t="s">
        <v>317</v>
      </c>
      <c r="K201" s="48" t="s">
        <v>265</v>
      </c>
      <c r="L201" s="14" t="s">
        <v>266</v>
      </c>
      <c r="M201" s="32" t="s">
        <v>768</v>
      </c>
      <c r="N201" s="32" t="s">
        <v>290</v>
      </c>
      <c r="O201" s="32" t="s">
        <v>744</v>
      </c>
      <c r="P201" s="32" t="s">
        <v>745</v>
      </c>
      <c r="Q201" s="14" t="n">
        <v>7.5</v>
      </c>
      <c r="R201" s="32" t="s">
        <v>271</v>
      </c>
      <c r="S201" s="32" t="s">
        <v>272</v>
      </c>
      <c r="T201" s="49" t="s">
        <v>258</v>
      </c>
      <c r="U201" s="49" t="s">
        <v>259</v>
      </c>
      <c r="V201" s="49" t="s">
        <v>259</v>
      </c>
      <c r="W201" s="14" t="s">
        <v>260</v>
      </c>
      <c r="X201" s="14"/>
      <c r="Y201" s="48" t="s">
        <v>273</v>
      </c>
    </row>
    <row r="202" customFormat="false" ht="93" hidden="false" customHeight="true" outlineLevel="0" collapsed="false">
      <c r="A202" s="50" t="n">
        <v>197</v>
      </c>
      <c r="B202" s="51" t="n">
        <f aca="false">सारांश!$B$4+A202-1</f>
        <v>46537</v>
      </c>
      <c r="C202" s="50" t="str">
        <f aca="false">CHOOSE(WEEKDAY(B202,2),"सोमवार","मंगलवार","बुधवार","गुरुवार","शुक्रवार","शनिवार","रविवार")</f>
        <v>रविवार</v>
      </c>
      <c r="D202" s="50" t="n">
        <f aca="false">IF(A202=1,0,INT((A202-2)/7)+1)</f>
        <v>28</v>
      </c>
      <c r="E202" s="50" t="n">
        <f aca="false">(YEAR(B202)-YEAR(सारांश!$B$4))*12+MONTH(B202)-MONTH(सारांश!$B$4)+IF(DAY(B202)&gt;=DAY(सारांश!$B$4),1,0)</f>
        <v>7</v>
      </c>
      <c r="F202" s="52" t="s">
        <v>18</v>
      </c>
      <c r="G202" s="50" t="s">
        <v>291</v>
      </c>
      <c r="H202" s="52" t="s">
        <v>135</v>
      </c>
      <c r="I202" s="52" t="s">
        <v>319</v>
      </c>
      <c r="J202" s="53" t="s">
        <v>293</v>
      </c>
      <c r="K202" s="53" t="s">
        <v>294</v>
      </c>
      <c r="L202" s="50" t="s">
        <v>295</v>
      </c>
      <c r="M202" s="52" t="s">
        <v>296</v>
      </c>
      <c r="N202" s="52" t="s">
        <v>297</v>
      </c>
      <c r="O202" s="52" t="s">
        <v>756</v>
      </c>
      <c r="P202" s="52" t="s">
        <v>299</v>
      </c>
      <c r="Q202" s="50" t="n">
        <v>6</v>
      </c>
      <c r="R202" s="52" t="s">
        <v>300</v>
      </c>
      <c r="S202" s="52" t="s">
        <v>257</v>
      </c>
      <c r="T202" s="54" t="s">
        <v>258</v>
      </c>
      <c r="U202" s="54" t="s">
        <v>259</v>
      </c>
      <c r="V202" s="54" t="s">
        <v>259</v>
      </c>
      <c r="W202" s="50" t="s">
        <v>260</v>
      </c>
      <c r="X202" s="50"/>
    </row>
    <row r="203" customFormat="false" ht="126.75" hidden="false" customHeight="true" outlineLevel="0" collapsed="false">
      <c r="A203" s="33" t="n">
        <v>198</v>
      </c>
      <c r="B203" s="34" t="n">
        <f aca="false">सारांश!$B$4+A203-1</f>
        <v>46538</v>
      </c>
      <c r="C203" s="33" t="str">
        <f aca="false">CHOOSE(WEEKDAY(B203,2),"सोमवार","मंगलवार","बुधवार","गुरुवार","शुक्रवार","शनिवार","रविवार")</f>
        <v>सोमवार</v>
      </c>
      <c r="D203" s="33" t="n">
        <f aca="false">IF(A203=1,0,INT((A203-2)/7)+1)</f>
        <v>29</v>
      </c>
      <c r="E203" s="33" t="n">
        <f aca="false">(YEAR(B203)-YEAR(सारांश!$B$4))*12+MONTH(B203)-MONTH(सारांश!$B$4)+IF(DAY(B203)&gt;=DAY(सारांश!$B$4),1,0)</f>
        <v>7</v>
      </c>
      <c r="F203" s="35" t="s">
        <v>18</v>
      </c>
      <c r="G203" s="14" t="s">
        <v>261</v>
      </c>
      <c r="H203" s="32" t="s">
        <v>769</v>
      </c>
      <c r="I203" s="32" t="s">
        <v>321</v>
      </c>
      <c r="J203" s="48" t="s">
        <v>322</v>
      </c>
      <c r="K203" s="48" t="s">
        <v>265</v>
      </c>
      <c r="L203" s="14" t="s">
        <v>266</v>
      </c>
      <c r="M203" s="32" t="s">
        <v>770</v>
      </c>
      <c r="N203" s="32" t="s">
        <v>268</v>
      </c>
      <c r="O203" s="32" t="s">
        <v>744</v>
      </c>
      <c r="P203" s="32" t="s">
        <v>745</v>
      </c>
      <c r="Q203" s="14" t="n">
        <v>7.5</v>
      </c>
      <c r="R203" s="32" t="s">
        <v>271</v>
      </c>
      <c r="S203" s="32" t="s">
        <v>272</v>
      </c>
      <c r="T203" s="49" t="s">
        <v>258</v>
      </c>
      <c r="U203" s="49" t="s">
        <v>259</v>
      </c>
      <c r="V203" s="49" t="s">
        <v>259</v>
      </c>
      <c r="W203" s="14" t="s">
        <v>260</v>
      </c>
      <c r="X203" s="14"/>
      <c r="Y203" s="48" t="s">
        <v>273</v>
      </c>
    </row>
    <row r="204" customFormat="false" ht="126.75" hidden="false" customHeight="true" outlineLevel="0" collapsed="false">
      <c r="A204" s="33" t="n">
        <v>199</v>
      </c>
      <c r="B204" s="34" t="n">
        <f aca="false">सारांश!$B$4+A204-1</f>
        <v>46539</v>
      </c>
      <c r="C204" s="33" t="str">
        <f aca="false">CHOOSE(WEEKDAY(B204,2),"सोमवार","मंगलवार","बुधवार","गुरुवार","शुक्रवार","शनिवार","रविवार")</f>
        <v>मंगलवार</v>
      </c>
      <c r="D204" s="33" t="n">
        <f aca="false">IF(A204=1,0,INT((A204-2)/7)+1)</f>
        <v>29</v>
      </c>
      <c r="E204" s="33" t="n">
        <f aca="false">(YEAR(B204)-YEAR(सारांश!$B$4))*12+MONTH(B204)-MONTH(सारांश!$B$4)+IF(DAY(B204)&gt;=DAY(सारांश!$B$4),1,0)</f>
        <v>7</v>
      </c>
      <c r="F204" s="35" t="s">
        <v>18</v>
      </c>
      <c r="G204" s="14" t="s">
        <v>261</v>
      </c>
      <c r="H204" s="32" t="s">
        <v>771</v>
      </c>
      <c r="I204" s="32" t="s">
        <v>321</v>
      </c>
      <c r="J204" s="48" t="s">
        <v>322</v>
      </c>
      <c r="K204" s="48" t="s">
        <v>265</v>
      </c>
      <c r="L204" s="14" t="s">
        <v>266</v>
      </c>
      <c r="M204" s="32" t="s">
        <v>772</v>
      </c>
      <c r="N204" s="32" t="s">
        <v>276</v>
      </c>
      <c r="O204" s="32" t="s">
        <v>744</v>
      </c>
      <c r="P204" s="32" t="s">
        <v>745</v>
      </c>
      <c r="Q204" s="14" t="n">
        <v>7.5</v>
      </c>
      <c r="R204" s="32" t="s">
        <v>271</v>
      </c>
      <c r="S204" s="32" t="s">
        <v>272</v>
      </c>
      <c r="T204" s="49" t="s">
        <v>258</v>
      </c>
      <c r="U204" s="49" t="s">
        <v>259</v>
      </c>
      <c r="V204" s="49" t="s">
        <v>259</v>
      </c>
      <c r="W204" s="14" t="s">
        <v>260</v>
      </c>
      <c r="X204" s="14"/>
      <c r="Y204" s="48" t="s">
        <v>273</v>
      </c>
    </row>
    <row r="205" customFormat="false" ht="126.75" hidden="false" customHeight="true" outlineLevel="0" collapsed="false">
      <c r="A205" s="33" t="n">
        <v>200</v>
      </c>
      <c r="B205" s="34" t="n">
        <f aca="false">सारांश!$B$4+A205-1</f>
        <v>46540</v>
      </c>
      <c r="C205" s="33" t="str">
        <f aca="false">CHOOSE(WEEKDAY(B205,2),"सोमवार","मंगलवार","बुधवार","गुरुवार","शुक्रवार","शनिवार","रविवार")</f>
        <v>बुधवार</v>
      </c>
      <c r="D205" s="33" t="n">
        <f aca="false">IF(A205=1,0,INT((A205-2)/7)+1)</f>
        <v>29</v>
      </c>
      <c r="E205" s="33" t="n">
        <f aca="false">(YEAR(B205)-YEAR(सारांश!$B$4))*12+MONTH(B205)-MONTH(सारांश!$B$4)+IF(DAY(B205)&gt;=DAY(सारांश!$B$4),1,0)</f>
        <v>7</v>
      </c>
      <c r="F205" s="35" t="s">
        <v>18</v>
      </c>
      <c r="G205" s="14" t="s">
        <v>261</v>
      </c>
      <c r="H205" s="32" t="s">
        <v>773</v>
      </c>
      <c r="I205" s="32" t="s">
        <v>321</v>
      </c>
      <c r="J205" s="48" t="s">
        <v>322</v>
      </c>
      <c r="K205" s="48" t="s">
        <v>265</v>
      </c>
      <c r="L205" s="14" t="s">
        <v>266</v>
      </c>
      <c r="M205" s="32" t="s">
        <v>774</v>
      </c>
      <c r="N205" s="32" t="s">
        <v>279</v>
      </c>
      <c r="O205" s="32" t="s">
        <v>744</v>
      </c>
      <c r="P205" s="32" t="s">
        <v>745</v>
      </c>
      <c r="Q205" s="14" t="n">
        <v>7.5</v>
      </c>
      <c r="R205" s="32" t="s">
        <v>271</v>
      </c>
      <c r="S205" s="32" t="s">
        <v>272</v>
      </c>
      <c r="T205" s="49" t="s">
        <v>258</v>
      </c>
      <c r="U205" s="49" t="s">
        <v>259</v>
      </c>
      <c r="V205" s="49" t="s">
        <v>259</v>
      </c>
      <c r="W205" s="14" t="s">
        <v>260</v>
      </c>
      <c r="X205" s="14"/>
      <c r="Y205" s="48" t="s">
        <v>273</v>
      </c>
    </row>
    <row r="206" customFormat="false" ht="126.75" hidden="false" customHeight="true" outlineLevel="0" collapsed="false">
      <c r="A206" s="33" t="n">
        <v>201</v>
      </c>
      <c r="B206" s="34" t="n">
        <f aca="false">सारांश!$B$4+A206-1</f>
        <v>46541</v>
      </c>
      <c r="C206" s="33" t="str">
        <f aca="false">CHOOSE(WEEKDAY(B206,2),"सोमवार","मंगलवार","बुधवार","गुरुवार","शुक्रवार","शनिवार","रविवार")</f>
        <v>गुरुवार</v>
      </c>
      <c r="D206" s="33" t="n">
        <f aca="false">IF(A206=1,0,INT((A206-2)/7)+1)</f>
        <v>29</v>
      </c>
      <c r="E206" s="33" t="n">
        <f aca="false">(YEAR(B206)-YEAR(सारांश!$B$4))*12+MONTH(B206)-MONTH(सारांश!$B$4)+IF(DAY(B206)&gt;=DAY(सारांश!$B$4),1,0)</f>
        <v>7</v>
      </c>
      <c r="F206" s="35" t="s">
        <v>18</v>
      </c>
      <c r="G206" s="14" t="s">
        <v>261</v>
      </c>
      <c r="H206" s="32" t="s">
        <v>775</v>
      </c>
      <c r="I206" s="32" t="s">
        <v>329</v>
      </c>
      <c r="J206" s="48" t="s">
        <v>330</v>
      </c>
      <c r="K206" s="48" t="s">
        <v>265</v>
      </c>
      <c r="L206" s="14" t="s">
        <v>266</v>
      </c>
      <c r="M206" s="32" t="s">
        <v>776</v>
      </c>
      <c r="N206" s="32" t="s">
        <v>284</v>
      </c>
      <c r="O206" s="32" t="s">
        <v>744</v>
      </c>
      <c r="P206" s="32" t="s">
        <v>745</v>
      </c>
      <c r="Q206" s="14" t="n">
        <v>7.5</v>
      </c>
      <c r="R206" s="32" t="s">
        <v>271</v>
      </c>
      <c r="S206" s="32" t="s">
        <v>272</v>
      </c>
      <c r="T206" s="49" t="s">
        <v>258</v>
      </c>
      <c r="U206" s="49" t="s">
        <v>259</v>
      </c>
      <c r="V206" s="49" t="s">
        <v>259</v>
      </c>
      <c r="W206" s="14" t="s">
        <v>260</v>
      </c>
      <c r="X206" s="14"/>
      <c r="Y206" s="48" t="s">
        <v>273</v>
      </c>
    </row>
    <row r="207" customFormat="false" ht="126.75" hidden="false" customHeight="true" outlineLevel="0" collapsed="false">
      <c r="A207" s="33" t="n">
        <v>202</v>
      </c>
      <c r="B207" s="34" t="n">
        <f aca="false">सारांश!$B$4+A207-1</f>
        <v>46542</v>
      </c>
      <c r="C207" s="33" t="str">
        <f aca="false">CHOOSE(WEEKDAY(B207,2),"सोमवार","मंगलवार","बुधवार","गुरुवार","शुक्रवार","शनिवार","रविवार")</f>
        <v>शुक्रवार</v>
      </c>
      <c r="D207" s="33" t="n">
        <f aca="false">IF(A207=1,0,INT((A207-2)/7)+1)</f>
        <v>29</v>
      </c>
      <c r="E207" s="33" t="n">
        <f aca="false">(YEAR(B207)-YEAR(सारांश!$B$4))*12+MONTH(B207)-MONTH(सारांश!$B$4)+IF(DAY(B207)&gt;=DAY(सारांश!$B$4),1,0)</f>
        <v>7</v>
      </c>
      <c r="F207" s="35" t="s">
        <v>18</v>
      </c>
      <c r="G207" s="14" t="s">
        <v>261</v>
      </c>
      <c r="H207" s="32" t="s">
        <v>777</v>
      </c>
      <c r="I207" s="32" t="s">
        <v>329</v>
      </c>
      <c r="J207" s="48" t="s">
        <v>330</v>
      </c>
      <c r="K207" s="48" t="s">
        <v>265</v>
      </c>
      <c r="L207" s="14" t="s">
        <v>266</v>
      </c>
      <c r="M207" s="32" t="s">
        <v>778</v>
      </c>
      <c r="N207" s="32" t="s">
        <v>287</v>
      </c>
      <c r="O207" s="32" t="s">
        <v>744</v>
      </c>
      <c r="P207" s="32" t="s">
        <v>745</v>
      </c>
      <c r="Q207" s="14" t="n">
        <v>7.5</v>
      </c>
      <c r="R207" s="32" t="s">
        <v>271</v>
      </c>
      <c r="S207" s="32" t="s">
        <v>272</v>
      </c>
      <c r="T207" s="49" t="s">
        <v>258</v>
      </c>
      <c r="U207" s="49" t="s">
        <v>259</v>
      </c>
      <c r="V207" s="49" t="s">
        <v>259</v>
      </c>
      <c r="W207" s="14" t="s">
        <v>260</v>
      </c>
      <c r="X207" s="14"/>
      <c r="Y207" s="48" t="s">
        <v>273</v>
      </c>
    </row>
    <row r="208" customFormat="false" ht="109.5" hidden="false" customHeight="true" outlineLevel="0" collapsed="false">
      <c r="A208" s="33" t="n">
        <v>203</v>
      </c>
      <c r="B208" s="34" t="n">
        <f aca="false">सारांश!$B$4+A208-1</f>
        <v>46543</v>
      </c>
      <c r="C208" s="33" t="str">
        <f aca="false">CHOOSE(WEEKDAY(B208,2),"सोमवार","मंगलवार","बुधवार","गुरुवार","शुक्रवार","शनिवार","रविवार")</f>
        <v>शनिवार</v>
      </c>
      <c r="D208" s="33" t="n">
        <f aca="false">IF(A208=1,0,INT((A208-2)/7)+1)</f>
        <v>29</v>
      </c>
      <c r="E208" s="33" t="n">
        <f aca="false">(YEAR(B208)-YEAR(सारांश!$B$4))*12+MONTH(B208)-MONTH(सारांश!$B$4)+IF(DAY(B208)&gt;=DAY(सारांश!$B$4),1,0)</f>
        <v>7</v>
      </c>
      <c r="F208" s="35" t="s">
        <v>18</v>
      </c>
      <c r="G208" s="14" t="s">
        <v>261</v>
      </c>
      <c r="H208" s="32" t="s">
        <v>779</v>
      </c>
      <c r="I208" s="32" t="s">
        <v>335</v>
      </c>
      <c r="J208" s="48" t="s">
        <v>336</v>
      </c>
      <c r="K208" s="48" t="s">
        <v>265</v>
      </c>
      <c r="L208" s="14" t="s">
        <v>266</v>
      </c>
      <c r="M208" s="32" t="s">
        <v>780</v>
      </c>
      <c r="N208" s="32" t="s">
        <v>290</v>
      </c>
      <c r="O208" s="32" t="s">
        <v>744</v>
      </c>
      <c r="P208" s="32" t="s">
        <v>745</v>
      </c>
      <c r="Q208" s="14" t="n">
        <v>7.5</v>
      </c>
      <c r="R208" s="32" t="s">
        <v>271</v>
      </c>
      <c r="S208" s="32" t="s">
        <v>272</v>
      </c>
      <c r="T208" s="49" t="s">
        <v>258</v>
      </c>
      <c r="U208" s="49" t="s">
        <v>259</v>
      </c>
      <c r="V208" s="49" t="s">
        <v>259</v>
      </c>
      <c r="W208" s="14" t="s">
        <v>260</v>
      </c>
      <c r="X208" s="14"/>
      <c r="Y208" s="48" t="s">
        <v>273</v>
      </c>
    </row>
    <row r="209" customFormat="false" ht="93" hidden="false" customHeight="true" outlineLevel="0" collapsed="false">
      <c r="A209" s="50" t="n">
        <v>204</v>
      </c>
      <c r="B209" s="51" t="n">
        <f aca="false">सारांश!$B$4+A209-1</f>
        <v>46544</v>
      </c>
      <c r="C209" s="50" t="str">
        <f aca="false">CHOOSE(WEEKDAY(B209,2),"सोमवार","मंगलवार","बुधवार","गुरुवार","शुक्रवार","शनिवार","रविवार")</f>
        <v>रविवार</v>
      </c>
      <c r="D209" s="50" t="n">
        <f aca="false">IF(A209=1,0,INT((A209-2)/7)+1)</f>
        <v>29</v>
      </c>
      <c r="E209" s="50" t="n">
        <f aca="false">(YEAR(B209)-YEAR(सारांश!$B$4))*12+MONTH(B209)-MONTH(सारांश!$B$4)+IF(DAY(B209)&gt;=DAY(सारांश!$B$4),1,0)</f>
        <v>7</v>
      </c>
      <c r="F209" s="52" t="s">
        <v>18</v>
      </c>
      <c r="G209" s="50" t="s">
        <v>291</v>
      </c>
      <c r="H209" s="52" t="s">
        <v>127</v>
      </c>
      <c r="I209" s="52" t="s">
        <v>338</v>
      </c>
      <c r="J209" s="53" t="s">
        <v>293</v>
      </c>
      <c r="K209" s="53" t="s">
        <v>294</v>
      </c>
      <c r="L209" s="50" t="s">
        <v>295</v>
      </c>
      <c r="M209" s="52" t="s">
        <v>296</v>
      </c>
      <c r="N209" s="52" t="s">
        <v>297</v>
      </c>
      <c r="O209" s="52" t="s">
        <v>756</v>
      </c>
      <c r="P209" s="52" t="s">
        <v>299</v>
      </c>
      <c r="Q209" s="50" t="n">
        <v>6</v>
      </c>
      <c r="R209" s="52" t="s">
        <v>300</v>
      </c>
      <c r="S209" s="52" t="s">
        <v>257</v>
      </c>
      <c r="T209" s="54" t="s">
        <v>258</v>
      </c>
      <c r="U209" s="54" t="s">
        <v>259</v>
      </c>
      <c r="V209" s="54" t="s">
        <v>259</v>
      </c>
      <c r="W209" s="50" t="s">
        <v>260</v>
      </c>
      <c r="X209" s="50"/>
    </row>
    <row r="210" customFormat="false" ht="109.5" hidden="false" customHeight="true" outlineLevel="0" collapsed="false">
      <c r="A210" s="33" t="n">
        <v>205</v>
      </c>
      <c r="B210" s="34" t="n">
        <f aca="false">सारांश!$B$4+A210-1</f>
        <v>46545</v>
      </c>
      <c r="C210" s="33" t="str">
        <f aca="false">CHOOSE(WEEKDAY(B210,2),"सोमवार","मंगलवार","बुधवार","गुरुवार","शुक्रवार","शनिवार","रविवार")</f>
        <v>सोमवार</v>
      </c>
      <c r="D210" s="33" t="n">
        <f aca="false">IF(A210=1,0,INT((A210-2)/7)+1)</f>
        <v>30</v>
      </c>
      <c r="E210" s="33" t="n">
        <f aca="false">(YEAR(B210)-YEAR(सारांश!$B$4))*12+MONTH(B210)-MONTH(सारांश!$B$4)+IF(DAY(B210)&gt;=DAY(सारांश!$B$4),1,0)</f>
        <v>7</v>
      </c>
      <c r="F210" s="35" t="s">
        <v>18</v>
      </c>
      <c r="G210" s="14" t="s">
        <v>261</v>
      </c>
      <c r="H210" s="32" t="s">
        <v>781</v>
      </c>
      <c r="I210" s="32" t="s">
        <v>335</v>
      </c>
      <c r="J210" s="48" t="s">
        <v>336</v>
      </c>
      <c r="K210" s="48" t="s">
        <v>265</v>
      </c>
      <c r="L210" s="14" t="s">
        <v>266</v>
      </c>
      <c r="M210" s="32" t="s">
        <v>782</v>
      </c>
      <c r="N210" s="32" t="s">
        <v>268</v>
      </c>
      <c r="O210" s="32" t="s">
        <v>744</v>
      </c>
      <c r="P210" s="32" t="s">
        <v>745</v>
      </c>
      <c r="Q210" s="14" t="n">
        <v>7.5</v>
      </c>
      <c r="R210" s="32" t="s">
        <v>271</v>
      </c>
      <c r="S210" s="32" t="s">
        <v>272</v>
      </c>
      <c r="T210" s="49" t="s">
        <v>258</v>
      </c>
      <c r="U210" s="49" t="s">
        <v>259</v>
      </c>
      <c r="V210" s="49" t="s">
        <v>259</v>
      </c>
      <c r="W210" s="14" t="s">
        <v>260</v>
      </c>
      <c r="X210" s="14"/>
      <c r="Y210" s="48" t="s">
        <v>273</v>
      </c>
    </row>
    <row r="211" customFormat="false" ht="109.5" hidden="false" customHeight="true" outlineLevel="0" collapsed="false">
      <c r="A211" s="33" t="n">
        <v>206</v>
      </c>
      <c r="B211" s="34" t="n">
        <f aca="false">सारांश!$B$4+A211-1</f>
        <v>46546</v>
      </c>
      <c r="C211" s="33" t="str">
        <f aca="false">CHOOSE(WEEKDAY(B211,2),"सोमवार","मंगलवार","बुधवार","गुरुवार","शुक्रवार","शनिवार","रविवार")</f>
        <v>मंगलवार</v>
      </c>
      <c r="D211" s="33" t="n">
        <f aca="false">IF(A211=1,0,INT((A211-2)/7)+1)</f>
        <v>30</v>
      </c>
      <c r="E211" s="33" t="n">
        <f aca="false">(YEAR(B211)-YEAR(सारांश!$B$4))*12+MONTH(B211)-MONTH(सारांश!$B$4)+IF(DAY(B211)&gt;=DAY(सारांश!$B$4),1,0)</f>
        <v>7</v>
      </c>
      <c r="F211" s="35" t="s">
        <v>18</v>
      </c>
      <c r="G211" s="14" t="s">
        <v>261</v>
      </c>
      <c r="H211" s="32" t="s">
        <v>783</v>
      </c>
      <c r="I211" s="32" t="s">
        <v>335</v>
      </c>
      <c r="J211" s="48" t="s">
        <v>336</v>
      </c>
      <c r="K211" s="48" t="s">
        <v>265</v>
      </c>
      <c r="L211" s="14" t="s">
        <v>266</v>
      </c>
      <c r="M211" s="32" t="s">
        <v>784</v>
      </c>
      <c r="N211" s="32" t="s">
        <v>276</v>
      </c>
      <c r="O211" s="32" t="s">
        <v>744</v>
      </c>
      <c r="P211" s="32" t="s">
        <v>745</v>
      </c>
      <c r="Q211" s="14" t="n">
        <v>7.5</v>
      </c>
      <c r="R211" s="32" t="s">
        <v>271</v>
      </c>
      <c r="S211" s="32" t="s">
        <v>272</v>
      </c>
      <c r="T211" s="49" t="s">
        <v>258</v>
      </c>
      <c r="U211" s="49" t="s">
        <v>259</v>
      </c>
      <c r="V211" s="49" t="s">
        <v>259</v>
      </c>
      <c r="W211" s="14" t="s">
        <v>260</v>
      </c>
      <c r="X211" s="14"/>
      <c r="Y211" s="48" t="s">
        <v>273</v>
      </c>
    </row>
    <row r="212" customFormat="false" ht="109.5" hidden="false" customHeight="true" outlineLevel="0" collapsed="false">
      <c r="A212" s="33" t="n">
        <v>207</v>
      </c>
      <c r="B212" s="34" t="n">
        <f aca="false">सारांश!$B$4+A212-1</f>
        <v>46547</v>
      </c>
      <c r="C212" s="33" t="str">
        <f aca="false">CHOOSE(WEEKDAY(B212,2),"सोमवार","मंगलवार","बुधवार","गुरुवार","शुक्रवार","शनिवार","रविवार")</f>
        <v>बुधवार</v>
      </c>
      <c r="D212" s="33" t="n">
        <f aca="false">IF(A212=1,0,INT((A212-2)/7)+1)</f>
        <v>30</v>
      </c>
      <c r="E212" s="33" t="n">
        <f aca="false">(YEAR(B212)-YEAR(सारांश!$B$4))*12+MONTH(B212)-MONTH(सारांश!$B$4)+IF(DAY(B212)&gt;=DAY(सारांश!$B$4),1,0)</f>
        <v>7</v>
      </c>
      <c r="F212" s="35" t="s">
        <v>18</v>
      </c>
      <c r="G212" s="14" t="s">
        <v>261</v>
      </c>
      <c r="H212" s="32" t="s">
        <v>785</v>
      </c>
      <c r="I212" s="32" t="s">
        <v>344</v>
      </c>
      <c r="J212" s="48" t="s">
        <v>345</v>
      </c>
      <c r="K212" s="48" t="s">
        <v>265</v>
      </c>
      <c r="L212" s="14" t="s">
        <v>266</v>
      </c>
      <c r="M212" s="32" t="s">
        <v>786</v>
      </c>
      <c r="N212" s="32" t="s">
        <v>279</v>
      </c>
      <c r="O212" s="32" t="s">
        <v>744</v>
      </c>
      <c r="P212" s="32" t="s">
        <v>745</v>
      </c>
      <c r="Q212" s="14" t="n">
        <v>7.5</v>
      </c>
      <c r="R212" s="32" t="s">
        <v>271</v>
      </c>
      <c r="S212" s="32" t="s">
        <v>272</v>
      </c>
      <c r="T212" s="49" t="s">
        <v>258</v>
      </c>
      <c r="U212" s="49" t="s">
        <v>259</v>
      </c>
      <c r="V212" s="49" t="s">
        <v>259</v>
      </c>
      <c r="W212" s="14" t="s">
        <v>260</v>
      </c>
      <c r="X212" s="14"/>
      <c r="Y212" s="48" t="s">
        <v>273</v>
      </c>
    </row>
    <row r="213" customFormat="false" ht="109.5" hidden="false" customHeight="true" outlineLevel="0" collapsed="false">
      <c r="A213" s="33" t="n">
        <v>208</v>
      </c>
      <c r="B213" s="34" t="n">
        <f aca="false">सारांश!$B$4+A213-1</f>
        <v>46548</v>
      </c>
      <c r="C213" s="33" t="str">
        <f aca="false">CHOOSE(WEEKDAY(B213,2),"सोमवार","मंगलवार","बुधवार","गुरुवार","शुक्रवार","शनिवार","रविवार")</f>
        <v>गुरुवार</v>
      </c>
      <c r="D213" s="33" t="n">
        <f aca="false">IF(A213=1,0,INT((A213-2)/7)+1)</f>
        <v>30</v>
      </c>
      <c r="E213" s="33" t="n">
        <f aca="false">(YEAR(B213)-YEAR(सारांश!$B$4))*12+MONTH(B213)-MONTH(सारांश!$B$4)+IF(DAY(B213)&gt;=DAY(सारांश!$B$4),1,0)</f>
        <v>7</v>
      </c>
      <c r="F213" s="35" t="s">
        <v>18</v>
      </c>
      <c r="G213" s="14" t="s">
        <v>261</v>
      </c>
      <c r="H213" s="32" t="s">
        <v>787</v>
      </c>
      <c r="I213" s="32" t="s">
        <v>348</v>
      </c>
      <c r="J213" s="48" t="s">
        <v>349</v>
      </c>
      <c r="K213" s="48" t="s">
        <v>265</v>
      </c>
      <c r="L213" s="14" t="s">
        <v>266</v>
      </c>
      <c r="M213" s="32" t="s">
        <v>788</v>
      </c>
      <c r="N213" s="32" t="s">
        <v>284</v>
      </c>
      <c r="O213" s="32" t="s">
        <v>744</v>
      </c>
      <c r="P213" s="32" t="s">
        <v>745</v>
      </c>
      <c r="Q213" s="14" t="n">
        <v>7.5</v>
      </c>
      <c r="R213" s="32" t="s">
        <v>271</v>
      </c>
      <c r="S213" s="32" t="s">
        <v>272</v>
      </c>
      <c r="T213" s="49" t="s">
        <v>258</v>
      </c>
      <c r="U213" s="49" t="s">
        <v>259</v>
      </c>
      <c r="V213" s="49" t="s">
        <v>259</v>
      </c>
      <c r="W213" s="14" t="s">
        <v>260</v>
      </c>
      <c r="X213" s="14"/>
      <c r="Y213" s="48" t="s">
        <v>273</v>
      </c>
    </row>
    <row r="214" customFormat="false" ht="109.5" hidden="false" customHeight="true" outlineLevel="0" collapsed="false">
      <c r="A214" s="33" t="n">
        <v>209</v>
      </c>
      <c r="B214" s="34" t="n">
        <f aca="false">सारांश!$B$4+A214-1</f>
        <v>46549</v>
      </c>
      <c r="C214" s="33" t="str">
        <f aca="false">CHOOSE(WEEKDAY(B214,2),"सोमवार","मंगलवार","बुधवार","गुरुवार","शुक्रवार","शनिवार","रविवार")</f>
        <v>शुक्रवार</v>
      </c>
      <c r="D214" s="33" t="n">
        <f aca="false">IF(A214=1,0,INT((A214-2)/7)+1)</f>
        <v>30</v>
      </c>
      <c r="E214" s="33" t="n">
        <f aca="false">(YEAR(B214)-YEAR(सारांश!$B$4))*12+MONTH(B214)-MONTH(सारांश!$B$4)+IF(DAY(B214)&gt;=DAY(सारांश!$B$4),1,0)</f>
        <v>7</v>
      </c>
      <c r="F214" s="35" t="s">
        <v>18</v>
      </c>
      <c r="G214" s="14" t="s">
        <v>261</v>
      </c>
      <c r="H214" s="32" t="s">
        <v>789</v>
      </c>
      <c r="I214" s="32" t="s">
        <v>348</v>
      </c>
      <c r="J214" s="48" t="s">
        <v>349</v>
      </c>
      <c r="K214" s="48" t="s">
        <v>265</v>
      </c>
      <c r="L214" s="14" t="s">
        <v>266</v>
      </c>
      <c r="M214" s="32" t="s">
        <v>790</v>
      </c>
      <c r="N214" s="32" t="s">
        <v>287</v>
      </c>
      <c r="O214" s="32" t="s">
        <v>744</v>
      </c>
      <c r="P214" s="32" t="s">
        <v>745</v>
      </c>
      <c r="Q214" s="14" t="n">
        <v>7.5</v>
      </c>
      <c r="R214" s="32" t="s">
        <v>271</v>
      </c>
      <c r="S214" s="32" t="s">
        <v>272</v>
      </c>
      <c r="T214" s="49" t="s">
        <v>258</v>
      </c>
      <c r="U214" s="49" t="s">
        <v>259</v>
      </c>
      <c r="V214" s="49" t="s">
        <v>259</v>
      </c>
      <c r="W214" s="14" t="s">
        <v>260</v>
      </c>
      <c r="X214" s="14"/>
      <c r="Y214" s="48" t="s">
        <v>273</v>
      </c>
    </row>
    <row r="215" customFormat="false" ht="109.5" hidden="false" customHeight="true" outlineLevel="0" collapsed="false">
      <c r="A215" s="33" t="n">
        <v>210</v>
      </c>
      <c r="B215" s="34" t="n">
        <f aca="false">सारांश!$B$4+A215-1</f>
        <v>46550</v>
      </c>
      <c r="C215" s="33" t="str">
        <f aca="false">CHOOSE(WEEKDAY(B215,2),"सोमवार","मंगलवार","बुधवार","गुरुवार","शुक्रवार","शनिवार","रविवार")</f>
        <v>शनिवार</v>
      </c>
      <c r="D215" s="33" t="n">
        <f aca="false">IF(A215=1,0,INT((A215-2)/7)+1)</f>
        <v>30</v>
      </c>
      <c r="E215" s="33" t="n">
        <f aca="false">(YEAR(B215)-YEAR(सारांश!$B$4))*12+MONTH(B215)-MONTH(सारांश!$B$4)+IF(DAY(B215)&gt;=DAY(सारांश!$B$4),1,0)</f>
        <v>7</v>
      </c>
      <c r="F215" s="35" t="s">
        <v>18</v>
      </c>
      <c r="G215" s="14" t="s">
        <v>261</v>
      </c>
      <c r="H215" s="32" t="s">
        <v>791</v>
      </c>
      <c r="I215" s="32" t="s">
        <v>348</v>
      </c>
      <c r="J215" s="48" t="s">
        <v>349</v>
      </c>
      <c r="K215" s="48" t="s">
        <v>265</v>
      </c>
      <c r="L215" s="14" t="s">
        <v>266</v>
      </c>
      <c r="M215" s="32" t="s">
        <v>792</v>
      </c>
      <c r="N215" s="32" t="s">
        <v>290</v>
      </c>
      <c r="O215" s="32" t="s">
        <v>744</v>
      </c>
      <c r="P215" s="32" t="s">
        <v>745</v>
      </c>
      <c r="Q215" s="14" t="n">
        <v>7.5</v>
      </c>
      <c r="R215" s="32" t="s">
        <v>271</v>
      </c>
      <c r="S215" s="32" t="s">
        <v>272</v>
      </c>
      <c r="T215" s="49" t="s">
        <v>258</v>
      </c>
      <c r="U215" s="49" t="s">
        <v>259</v>
      </c>
      <c r="V215" s="49" t="s">
        <v>259</v>
      </c>
      <c r="W215" s="14" t="s">
        <v>260</v>
      </c>
      <c r="X215" s="14"/>
      <c r="Y215" s="48" t="s">
        <v>273</v>
      </c>
    </row>
    <row r="216" customFormat="false" ht="75.75" hidden="false" customHeight="true" outlineLevel="0" collapsed="false">
      <c r="A216" s="50" t="n">
        <v>211</v>
      </c>
      <c r="B216" s="51" t="n">
        <f aca="false">सारांश!$B$4+A216-1</f>
        <v>46551</v>
      </c>
      <c r="C216" s="50" t="str">
        <f aca="false">CHOOSE(WEEKDAY(B216,2),"सोमवार","मंगलवार","बुधवार","गुरुवार","शुक्रवार","शनिवार","रविवार")</f>
        <v>रविवार</v>
      </c>
      <c r="D216" s="50" t="n">
        <f aca="false">IF(A216=1,0,INT((A216-2)/7)+1)</f>
        <v>30</v>
      </c>
      <c r="E216" s="50" t="n">
        <f aca="false">(YEAR(B216)-YEAR(सारांश!$B$4))*12+MONTH(B216)-MONTH(सारांश!$B$4)+IF(DAY(B216)&gt;=DAY(सारांश!$B$4),1,0)</f>
        <v>7</v>
      </c>
      <c r="F216" s="52" t="s">
        <v>18</v>
      </c>
      <c r="G216" s="50" t="s">
        <v>291</v>
      </c>
      <c r="H216" s="52" t="s">
        <v>127</v>
      </c>
      <c r="I216" s="52" t="s">
        <v>355</v>
      </c>
      <c r="J216" s="53" t="s">
        <v>293</v>
      </c>
      <c r="K216" s="53" t="s">
        <v>294</v>
      </c>
      <c r="L216" s="50" t="s">
        <v>295</v>
      </c>
      <c r="M216" s="52" t="s">
        <v>296</v>
      </c>
      <c r="N216" s="52" t="s">
        <v>297</v>
      </c>
      <c r="O216" s="52" t="s">
        <v>756</v>
      </c>
      <c r="P216" s="52" t="s">
        <v>299</v>
      </c>
      <c r="Q216" s="50" t="n">
        <v>6</v>
      </c>
      <c r="R216" s="52" t="s">
        <v>300</v>
      </c>
      <c r="S216" s="52" t="s">
        <v>257</v>
      </c>
      <c r="T216" s="54" t="s">
        <v>258</v>
      </c>
      <c r="U216" s="54" t="s">
        <v>259</v>
      </c>
      <c r="V216" s="54" t="s">
        <v>259</v>
      </c>
      <c r="W216" s="50" t="s">
        <v>260</v>
      </c>
      <c r="X216" s="50"/>
    </row>
    <row r="217" customFormat="false" ht="109.5" hidden="false" customHeight="true" outlineLevel="0" collapsed="false">
      <c r="A217" s="33" t="n">
        <v>212</v>
      </c>
      <c r="B217" s="34" t="n">
        <f aca="false">सारांश!$B$4+A217-1</f>
        <v>46552</v>
      </c>
      <c r="C217" s="33" t="str">
        <f aca="false">CHOOSE(WEEKDAY(B217,2),"सोमवार","मंगलवार","बुधवार","गुरुवार","शुक्रवार","शनिवार","रविवार")</f>
        <v>सोमवार</v>
      </c>
      <c r="D217" s="33" t="n">
        <f aca="false">IF(A217=1,0,INT((A217-2)/7)+1)</f>
        <v>31</v>
      </c>
      <c r="E217" s="33" t="n">
        <f aca="false">(YEAR(B217)-YEAR(सारांश!$B$4))*12+MONTH(B217)-MONTH(सारांश!$B$4)+IF(DAY(B217)&gt;=DAY(सारांश!$B$4),1,0)</f>
        <v>7</v>
      </c>
      <c r="F217" s="35" t="s">
        <v>18</v>
      </c>
      <c r="G217" s="14" t="s">
        <v>261</v>
      </c>
      <c r="H217" s="32" t="s">
        <v>793</v>
      </c>
      <c r="I217" s="32" t="s">
        <v>348</v>
      </c>
      <c r="J217" s="48" t="s">
        <v>349</v>
      </c>
      <c r="K217" s="48" t="s">
        <v>265</v>
      </c>
      <c r="L217" s="14" t="s">
        <v>266</v>
      </c>
      <c r="M217" s="32" t="s">
        <v>794</v>
      </c>
      <c r="N217" s="32" t="s">
        <v>268</v>
      </c>
      <c r="O217" s="32" t="s">
        <v>744</v>
      </c>
      <c r="P217" s="32" t="s">
        <v>745</v>
      </c>
      <c r="Q217" s="14" t="n">
        <v>7.5</v>
      </c>
      <c r="R217" s="32" t="s">
        <v>271</v>
      </c>
      <c r="S217" s="32" t="s">
        <v>272</v>
      </c>
      <c r="T217" s="49" t="s">
        <v>258</v>
      </c>
      <c r="U217" s="49" t="s">
        <v>259</v>
      </c>
      <c r="V217" s="49" t="s">
        <v>259</v>
      </c>
      <c r="W217" s="14" t="s">
        <v>260</v>
      </c>
      <c r="X217" s="14"/>
      <c r="Y217" s="48" t="s">
        <v>273</v>
      </c>
    </row>
    <row r="218" customFormat="false" ht="109.5" hidden="false" customHeight="true" outlineLevel="0" collapsed="false">
      <c r="A218" s="33" t="n">
        <v>213</v>
      </c>
      <c r="B218" s="34" t="n">
        <f aca="false">सारांश!$B$4+A218-1</f>
        <v>46553</v>
      </c>
      <c r="C218" s="33" t="str">
        <f aca="false">CHOOSE(WEEKDAY(B218,2),"सोमवार","मंगलवार","बुधवार","गुरुवार","शुक्रवार","शनिवार","रविवार")</f>
        <v>मंगलवार</v>
      </c>
      <c r="D218" s="33" t="n">
        <f aca="false">IF(A218=1,0,INT((A218-2)/7)+1)</f>
        <v>31</v>
      </c>
      <c r="E218" s="33" t="n">
        <f aca="false">(YEAR(B218)-YEAR(सारांश!$B$4))*12+MONTH(B218)-MONTH(सारांश!$B$4)+IF(DAY(B218)&gt;=DAY(सारांश!$B$4),1,0)</f>
        <v>8</v>
      </c>
      <c r="F218" s="35" t="s">
        <v>18</v>
      </c>
      <c r="G218" s="14" t="s">
        <v>261</v>
      </c>
      <c r="H218" s="32" t="s">
        <v>795</v>
      </c>
      <c r="I218" s="32" t="s">
        <v>348</v>
      </c>
      <c r="J218" s="48" t="s">
        <v>349</v>
      </c>
      <c r="K218" s="48" t="s">
        <v>265</v>
      </c>
      <c r="L218" s="14" t="s">
        <v>266</v>
      </c>
      <c r="M218" s="32" t="s">
        <v>796</v>
      </c>
      <c r="N218" s="32" t="s">
        <v>276</v>
      </c>
      <c r="O218" s="32" t="s">
        <v>744</v>
      </c>
      <c r="P218" s="32" t="s">
        <v>745</v>
      </c>
      <c r="Q218" s="14" t="n">
        <v>7.5</v>
      </c>
      <c r="R218" s="32" t="s">
        <v>271</v>
      </c>
      <c r="S218" s="32" t="s">
        <v>272</v>
      </c>
      <c r="T218" s="49" t="s">
        <v>258</v>
      </c>
      <c r="U218" s="49" t="s">
        <v>259</v>
      </c>
      <c r="V218" s="49" t="s">
        <v>259</v>
      </c>
      <c r="W218" s="14" t="s">
        <v>260</v>
      </c>
      <c r="X218" s="14"/>
      <c r="Y218" s="48" t="s">
        <v>273</v>
      </c>
    </row>
    <row r="219" customFormat="false" ht="126.75" hidden="false" customHeight="true" outlineLevel="0" collapsed="false">
      <c r="A219" s="33" t="n">
        <v>214</v>
      </c>
      <c r="B219" s="34" t="n">
        <f aca="false">सारांश!$B$4+A219-1</f>
        <v>46554</v>
      </c>
      <c r="C219" s="33" t="str">
        <f aca="false">CHOOSE(WEEKDAY(B219,2),"सोमवार","मंगलवार","बुधवार","गुरुवार","शुक्रवार","शनिवार","रविवार")</f>
        <v>बुधवार</v>
      </c>
      <c r="D219" s="33" t="n">
        <f aca="false">IF(A219=1,0,INT((A219-2)/7)+1)</f>
        <v>31</v>
      </c>
      <c r="E219" s="33" t="n">
        <f aca="false">(YEAR(B219)-YEAR(सारांश!$B$4))*12+MONTH(B219)-MONTH(सारांश!$B$4)+IF(DAY(B219)&gt;=DAY(सारांश!$B$4),1,0)</f>
        <v>8</v>
      </c>
      <c r="F219" s="35" t="s">
        <v>18</v>
      </c>
      <c r="G219" s="14" t="s">
        <v>261</v>
      </c>
      <c r="H219" s="32" t="s">
        <v>797</v>
      </c>
      <c r="I219" s="32" t="s">
        <v>361</v>
      </c>
      <c r="J219" s="48" t="s">
        <v>362</v>
      </c>
      <c r="K219" s="48" t="s">
        <v>265</v>
      </c>
      <c r="L219" s="14" t="s">
        <v>266</v>
      </c>
      <c r="M219" s="32" t="s">
        <v>798</v>
      </c>
      <c r="N219" s="32" t="s">
        <v>279</v>
      </c>
      <c r="O219" s="32" t="s">
        <v>744</v>
      </c>
      <c r="P219" s="32" t="s">
        <v>745</v>
      </c>
      <c r="Q219" s="14" t="n">
        <v>7.5</v>
      </c>
      <c r="R219" s="32" t="s">
        <v>271</v>
      </c>
      <c r="S219" s="32" t="s">
        <v>272</v>
      </c>
      <c r="T219" s="49" t="s">
        <v>258</v>
      </c>
      <c r="U219" s="49" t="s">
        <v>259</v>
      </c>
      <c r="V219" s="49" t="s">
        <v>259</v>
      </c>
      <c r="W219" s="14" t="s">
        <v>260</v>
      </c>
      <c r="X219" s="14"/>
      <c r="Y219" s="48" t="s">
        <v>273</v>
      </c>
    </row>
    <row r="220" customFormat="false" ht="126.75" hidden="false" customHeight="true" outlineLevel="0" collapsed="false">
      <c r="A220" s="33" t="n">
        <v>215</v>
      </c>
      <c r="B220" s="34" t="n">
        <f aca="false">सारांश!$B$4+A220-1</f>
        <v>46555</v>
      </c>
      <c r="C220" s="33" t="str">
        <f aca="false">CHOOSE(WEEKDAY(B220,2),"सोमवार","मंगलवार","बुधवार","गुरुवार","शुक्रवार","शनिवार","रविवार")</f>
        <v>गुरुवार</v>
      </c>
      <c r="D220" s="33" t="n">
        <f aca="false">IF(A220=1,0,INT((A220-2)/7)+1)</f>
        <v>31</v>
      </c>
      <c r="E220" s="33" t="n">
        <f aca="false">(YEAR(B220)-YEAR(सारांश!$B$4))*12+MONTH(B220)-MONTH(सारांश!$B$4)+IF(DAY(B220)&gt;=DAY(सारांश!$B$4),1,0)</f>
        <v>8</v>
      </c>
      <c r="F220" s="35" t="s">
        <v>18</v>
      </c>
      <c r="G220" s="14" t="s">
        <v>261</v>
      </c>
      <c r="H220" s="32" t="s">
        <v>799</v>
      </c>
      <c r="I220" s="32" t="s">
        <v>365</v>
      </c>
      <c r="J220" s="48" t="s">
        <v>366</v>
      </c>
      <c r="K220" s="48" t="s">
        <v>265</v>
      </c>
      <c r="L220" s="14" t="s">
        <v>266</v>
      </c>
      <c r="M220" s="32" t="s">
        <v>800</v>
      </c>
      <c r="N220" s="32" t="s">
        <v>284</v>
      </c>
      <c r="O220" s="32" t="s">
        <v>744</v>
      </c>
      <c r="P220" s="32" t="s">
        <v>745</v>
      </c>
      <c r="Q220" s="14" t="n">
        <v>7.5</v>
      </c>
      <c r="R220" s="32" t="s">
        <v>271</v>
      </c>
      <c r="S220" s="32" t="s">
        <v>272</v>
      </c>
      <c r="T220" s="49" t="s">
        <v>258</v>
      </c>
      <c r="U220" s="49" t="s">
        <v>259</v>
      </c>
      <c r="V220" s="49" t="s">
        <v>259</v>
      </c>
      <c r="W220" s="14" t="s">
        <v>260</v>
      </c>
      <c r="X220" s="14"/>
      <c r="Y220" s="48" t="s">
        <v>273</v>
      </c>
    </row>
    <row r="221" customFormat="false" ht="126.75" hidden="false" customHeight="true" outlineLevel="0" collapsed="false">
      <c r="A221" s="33" t="n">
        <v>216</v>
      </c>
      <c r="B221" s="34" t="n">
        <f aca="false">सारांश!$B$4+A221-1</f>
        <v>46556</v>
      </c>
      <c r="C221" s="33" t="str">
        <f aca="false">CHOOSE(WEEKDAY(B221,2),"सोमवार","मंगलवार","बुधवार","गुरुवार","शुक्रवार","शनिवार","रविवार")</f>
        <v>शुक्रवार</v>
      </c>
      <c r="D221" s="33" t="n">
        <f aca="false">IF(A221=1,0,INT((A221-2)/7)+1)</f>
        <v>31</v>
      </c>
      <c r="E221" s="33" t="n">
        <f aca="false">(YEAR(B221)-YEAR(सारांश!$B$4))*12+MONTH(B221)-MONTH(सारांश!$B$4)+IF(DAY(B221)&gt;=DAY(सारांश!$B$4),1,0)</f>
        <v>8</v>
      </c>
      <c r="F221" s="35" t="s">
        <v>18</v>
      </c>
      <c r="G221" s="14" t="s">
        <v>261</v>
      </c>
      <c r="H221" s="32" t="s">
        <v>801</v>
      </c>
      <c r="I221" s="32" t="s">
        <v>365</v>
      </c>
      <c r="J221" s="48" t="s">
        <v>366</v>
      </c>
      <c r="K221" s="48" t="s">
        <v>265</v>
      </c>
      <c r="L221" s="14" t="s">
        <v>266</v>
      </c>
      <c r="M221" s="32" t="s">
        <v>802</v>
      </c>
      <c r="N221" s="32" t="s">
        <v>287</v>
      </c>
      <c r="O221" s="32" t="s">
        <v>744</v>
      </c>
      <c r="P221" s="32" t="s">
        <v>745</v>
      </c>
      <c r="Q221" s="14" t="n">
        <v>7.5</v>
      </c>
      <c r="R221" s="32" t="s">
        <v>271</v>
      </c>
      <c r="S221" s="32" t="s">
        <v>272</v>
      </c>
      <c r="T221" s="49" t="s">
        <v>258</v>
      </c>
      <c r="U221" s="49" t="s">
        <v>259</v>
      </c>
      <c r="V221" s="49" t="s">
        <v>259</v>
      </c>
      <c r="W221" s="14" t="s">
        <v>260</v>
      </c>
      <c r="X221" s="14"/>
      <c r="Y221" s="48" t="s">
        <v>273</v>
      </c>
    </row>
    <row r="222" customFormat="false" ht="126.75" hidden="false" customHeight="true" outlineLevel="0" collapsed="false">
      <c r="A222" s="33" t="n">
        <v>217</v>
      </c>
      <c r="B222" s="34" t="n">
        <f aca="false">सारांश!$B$4+A222-1</f>
        <v>46557</v>
      </c>
      <c r="C222" s="33" t="str">
        <f aca="false">CHOOSE(WEEKDAY(B222,2),"सोमवार","मंगलवार","बुधवार","गुरुवार","शुक्रवार","शनिवार","रविवार")</f>
        <v>शनिवार</v>
      </c>
      <c r="D222" s="33" t="n">
        <f aca="false">IF(A222=1,0,INT((A222-2)/7)+1)</f>
        <v>31</v>
      </c>
      <c r="E222" s="33" t="n">
        <f aca="false">(YEAR(B222)-YEAR(सारांश!$B$4))*12+MONTH(B222)-MONTH(सारांश!$B$4)+IF(DAY(B222)&gt;=DAY(सारांश!$B$4),1,0)</f>
        <v>8</v>
      </c>
      <c r="F222" s="35" t="s">
        <v>18</v>
      </c>
      <c r="G222" s="14" t="s">
        <v>261</v>
      </c>
      <c r="H222" s="32" t="s">
        <v>803</v>
      </c>
      <c r="I222" s="32" t="s">
        <v>365</v>
      </c>
      <c r="J222" s="48" t="s">
        <v>366</v>
      </c>
      <c r="K222" s="48" t="s">
        <v>265</v>
      </c>
      <c r="L222" s="14" t="s">
        <v>266</v>
      </c>
      <c r="M222" s="32" t="s">
        <v>804</v>
      </c>
      <c r="N222" s="32" t="s">
        <v>290</v>
      </c>
      <c r="O222" s="32" t="s">
        <v>744</v>
      </c>
      <c r="P222" s="32" t="s">
        <v>745</v>
      </c>
      <c r="Q222" s="14" t="n">
        <v>7.5</v>
      </c>
      <c r="R222" s="32" t="s">
        <v>271</v>
      </c>
      <c r="S222" s="32" t="s">
        <v>272</v>
      </c>
      <c r="T222" s="49" t="s">
        <v>258</v>
      </c>
      <c r="U222" s="49" t="s">
        <v>259</v>
      </c>
      <c r="V222" s="49" t="s">
        <v>259</v>
      </c>
      <c r="W222" s="14" t="s">
        <v>260</v>
      </c>
      <c r="X222" s="14"/>
      <c r="Y222" s="48" t="s">
        <v>273</v>
      </c>
    </row>
    <row r="223" customFormat="false" ht="93" hidden="false" customHeight="true" outlineLevel="0" collapsed="false">
      <c r="A223" s="50" t="n">
        <v>218</v>
      </c>
      <c r="B223" s="51" t="n">
        <f aca="false">सारांश!$B$4+A223-1</f>
        <v>46558</v>
      </c>
      <c r="C223" s="50" t="str">
        <f aca="false">CHOOSE(WEEKDAY(B223,2),"सोमवार","मंगलवार","बुधवार","गुरुवार","शुक्रवार","शनिवार","रविवार")</f>
        <v>रविवार</v>
      </c>
      <c r="D223" s="50" t="n">
        <f aca="false">IF(A223=1,0,INT((A223-2)/7)+1)</f>
        <v>31</v>
      </c>
      <c r="E223" s="50" t="n">
        <f aca="false">(YEAR(B223)-YEAR(सारांश!$B$4))*12+MONTH(B223)-MONTH(सारांश!$B$4)+IF(DAY(B223)&gt;=DAY(सारांश!$B$4),1,0)</f>
        <v>8</v>
      </c>
      <c r="F223" s="52" t="s">
        <v>18</v>
      </c>
      <c r="G223" s="50" t="s">
        <v>291</v>
      </c>
      <c r="H223" s="52" t="s">
        <v>127</v>
      </c>
      <c r="I223" s="52" t="s">
        <v>372</v>
      </c>
      <c r="J223" s="53" t="s">
        <v>293</v>
      </c>
      <c r="K223" s="53" t="s">
        <v>294</v>
      </c>
      <c r="L223" s="50" t="s">
        <v>295</v>
      </c>
      <c r="M223" s="52" t="s">
        <v>296</v>
      </c>
      <c r="N223" s="52" t="s">
        <v>297</v>
      </c>
      <c r="O223" s="52" t="s">
        <v>756</v>
      </c>
      <c r="P223" s="52" t="s">
        <v>299</v>
      </c>
      <c r="Q223" s="50" t="n">
        <v>6</v>
      </c>
      <c r="R223" s="52" t="s">
        <v>300</v>
      </c>
      <c r="S223" s="52" t="s">
        <v>257</v>
      </c>
      <c r="T223" s="54" t="s">
        <v>258</v>
      </c>
      <c r="U223" s="54" t="s">
        <v>259</v>
      </c>
      <c r="V223" s="54" t="s">
        <v>259</v>
      </c>
      <c r="W223" s="50" t="s">
        <v>260</v>
      </c>
      <c r="X223" s="50"/>
    </row>
    <row r="224" customFormat="false" ht="109.5" hidden="false" customHeight="true" outlineLevel="0" collapsed="false">
      <c r="A224" s="33" t="n">
        <v>219</v>
      </c>
      <c r="B224" s="34" t="n">
        <f aca="false">सारांश!$B$4+A224-1</f>
        <v>46559</v>
      </c>
      <c r="C224" s="33" t="str">
        <f aca="false">CHOOSE(WEEKDAY(B224,2),"सोमवार","मंगलवार","बुधवार","गुरुवार","शुक्रवार","शनिवार","रविवार")</f>
        <v>सोमवार</v>
      </c>
      <c r="D224" s="33" t="n">
        <f aca="false">IF(A224=1,0,INT((A224-2)/7)+1)</f>
        <v>32</v>
      </c>
      <c r="E224" s="33" t="n">
        <f aca="false">(YEAR(B224)-YEAR(सारांश!$B$4))*12+MONTH(B224)-MONTH(सारांश!$B$4)+IF(DAY(B224)&gt;=DAY(सारांश!$B$4),1,0)</f>
        <v>8</v>
      </c>
      <c r="F224" s="35" t="s">
        <v>18</v>
      </c>
      <c r="G224" s="14" t="s">
        <v>261</v>
      </c>
      <c r="H224" s="32" t="s">
        <v>805</v>
      </c>
      <c r="I224" s="32" t="s">
        <v>374</v>
      </c>
      <c r="J224" s="48" t="s">
        <v>375</v>
      </c>
      <c r="K224" s="48" t="s">
        <v>265</v>
      </c>
      <c r="L224" s="14" t="s">
        <v>266</v>
      </c>
      <c r="M224" s="32" t="s">
        <v>806</v>
      </c>
      <c r="N224" s="32" t="s">
        <v>268</v>
      </c>
      <c r="O224" s="32" t="s">
        <v>744</v>
      </c>
      <c r="P224" s="32" t="s">
        <v>745</v>
      </c>
      <c r="Q224" s="14" t="n">
        <v>7.5</v>
      </c>
      <c r="R224" s="32" t="s">
        <v>271</v>
      </c>
      <c r="S224" s="32" t="s">
        <v>272</v>
      </c>
      <c r="T224" s="49" t="s">
        <v>258</v>
      </c>
      <c r="U224" s="49" t="s">
        <v>259</v>
      </c>
      <c r="V224" s="49" t="s">
        <v>259</v>
      </c>
      <c r="W224" s="14" t="s">
        <v>260</v>
      </c>
      <c r="X224" s="14"/>
      <c r="Y224" s="48" t="s">
        <v>273</v>
      </c>
    </row>
    <row r="225" customFormat="false" ht="109.5" hidden="false" customHeight="true" outlineLevel="0" collapsed="false">
      <c r="A225" s="33" t="n">
        <v>220</v>
      </c>
      <c r="B225" s="34" t="n">
        <f aca="false">सारांश!$B$4+A225-1</f>
        <v>46560</v>
      </c>
      <c r="C225" s="33" t="str">
        <f aca="false">CHOOSE(WEEKDAY(B225,2),"सोमवार","मंगलवार","बुधवार","गुरुवार","शुक्रवार","शनिवार","रविवार")</f>
        <v>मंगलवार</v>
      </c>
      <c r="D225" s="33" t="n">
        <f aca="false">IF(A225=1,0,INT((A225-2)/7)+1)</f>
        <v>32</v>
      </c>
      <c r="E225" s="33" t="n">
        <f aca="false">(YEAR(B225)-YEAR(सारांश!$B$4))*12+MONTH(B225)-MONTH(सारांश!$B$4)+IF(DAY(B225)&gt;=DAY(सारांश!$B$4),1,0)</f>
        <v>8</v>
      </c>
      <c r="F225" s="35" t="s">
        <v>18</v>
      </c>
      <c r="G225" s="14" t="s">
        <v>261</v>
      </c>
      <c r="H225" s="32" t="s">
        <v>807</v>
      </c>
      <c r="I225" s="32" t="s">
        <v>374</v>
      </c>
      <c r="J225" s="48" t="s">
        <v>375</v>
      </c>
      <c r="K225" s="48" t="s">
        <v>265</v>
      </c>
      <c r="L225" s="14" t="s">
        <v>266</v>
      </c>
      <c r="M225" s="32" t="s">
        <v>808</v>
      </c>
      <c r="N225" s="32" t="s">
        <v>276</v>
      </c>
      <c r="O225" s="32" t="s">
        <v>744</v>
      </c>
      <c r="P225" s="32" t="s">
        <v>745</v>
      </c>
      <c r="Q225" s="14" t="n">
        <v>7.5</v>
      </c>
      <c r="R225" s="32" t="s">
        <v>271</v>
      </c>
      <c r="S225" s="32" t="s">
        <v>272</v>
      </c>
      <c r="T225" s="49" t="s">
        <v>258</v>
      </c>
      <c r="U225" s="49" t="s">
        <v>259</v>
      </c>
      <c r="V225" s="49" t="s">
        <v>259</v>
      </c>
      <c r="W225" s="14" t="s">
        <v>260</v>
      </c>
      <c r="X225" s="14"/>
      <c r="Y225" s="48" t="s">
        <v>273</v>
      </c>
    </row>
    <row r="226" customFormat="false" ht="126.75" hidden="false" customHeight="true" outlineLevel="0" collapsed="false">
      <c r="A226" s="33" t="n">
        <v>221</v>
      </c>
      <c r="B226" s="34" t="n">
        <f aca="false">सारांश!$B$4+A226-1</f>
        <v>46561</v>
      </c>
      <c r="C226" s="33" t="str">
        <f aca="false">CHOOSE(WEEKDAY(B226,2),"सोमवार","मंगलवार","बुधवार","गुरुवार","शुक्रवार","शनिवार","रविवार")</f>
        <v>बुधवार</v>
      </c>
      <c r="D226" s="33" t="n">
        <f aca="false">IF(A226=1,0,INT((A226-2)/7)+1)</f>
        <v>32</v>
      </c>
      <c r="E226" s="33" t="n">
        <f aca="false">(YEAR(B226)-YEAR(सारांश!$B$4))*12+MONTH(B226)-MONTH(सारांश!$B$4)+IF(DAY(B226)&gt;=DAY(सारांश!$B$4),1,0)</f>
        <v>8</v>
      </c>
      <c r="F226" s="35" t="s">
        <v>18</v>
      </c>
      <c r="G226" s="14" t="s">
        <v>261</v>
      </c>
      <c r="H226" s="32" t="s">
        <v>809</v>
      </c>
      <c r="I226" s="32" t="s">
        <v>380</v>
      </c>
      <c r="J226" s="48" t="s">
        <v>381</v>
      </c>
      <c r="K226" s="48" t="s">
        <v>265</v>
      </c>
      <c r="L226" s="14" t="s">
        <v>266</v>
      </c>
      <c r="M226" s="32" t="s">
        <v>810</v>
      </c>
      <c r="N226" s="32" t="s">
        <v>279</v>
      </c>
      <c r="O226" s="32" t="s">
        <v>744</v>
      </c>
      <c r="P226" s="32" t="s">
        <v>745</v>
      </c>
      <c r="Q226" s="14" t="n">
        <v>7.5</v>
      </c>
      <c r="R226" s="32" t="s">
        <v>271</v>
      </c>
      <c r="S226" s="32" t="s">
        <v>272</v>
      </c>
      <c r="T226" s="49" t="s">
        <v>258</v>
      </c>
      <c r="U226" s="49" t="s">
        <v>259</v>
      </c>
      <c r="V226" s="49" t="s">
        <v>259</v>
      </c>
      <c r="W226" s="14" t="s">
        <v>260</v>
      </c>
      <c r="X226" s="14"/>
      <c r="Y226" s="48" t="s">
        <v>273</v>
      </c>
    </row>
    <row r="227" customFormat="false" ht="126.75" hidden="false" customHeight="true" outlineLevel="0" collapsed="false">
      <c r="A227" s="33" t="n">
        <v>222</v>
      </c>
      <c r="B227" s="34" t="n">
        <f aca="false">सारांश!$B$4+A227-1</f>
        <v>46562</v>
      </c>
      <c r="C227" s="33" t="str">
        <f aca="false">CHOOSE(WEEKDAY(B227,2),"सोमवार","मंगलवार","बुधवार","गुरुवार","शुक्रवार","शनिवार","रविवार")</f>
        <v>गुरुवार</v>
      </c>
      <c r="D227" s="33" t="n">
        <f aca="false">IF(A227=1,0,INT((A227-2)/7)+1)</f>
        <v>32</v>
      </c>
      <c r="E227" s="33" t="n">
        <f aca="false">(YEAR(B227)-YEAR(सारांश!$B$4))*12+MONTH(B227)-MONTH(सारांश!$B$4)+IF(DAY(B227)&gt;=DAY(सारांश!$B$4),1,0)</f>
        <v>8</v>
      </c>
      <c r="F227" s="35" t="s">
        <v>18</v>
      </c>
      <c r="G227" s="14" t="s">
        <v>261</v>
      </c>
      <c r="H227" s="32" t="s">
        <v>811</v>
      </c>
      <c r="I227" s="32" t="s">
        <v>384</v>
      </c>
      <c r="J227" s="48" t="s">
        <v>385</v>
      </c>
      <c r="K227" s="48" t="s">
        <v>265</v>
      </c>
      <c r="L227" s="14" t="s">
        <v>266</v>
      </c>
      <c r="M227" s="32" t="s">
        <v>812</v>
      </c>
      <c r="N227" s="32" t="s">
        <v>284</v>
      </c>
      <c r="O227" s="32" t="s">
        <v>744</v>
      </c>
      <c r="P227" s="32" t="s">
        <v>745</v>
      </c>
      <c r="Q227" s="14" t="n">
        <v>7.5</v>
      </c>
      <c r="R227" s="32" t="s">
        <v>271</v>
      </c>
      <c r="S227" s="32" t="s">
        <v>272</v>
      </c>
      <c r="T227" s="49" t="s">
        <v>258</v>
      </c>
      <c r="U227" s="49" t="s">
        <v>259</v>
      </c>
      <c r="V227" s="49" t="s">
        <v>259</v>
      </c>
      <c r="W227" s="14" t="s">
        <v>260</v>
      </c>
      <c r="X227" s="14"/>
      <c r="Y227" s="48" t="s">
        <v>273</v>
      </c>
    </row>
    <row r="228" customFormat="false" ht="126.75" hidden="false" customHeight="true" outlineLevel="0" collapsed="false">
      <c r="A228" s="33" t="n">
        <v>223</v>
      </c>
      <c r="B228" s="34" t="n">
        <f aca="false">सारांश!$B$4+A228-1</f>
        <v>46563</v>
      </c>
      <c r="C228" s="33" t="str">
        <f aca="false">CHOOSE(WEEKDAY(B228,2),"सोमवार","मंगलवार","बुधवार","गुरुवार","शुक्रवार","शनिवार","रविवार")</f>
        <v>शुक्रवार</v>
      </c>
      <c r="D228" s="33" t="n">
        <f aca="false">IF(A228=1,0,INT((A228-2)/7)+1)</f>
        <v>32</v>
      </c>
      <c r="E228" s="33" t="n">
        <f aca="false">(YEAR(B228)-YEAR(सारांश!$B$4))*12+MONTH(B228)-MONTH(सारांश!$B$4)+IF(DAY(B228)&gt;=DAY(सारांश!$B$4),1,0)</f>
        <v>8</v>
      </c>
      <c r="F228" s="35" t="s">
        <v>18</v>
      </c>
      <c r="G228" s="14" t="s">
        <v>261</v>
      </c>
      <c r="H228" s="32" t="s">
        <v>813</v>
      </c>
      <c r="I228" s="32" t="s">
        <v>384</v>
      </c>
      <c r="J228" s="48" t="s">
        <v>385</v>
      </c>
      <c r="K228" s="48" t="s">
        <v>265</v>
      </c>
      <c r="L228" s="14" t="s">
        <v>266</v>
      </c>
      <c r="M228" s="32" t="s">
        <v>814</v>
      </c>
      <c r="N228" s="32" t="s">
        <v>287</v>
      </c>
      <c r="O228" s="32" t="s">
        <v>744</v>
      </c>
      <c r="P228" s="32" t="s">
        <v>745</v>
      </c>
      <c r="Q228" s="14" t="n">
        <v>7.5</v>
      </c>
      <c r="R228" s="32" t="s">
        <v>271</v>
      </c>
      <c r="S228" s="32" t="s">
        <v>272</v>
      </c>
      <c r="T228" s="49" t="s">
        <v>258</v>
      </c>
      <c r="U228" s="49" t="s">
        <v>259</v>
      </c>
      <c r="V228" s="49" t="s">
        <v>259</v>
      </c>
      <c r="W228" s="14" t="s">
        <v>260</v>
      </c>
      <c r="X228" s="14"/>
      <c r="Y228" s="48" t="s">
        <v>273</v>
      </c>
    </row>
    <row r="229" customFormat="false" ht="126.75" hidden="false" customHeight="true" outlineLevel="0" collapsed="false">
      <c r="A229" s="33" t="n">
        <v>224</v>
      </c>
      <c r="B229" s="34" t="n">
        <f aca="false">सारांश!$B$4+A229-1</f>
        <v>46564</v>
      </c>
      <c r="C229" s="33" t="str">
        <f aca="false">CHOOSE(WEEKDAY(B229,2),"सोमवार","मंगलवार","बुधवार","गुरुवार","शुक्रवार","शनिवार","रविवार")</f>
        <v>शनिवार</v>
      </c>
      <c r="D229" s="33" t="n">
        <f aca="false">IF(A229=1,0,INT((A229-2)/7)+1)</f>
        <v>32</v>
      </c>
      <c r="E229" s="33" t="n">
        <f aca="false">(YEAR(B229)-YEAR(सारांश!$B$4))*12+MONTH(B229)-MONTH(सारांश!$B$4)+IF(DAY(B229)&gt;=DAY(सारांश!$B$4),1,0)</f>
        <v>8</v>
      </c>
      <c r="F229" s="35" t="s">
        <v>18</v>
      </c>
      <c r="G229" s="14" t="s">
        <v>261</v>
      </c>
      <c r="H229" s="32" t="s">
        <v>815</v>
      </c>
      <c r="I229" s="32" t="s">
        <v>384</v>
      </c>
      <c r="J229" s="48" t="s">
        <v>385</v>
      </c>
      <c r="K229" s="48" t="s">
        <v>265</v>
      </c>
      <c r="L229" s="14" t="s">
        <v>266</v>
      </c>
      <c r="M229" s="32" t="s">
        <v>816</v>
      </c>
      <c r="N229" s="32" t="s">
        <v>290</v>
      </c>
      <c r="O229" s="32" t="s">
        <v>744</v>
      </c>
      <c r="P229" s="32" t="s">
        <v>745</v>
      </c>
      <c r="Q229" s="14" t="n">
        <v>7.5</v>
      </c>
      <c r="R229" s="32" t="s">
        <v>271</v>
      </c>
      <c r="S229" s="32" t="s">
        <v>272</v>
      </c>
      <c r="T229" s="49" t="s">
        <v>258</v>
      </c>
      <c r="U229" s="49" t="s">
        <v>259</v>
      </c>
      <c r="V229" s="49" t="s">
        <v>259</v>
      </c>
      <c r="W229" s="14" t="s">
        <v>260</v>
      </c>
      <c r="X229" s="14"/>
      <c r="Y229" s="48" t="s">
        <v>273</v>
      </c>
    </row>
    <row r="230" customFormat="false" ht="93" hidden="false" customHeight="true" outlineLevel="0" collapsed="false">
      <c r="A230" s="50" t="n">
        <v>225</v>
      </c>
      <c r="B230" s="51" t="n">
        <f aca="false">सारांश!$B$4+A230-1</f>
        <v>46565</v>
      </c>
      <c r="C230" s="50" t="str">
        <f aca="false">CHOOSE(WEEKDAY(B230,2),"सोमवार","मंगलवार","बुधवार","गुरुवार","शुक्रवार","शनिवार","रविवार")</f>
        <v>रविवार</v>
      </c>
      <c r="D230" s="50" t="n">
        <f aca="false">IF(A230=1,0,INT((A230-2)/7)+1)</f>
        <v>32</v>
      </c>
      <c r="E230" s="50" t="n">
        <f aca="false">(YEAR(B230)-YEAR(सारांश!$B$4))*12+MONTH(B230)-MONTH(सारांश!$B$4)+IF(DAY(B230)&gt;=DAY(सारांश!$B$4),1,0)</f>
        <v>8</v>
      </c>
      <c r="F230" s="52" t="s">
        <v>18</v>
      </c>
      <c r="G230" s="50" t="s">
        <v>291</v>
      </c>
      <c r="H230" s="52" t="s">
        <v>135</v>
      </c>
      <c r="I230" s="52" t="s">
        <v>391</v>
      </c>
      <c r="J230" s="53" t="s">
        <v>293</v>
      </c>
      <c r="K230" s="53" t="s">
        <v>294</v>
      </c>
      <c r="L230" s="50" t="s">
        <v>295</v>
      </c>
      <c r="M230" s="52" t="s">
        <v>296</v>
      </c>
      <c r="N230" s="52" t="s">
        <v>297</v>
      </c>
      <c r="O230" s="52" t="s">
        <v>756</v>
      </c>
      <c r="P230" s="52" t="s">
        <v>299</v>
      </c>
      <c r="Q230" s="50" t="n">
        <v>6</v>
      </c>
      <c r="R230" s="52" t="s">
        <v>300</v>
      </c>
      <c r="S230" s="52" t="s">
        <v>257</v>
      </c>
      <c r="T230" s="54" t="s">
        <v>258</v>
      </c>
      <c r="U230" s="54" t="s">
        <v>259</v>
      </c>
      <c r="V230" s="54" t="s">
        <v>259</v>
      </c>
      <c r="W230" s="50" t="s">
        <v>260</v>
      </c>
      <c r="X230" s="50"/>
    </row>
    <row r="231" customFormat="false" ht="126.75" hidden="false" customHeight="true" outlineLevel="0" collapsed="false">
      <c r="A231" s="33" t="n">
        <v>226</v>
      </c>
      <c r="B231" s="34" t="n">
        <f aca="false">सारांश!$B$4+A231-1</f>
        <v>46566</v>
      </c>
      <c r="C231" s="33" t="str">
        <f aca="false">CHOOSE(WEEKDAY(B231,2),"सोमवार","मंगलवार","बुधवार","गुरुवार","शुक्रवार","शनिवार","रविवार")</f>
        <v>सोमवार</v>
      </c>
      <c r="D231" s="33" t="n">
        <f aca="false">IF(A231=1,0,INT((A231-2)/7)+1)</f>
        <v>33</v>
      </c>
      <c r="E231" s="33" t="n">
        <f aca="false">(YEAR(B231)-YEAR(सारांश!$B$4))*12+MONTH(B231)-MONTH(सारांश!$B$4)+IF(DAY(B231)&gt;=DAY(सारांश!$B$4),1,0)</f>
        <v>8</v>
      </c>
      <c r="F231" s="35" t="s">
        <v>18</v>
      </c>
      <c r="G231" s="14" t="s">
        <v>261</v>
      </c>
      <c r="H231" s="32" t="s">
        <v>817</v>
      </c>
      <c r="I231" s="32" t="s">
        <v>393</v>
      </c>
      <c r="J231" s="48" t="s">
        <v>394</v>
      </c>
      <c r="K231" s="48" t="s">
        <v>265</v>
      </c>
      <c r="L231" s="14" t="s">
        <v>266</v>
      </c>
      <c r="M231" s="32" t="s">
        <v>818</v>
      </c>
      <c r="N231" s="32" t="s">
        <v>268</v>
      </c>
      <c r="O231" s="32" t="s">
        <v>744</v>
      </c>
      <c r="P231" s="32" t="s">
        <v>745</v>
      </c>
      <c r="Q231" s="14" t="n">
        <v>7.5</v>
      </c>
      <c r="R231" s="32" t="s">
        <v>271</v>
      </c>
      <c r="S231" s="32" t="s">
        <v>272</v>
      </c>
      <c r="T231" s="49" t="s">
        <v>258</v>
      </c>
      <c r="U231" s="49" t="s">
        <v>259</v>
      </c>
      <c r="V231" s="49" t="s">
        <v>259</v>
      </c>
      <c r="W231" s="14" t="s">
        <v>260</v>
      </c>
      <c r="X231" s="14"/>
      <c r="Y231" s="48" t="s">
        <v>273</v>
      </c>
    </row>
    <row r="232" customFormat="false" ht="126.75" hidden="false" customHeight="true" outlineLevel="0" collapsed="false">
      <c r="A232" s="33" t="n">
        <v>227</v>
      </c>
      <c r="B232" s="34" t="n">
        <f aca="false">सारांश!$B$4+A232-1</f>
        <v>46567</v>
      </c>
      <c r="C232" s="33" t="str">
        <f aca="false">CHOOSE(WEEKDAY(B232,2),"सोमवार","मंगलवार","बुधवार","गुरुवार","शुक्रवार","शनिवार","रविवार")</f>
        <v>मंगलवार</v>
      </c>
      <c r="D232" s="33" t="n">
        <f aca="false">IF(A232=1,0,INT((A232-2)/7)+1)</f>
        <v>33</v>
      </c>
      <c r="E232" s="33" t="n">
        <f aca="false">(YEAR(B232)-YEAR(सारांश!$B$4))*12+MONTH(B232)-MONTH(सारांश!$B$4)+IF(DAY(B232)&gt;=DAY(सारांश!$B$4),1,0)</f>
        <v>8</v>
      </c>
      <c r="F232" s="35" t="s">
        <v>18</v>
      </c>
      <c r="G232" s="14" t="s">
        <v>261</v>
      </c>
      <c r="H232" s="32" t="s">
        <v>819</v>
      </c>
      <c r="I232" s="32" t="s">
        <v>393</v>
      </c>
      <c r="J232" s="48" t="s">
        <v>394</v>
      </c>
      <c r="K232" s="48" t="s">
        <v>265</v>
      </c>
      <c r="L232" s="14" t="s">
        <v>266</v>
      </c>
      <c r="M232" s="32" t="s">
        <v>820</v>
      </c>
      <c r="N232" s="32" t="s">
        <v>276</v>
      </c>
      <c r="O232" s="32" t="s">
        <v>744</v>
      </c>
      <c r="P232" s="32" t="s">
        <v>745</v>
      </c>
      <c r="Q232" s="14" t="n">
        <v>7.5</v>
      </c>
      <c r="R232" s="32" t="s">
        <v>271</v>
      </c>
      <c r="S232" s="32" t="s">
        <v>272</v>
      </c>
      <c r="T232" s="49" t="s">
        <v>258</v>
      </c>
      <c r="U232" s="49" t="s">
        <v>259</v>
      </c>
      <c r="V232" s="49" t="s">
        <v>259</v>
      </c>
      <c r="W232" s="14" t="s">
        <v>260</v>
      </c>
      <c r="X232" s="14"/>
      <c r="Y232" s="48" t="s">
        <v>273</v>
      </c>
    </row>
    <row r="233" customFormat="false" ht="126.75" hidden="false" customHeight="true" outlineLevel="0" collapsed="false">
      <c r="A233" s="33" t="n">
        <v>228</v>
      </c>
      <c r="B233" s="34" t="n">
        <f aca="false">सारांश!$B$4+A233-1</f>
        <v>46568</v>
      </c>
      <c r="C233" s="33" t="str">
        <f aca="false">CHOOSE(WEEKDAY(B233,2),"सोमवार","मंगलवार","बुधवार","गुरुवार","शुक्रवार","शनिवार","रविवार")</f>
        <v>बुधवार</v>
      </c>
      <c r="D233" s="33" t="n">
        <f aca="false">IF(A233=1,0,INT((A233-2)/7)+1)</f>
        <v>33</v>
      </c>
      <c r="E233" s="33" t="n">
        <f aca="false">(YEAR(B233)-YEAR(सारांश!$B$4))*12+MONTH(B233)-MONTH(सारांश!$B$4)+IF(DAY(B233)&gt;=DAY(सारांश!$B$4),1,0)</f>
        <v>8</v>
      </c>
      <c r="F233" s="35" t="s">
        <v>18</v>
      </c>
      <c r="G233" s="14" t="s">
        <v>261</v>
      </c>
      <c r="H233" s="32" t="s">
        <v>821</v>
      </c>
      <c r="I233" s="32" t="s">
        <v>393</v>
      </c>
      <c r="J233" s="48" t="s">
        <v>394</v>
      </c>
      <c r="K233" s="48" t="s">
        <v>265</v>
      </c>
      <c r="L233" s="14" t="s">
        <v>266</v>
      </c>
      <c r="M233" s="32" t="s">
        <v>822</v>
      </c>
      <c r="N233" s="32" t="s">
        <v>279</v>
      </c>
      <c r="O233" s="32" t="s">
        <v>744</v>
      </c>
      <c r="P233" s="32" t="s">
        <v>745</v>
      </c>
      <c r="Q233" s="14" t="n">
        <v>7.5</v>
      </c>
      <c r="R233" s="32" t="s">
        <v>271</v>
      </c>
      <c r="S233" s="32" t="s">
        <v>272</v>
      </c>
      <c r="T233" s="49" t="s">
        <v>258</v>
      </c>
      <c r="U233" s="49" t="s">
        <v>259</v>
      </c>
      <c r="V233" s="49" t="s">
        <v>259</v>
      </c>
      <c r="W233" s="14" t="s">
        <v>260</v>
      </c>
      <c r="X233" s="14"/>
      <c r="Y233" s="48" t="s">
        <v>273</v>
      </c>
    </row>
    <row r="234" customFormat="false" ht="126.75" hidden="false" customHeight="true" outlineLevel="0" collapsed="false">
      <c r="A234" s="33" t="n">
        <v>229</v>
      </c>
      <c r="B234" s="34" t="n">
        <f aca="false">सारांश!$B$4+A234-1</f>
        <v>46569</v>
      </c>
      <c r="C234" s="33" t="str">
        <f aca="false">CHOOSE(WEEKDAY(B234,2),"सोमवार","मंगलवार","बुधवार","गुरुवार","शुक्रवार","शनिवार","रविवार")</f>
        <v>गुरुवार</v>
      </c>
      <c r="D234" s="33" t="n">
        <f aca="false">IF(A234=1,0,INT((A234-2)/7)+1)</f>
        <v>33</v>
      </c>
      <c r="E234" s="33" t="n">
        <f aca="false">(YEAR(B234)-YEAR(सारांश!$B$4))*12+MONTH(B234)-MONTH(सारांश!$B$4)+IF(DAY(B234)&gt;=DAY(सारांश!$B$4),1,0)</f>
        <v>8</v>
      </c>
      <c r="F234" s="35" t="s">
        <v>18</v>
      </c>
      <c r="G234" s="14" t="s">
        <v>261</v>
      </c>
      <c r="H234" s="32" t="s">
        <v>823</v>
      </c>
      <c r="I234" s="32" t="s">
        <v>393</v>
      </c>
      <c r="J234" s="48" t="s">
        <v>394</v>
      </c>
      <c r="K234" s="48" t="s">
        <v>265</v>
      </c>
      <c r="L234" s="14" t="s">
        <v>266</v>
      </c>
      <c r="M234" s="32" t="s">
        <v>824</v>
      </c>
      <c r="N234" s="32" t="s">
        <v>284</v>
      </c>
      <c r="O234" s="32" t="s">
        <v>744</v>
      </c>
      <c r="P234" s="32" t="s">
        <v>745</v>
      </c>
      <c r="Q234" s="14" t="n">
        <v>7.5</v>
      </c>
      <c r="R234" s="32" t="s">
        <v>271</v>
      </c>
      <c r="S234" s="32" t="s">
        <v>272</v>
      </c>
      <c r="T234" s="49" t="s">
        <v>258</v>
      </c>
      <c r="U234" s="49" t="s">
        <v>259</v>
      </c>
      <c r="V234" s="49" t="s">
        <v>259</v>
      </c>
      <c r="W234" s="14" t="s">
        <v>260</v>
      </c>
      <c r="X234" s="14"/>
      <c r="Y234" s="48" t="s">
        <v>273</v>
      </c>
    </row>
    <row r="235" customFormat="false" ht="126.75" hidden="false" customHeight="true" outlineLevel="0" collapsed="false">
      <c r="A235" s="33" t="n">
        <v>230</v>
      </c>
      <c r="B235" s="34" t="n">
        <f aca="false">सारांश!$B$4+A235-1</f>
        <v>46570</v>
      </c>
      <c r="C235" s="33" t="str">
        <f aca="false">CHOOSE(WEEKDAY(B235,2),"सोमवार","मंगलवार","बुधवार","गुरुवार","शुक्रवार","शनिवार","रविवार")</f>
        <v>शुक्रवार</v>
      </c>
      <c r="D235" s="33" t="n">
        <f aca="false">IF(A235=1,0,INT((A235-2)/7)+1)</f>
        <v>33</v>
      </c>
      <c r="E235" s="33" t="n">
        <f aca="false">(YEAR(B235)-YEAR(सारांश!$B$4))*12+MONTH(B235)-MONTH(सारांश!$B$4)+IF(DAY(B235)&gt;=DAY(सारांश!$B$4),1,0)</f>
        <v>8</v>
      </c>
      <c r="F235" s="35" t="s">
        <v>18</v>
      </c>
      <c r="G235" s="14" t="s">
        <v>261</v>
      </c>
      <c r="H235" s="32" t="s">
        <v>825</v>
      </c>
      <c r="I235" s="32" t="s">
        <v>393</v>
      </c>
      <c r="J235" s="48" t="s">
        <v>394</v>
      </c>
      <c r="K235" s="48" t="s">
        <v>265</v>
      </c>
      <c r="L235" s="14" t="s">
        <v>561</v>
      </c>
      <c r="M235" s="32" t="s">
        <v>826</v>
      </c>
      <c r="N235" s="32" t="s">
        <v>287</v>
      </c>
      <c r="O235" s="32" t="s">
        <v>744</v>
      </c>
      <c r="P235" s="32" t="s">
        <v>745</v>
      </c>
      <c r="Q235" s="14" t="n">
        <v>7.5</v>
      </c>
      <c r="R235" s="32" t="s">
        <v>271</v>
      </c>
      <c r="S235" s="32" t="s">
        <v>563</v>
      </c>
      <c r="T235" s="49" t="s">
        <v>258</v>
      </c>
      <c r="U235" s="49" t="s">
        <v>259</v>
      </c>
      <c r="V235" s="49" t="s">
        <v>259</v>
      </c>
      <c r="W235" s="14" t="s">
        <v>260</v>
      </c>
      <c r="X235" s="14"/>
      <c r="Y235" s="48" t="s">
        <v>273</v>
      </c>
    </row>
    <row r="236" customFormat="false" ht="126.75" hidden="false" customHeight="true" outlineLevel="0" collapsed="false">
      <c r="A236" s="33" t="n">
        <v>231</v>
      </c>
      <c r="B236" s="34" t="n">
        <f aca="false">सारांश!$B$4+A236-1</f>
        <v>46571</v>
      </c>
      <c r="C236" s="33" t="str">
        <f aca="false">CHOOSE(WEEKDAY(B236,2),"सोमवार","मंगलवार","बुधवार","गुरुवार","शुक्रवार","शनिवार","रविवार")</f>
        <v>शनिवार</v>
      </c>
      <c r="D236" s="33" t="n">
        <f aca="false">IF(A236=1,0,INT((A236-2)/7)+1)</f>
        <v>33</v>
      </c>
      <c r="E236" s="33" t="n">
        <f aca="false">(YEAR(B236)-YEAR(सारांश!$B$4))*12+MONTH(B236)-MONTH(सारांश!$B$4)+IF(DAY(B236)&gt;=DAY(सारांश!$B$4),1,0)</f>
        <v>8</v>
      </c>
      <c r="F236" s="35" t="s">
        <v>18</v>
      </c>
      <c r="G236" s="14" t="s">
        <v>261</v>
      </c>
      <c r="H236" s="32" t="s">
        <v>827</v>
      </c>
      <c r="I236" s="32" t="s">
        <v>405</v>
      </c>
      <c r="J236" s="48" t="s">
        <v>406</v>
      </c>
      <c r="K236" s="48" t="s">
        <v>265</v>
      </c>
      <c r="L236" s="14" t="s">
        <v>561</v>
      </c>
      <c r="M236" s="32" t="s">
        <v>828</v>
      </c>
      <c r="N236" s="32" t="s">
        <v>290</v>
      </c>
      <c r="O236" s="32" t="s">
        <v>744</v>
      </c>
      <c r="P236" s="32" t="s">
        <v>745</v>
      </c>
      <c r="Q236" s="14" t="n">
        <v>7.5</v>
      </c>
      <c r="R236" s="32" t="s">
        <v>271</v>
      </c>
      <c r="S236" s="32" t="s">
        <v>563</v>
      </c>
      <c r="T236" s="49" t="s">
        <v>258</v>
      </c>
      <c r="U236" s="49" t="s">
        <v>259</v>
      </c>
      <c r="V236" s="49" t="s">
        <v>259</v>
      </c>
      <c r="W236" s="14" t="s">
        <v>260</v>
      </c>
      <c r="X236" s="14"/>
      <c r="Y236" s="48" t="s">
        <v>273</v>
      </c>
    </row>
    <row r="237" customFormat="false" ht="93" hidden="false" customHeight="true" outlineLevel="0" collapsed="false">
      <c r="A237" s="50" t="n">
        <v>232</v>
      </c>
      <c r="B237" s="51" t="n">
        <f aca="false">सारांश!$B$4+A237-1</f>
        <v>46572</v>
      </c>
      <c r="C237" s="50" t="str">
        <f aca="false">CHOOSE(WEEKDAY(B237,2),"सोमवार","मंगलवार","बुधवार","गुरुवार","शुक्रवार","शनिवार","रविवार")</f>
        <v>रविवार</v>
      </c>
      <c r="D237" s="50" t="n">
        <f aca="false">IF(A237=1,0,INT((A237-2)/7)+1)</f>
        <v>33</v>
      </c>
      <c r="E237" s="50" t="n">
        <f aca="false">(YEAR(B237)-YEAR(सारांश!$B$4))*12+MONTH(B237)-MONTH(सारांश!$B$4)+IF(DAY(B237)&gt;=DAY(सारांश!$B$4),1,0)</f>
        <v>8</v>
      </c>
      <c r="F237" s="52" t="s">
        <v>18</v>
      </c>
      <c r="G237" s="50" t="s">
        <v>291</v>
      </c>
      <c r="H237" s="52" t="s">
        <v>127</v>
      </c>
      <c r="I237" s="52" t="s">
        <v>408</v>
      </c>
      <c r="J237" s="53" t="s">
        <v>293</v>
      </c>
      <c r="K237" s="53" t="s">
        <v>294</v>
      </c>
      <c r="L237" s="50" t="s">
        <v>295</v>
      </c>
      <c r="M237" s="52" t="s">
        <v>296</v>
      </c>
      <c r="N237" s="52" t="s">
        <v>297</v>
      </c>
      <c r="O237" s="52" t="s">
        <v>756</v>
      </c>
      <c r="P237" s="52" t="s">
        <v>299</v>
      </c>
      <c r="Q237" s="50" t="n">
        <v>6</v>
      </c>
      <c r="R237" s="52" t="s">
        <v>300</v>
      </c>
      <c r="S237" s="52" t="s">
        <v>257</v>
      </c>
      <c r="T237" s="54" t="s">
        <v>258</v>
      </c>
      <c r="U237" s="54" t="s">
        <v>259</v>
      </c>
      <c r="V237" s="54" t="s">
        <v>259</v>
      </c>
      <c r="W237" s="50" t="s">
        <v>260</v>
      </c>
      <c r="X237" s="50"/>
    </row>
    <row r="238" customFormat="false" ht="126.75" hidden="false" customHeight="true" outlineLevel="0" collapsed="false">
      <c r="A238" s="33" t="n">
        <v>233</v>
      </c>
      <c r="B238" s="34" t="n">
        <f aca="false">सारांश!$B$4+A238-1</f>
        <v>46573</v>
      </c>
      <c r="C238" s="33" t="str">
        <f aca="false">CHOOSE(WEEKDAY(B238,2),"सोमवार","मंगलवार","बुधवार","गुरुवार","शुक्रवार","शनिवार","रविवार")</f>
        <v>सोमवार</v>
      </c>
      <c r="D238" s="33" t="n">
        <f aca="false">IF(A238=1,0,INT((A238-2)/7)+1)</f>
        <v>34</v>
      </c>
      <c r="E238" s="33" t="n">
        <f aca="false">(YEAR(B238)-YEAR(सारांश!$B$4))*12+MONTH(B238)-MONTH(सारांश!$B$4)+IF(DAY(B238)&gt;=DAY(सारांश!$B$4),1,0)</f>
        <v>8</v>
      </c>
      <c r="F238" s="35" t="s">
        <v>18</v>
      </c>
      <c r="G238" s="14" t="s">
        <v>261</v>
      </c>
      <c r="H238" s="32" t="s">
        <v>829</v>
      </c>
      <c r="I238" s="32" t="s">
        <v>405</v>
      </c>
      <c r="J238" s="48" t="s">
        <v>406</v>
      </c>
      <c r="K238" s="48" t="s">
        <v>265</v>
      </c>
      <c r="L238" s="14" t="s">
        <v>561</v>
      </c>
      <c r="M238" s="32" t="s">
        <v>830</v>
      </c>
      <c r="N238" s="32" t="s">
        <v>268</v>
      </c>
      <c r="O238" s="32" t="s">
        <v>744</v>
      </c>
      <c r="P238" s="32" t="s">
        <v>745</v>
      </c>
      <c r="Q238" s="14" t="n">
        <v>7.5</v>
      </c>
      <c r="R238" s="32" t="s">
        <v>271</v>
      </c>
      <c r="S238" s="32" t="s">
        <v>563</v>
      </c>
      <c r="T238" s="49" t="s">
        <v>258</v>
      </c>
      <c r="U238" s="49" t="s">
        <v>259</v>
      </c>
      <c r="V238" s="49" t="s">
        <v>259</v>
      </c>
      <c r="W238" s="14" t="s">
        <v>260</v>
      </c>
      <c r="X238" s="14"/>
      <c r="Y238" s="48" t="s">
        <v>273</v>
      </c>
    </row>
    <row r="239" customFormat="false" ht="126.75" hidden="false" customHeight="true" outlineLevel="0" collapsed="false">
      <c r="A239" s="33" t="n">
        <v>234</v>
      </c>
      <c r="B239" s="34" t="n">
        <f aca="false">सारांश!$B$4+A239-1</f>
        <v>46574</v>
      </c>
      <c r="C239" s="33" t="str">
        <f aca="false">CHOOSE(WEEKDAY(B239,2),"सोमवार","मंगलवार","बुधवार","गुरुवार","शुक्रवार","शनिवार","रविवार")</f>
        <v>मंगलवार</v>
      </c>
      <c r="D239" s="33" t="n">
        <f aca="false">IF(A239=1,0,INT((A239-2)/7)+1)</f>
        <v>34</v>
      </c>
      <c r="E239" s="33" t="n">
        <f aca="false">(YEAR(B239)-YEAR(सारांश!$B$4))*12+MONTH(B239)-MONTH(सारांश!$B$4)+IF(DAY(B239)&gt;=DAY(सारांश!$B$4),1,0)</f>
        <v>8</v>
      </c>
      <c r="F239" s="35" t="s">
        <v>18</v>
      </c>
      <c r="G239" s="14" t="s">
        <v>261</v>
      </c>
      <c r="H239" s="32" t="s">
        <v>831</v>
      </c>
      <c r="I239" s="32" t="s">
        <v>405</v>
      </c>
      <c r="J239" s="48" t="s">
        <v>406</v>
      </c>
      <c r="K239" s="48" t="s">
        <v>265</v>
      </c>
      <c r="L239" s="14" t="s">
        <v>561</v>
      </c>
      <c r="M239" s="32" t="s">
        <v>832</v>
      </c>
      <c r="N239" s="32" t="s">
        <v>276</v>
      </c>
      <c r="O239" s="32" t="s">
        <v>744</v>
      </c>
      <c r="P239" s="32" t="s">
        <v>745</v>
      </c>
      <c r="Q239" s="14" t="n">
        <v>7.5</v>
      </c>
      <c r="R239" s="32" t="s">
        <v>271</v>
      </c>
      <c r="S239" s="32" t="s">
        <v>563</v>
      </c>
      <c r="T239" s="49" t="s">
        <v>258</v>
      </c>
      <c r="U239" s="49" t="s">
        <v>259</v>
      </c>
      <c r="V239" s="49" t="s">
        <v>259</v>
      </c>
      <c r="W239" s="14" t="s">
        <v>260</v>
      </c>
      <c r="X239" s="14"/>
      <c r="Y239" s="48" t="s">
        <v>273</v>
      </c>
    </row>
    <row r="240" customFormat="false" ht="126.75" hidden="false" customHeight="true" outlineLevel="0" collapsed="false">
      <c r="A240" s="33" t="n">
        <v>235</v>
      </c>
      <c r="B240" s="34" t="n">
        <f aca="false">सारांश!$B$4+A240-1</f>
        <v>46575</v>
      </c>
      <c r="C240" s="33" t="str">
        <f aca="false">CHOOSE(WEEKDAY(B240,2),"सोमवार","मंगलवार","बुधवार","गुरुवार","शुक्रवार","शनिवार","रविवार")</f>
        <v>बुधवार</v>
      </c>
      <c r="D240" s="33" t="n">
        <f aca="false">IF(A240=1,0,INT((A240-2)/7)+1)</f>
        <v>34</v>
      </c>
      <c r="E240" s="33" t="n">
        <f aca="false">(YEAR(B240)-YEAR(सारांश!$B$4))*12+MONTH(B240)-MONTH(सारांश!$B$4)+IF(DAY(B240)&gt;=DAY(सारांश!$B$4),1,0)</f>
        <v>8</v>
      </c>
      <c r="F240" s="35" t="s">
        <v>18</v>
      </c>
      <c r="G240" s="14" t="s">
        <v>261</v>
      </c>
      <c r="H240" s="32" t="s">
        <v>833</v>
      </c>
      <c r="I240" s="32" t="s">
        <v>414</v>
      </c>
      <c r="J240" s="48" t="s">
        <v>415</v>
      </c>
      <c r="K240" s="48" t="s">
        <v>265</v>
      </c>
      <c r="L240" s="14" t="s">
        <v>561</v>
      </c>
      <c r="M240" s="32" t="s">
        <v>834</v>
      </c>
      <c r="N240" s="32" t="s">
        <v>279</v>
      </c>
      <c r="O240" s="32" t="s">
        <v>744</v>
      </c>
      <c r="P240" s="32" t="s">
        <v>745</v>
      </c>
      <c r="Q240" s="14" t="n">
        <v>7.5</v>
      </c>
      <c r="R240" s="32" t="s">
        <v>271</v>
      </c>
      <c r="S240" s="32" t="s">
        <v>563</v>
      </c>
      <c r="T240" s="49" t="s">
        <v>258</v>
      </c>
      <c r="U240" s="49" t="s">
        <v>259</v>
      </c>
      <c r="V240" s="49" t="s">
        <v>259</v>
      </c>
      <c r="W240" s="14" t="s">
        <v>260</v>
      </c>
      <c r="X240" s="14"/>
      <c r="Y240" s="48" t="s">
        <v>273</v>
      </c>
    </row>
    <row r="241" customFormat="false" ht="126.75" hidden="false" customHeight="true" outlineLevel="0" collapsed="false">
      <c r="A241" s="33" t="n">
        <v>236</v>
      </c>
      <c r="B241" s="34" t="n">
        <f aca="false">सारांश!$B$4+A241-1</f>
        <v>46576</v>
      </c>
      <c r="C241" s="33" t="str">
        <f aca="false">CHOOSE(WEEKDAY(B241,2),"सोमवार","मंगलवार","बुधवार","गुरुवार","शुक्रवार","शनिवार","रविवार")</f>
        <v>गुरुवार</v>
      </c>
      <c r="D241" s="33" t="n">
        <f aca="false">IF(A241=1,0,INT((A241-2)/7)+1)</f>
        <v>34</v>
      </c>
      <c r="E241" s="33" t="n">
        <f aca="false">(YEAR(B241)-YEAR(सारांश!$B$4))*12+MONTH(B241)-MONTH(सारांश!$B$4)+IF(DAY(B241)&gt;=DAY(सारांश!$B$4),1,0)</f>
        <v>8</v>
      </c>
      <c r="F241" s="35" t="s">
        <v>18</v>
      </c>
      <c r="G241" s="14" t="s">
        <v>261</v>
      </c>
      <c r="H241" s="32" t="s">
        <v>835</v>
      </c>
      <c r="I241" s="32" t="s">
        <v>418</v>
      </c>
      <c r="J241" s="48" t="s">
        <v>419</v>
      </c>
      <c r="K241" s="48" t="s">
        <v>265</v>
      </c>
      <c r="L241" s="14" t="s">
        <v>561</v>
      </c>
      <c r="M241" s="32" t="s">
        <v>836</v>
      </c>
      <c r="N241" s="32" t="s">
        <v>284</v>
      </c>
      <c r="O241" s="32" t="s">
        <v>744</v>
      </c>
      <c r="P241" s="32" t="s">
        <v>745</v>
      </c>
      <c r="Q241" s="14" t="n">
        <v>7.5</v>
      </c>
      <c r="R241" s="32" t="s">
        <v>271</v>
      </c>
      <c r="S241" s="32" t="s">
        <v>563</v>
      </c>
      <c r="T241" s="49" t="s">
        <v>258</v>
      </c>
      <c r="U241" s="49" t="s">
        <v>259</v>
      </c>
      <c r="V241" s="49" t="s">
        <v>259</v>
      </c>
      <c r="W241" s="14" t="s">
        <v>260</v>
      </c>
      <c r="X241" s="14"/>
      <c r="Y241" s="48" t="s">
        <v>273</v>
      </c>
    </row>
    <row r="242" customFormat="false" ht="126.75" hidden="false" customHeight="true" outlineLevel="0" collapsed="false">
      <c r="A242" s="33" t="n">
        <v>237</v>
      </c>
      <c r="B242" s="34" t="n">
        <f aca="false">सारांश!$B$4+A242-1</f>
        <v>46577</v>
      </c>
      <c r="C242" s="33" t="str">
        <f aca="false">CHOOSE(WEEKDAY(B242,2),"सोमवार","मंगलवार","बुधवार","गुरुवार","शुक्रवार","शनिवार","रविवार")</f>
        <v>शुक्रवार</v>
      </c>
      <c r="D242" s="33" t="n">
        <f aca="false">IF(A242=1,0,INT((A242-2)/7)+1)</f>
        <v>34</v>
      </c>
      <c r="E242" s="33" t="n">
        <f aca="false">(YEAR(B242)-YEAR(सारांश!$B$4))*12+MONTH(B242)-MONTH(सारांश!$B$4)+IF(DAY(B242)&gt;=DAY(सारांश!$B$4),1,0)</f>
        <v>8</v>
      </c>
      <c r="F242" s="35" t="s">
        <v>18</v>
      </c>
      <c r="G242" s="14" t="s">
        <v>261</v>
      </c>
      <c r="H242" s="32" t="s">
        <v>837</v>
      </c>
      <c r="I242" s="32" t="s">
        <v>418</v>
      </c>
      <c r="J242" s="48" t="s">
        <v>419</v>
      </c>
      <c r="K242" s="48" t="s">
        <v>265</v>
      </c>
      <c r="L242" s="14" t="s">
        <v>561</v>
      </c>
      <c r="M242" s="32" t="s">
        <v>838</v>
      </c>
      <c r="N242" s="32" t="s">
        <v>287</v>
      </c>
      <c r="O242" s="32" t="s">
        <v>744</v>
      </c>
      <c r="P242" s="32" t="s">
        <v>745</v>
      </c>
      <c r="Q242" s="14" t="n">
        <v>7.5</v>
      </c>
      <c r="R242" s="32" t="s">
        <v>271</v>
      </c>
      <c r="S242" s="32" t="s">
        <v>563</v>
      </c>
      <c r="T242" s="49" t="s">
        <v>258</v>
      </c>
      <c r="U242" s="49" t="s">
        <v>259</v>
      </c>
      <c r="V242" s="49" t="s">
        <v>259</v>
      </c>
      <c r="W242" s="14" t="s">
        <v>260</v>
      </c>
      <c r="X242" s="14"/>
      <c r="Y242" s="48" t="s">
        <v>273</v>
      </c>
    </row>
    <row r="243" customFormat="false" ht="126.75" hidden="false" customHeight="true" outlineLevel="0" collapsed="false">
      <c r="A243" s="33" t="n">
        <v>238</v>
      </c>
      <c r="B243" s="34" t="n">
        <f aca="false">सारांश!$B$4+A243-1</f>
        <v>46578</v>
      </c>
      <c r="C243" s="33" t="str">
        <f aca="false">CHOOSE(WEEKDAY(B243,2),"सोमवार","मंगलवार","बुधवार","गुरुवार","शुक्रवार","शनिवार","रविवार")</f>
        <v>शनिवार</v>
      </c>
      <c r="D243" s="33" t="n">
        <f aca="false">IF(A243=1,0,INT((A243-2)/7)+1)</f>
        <v>34</v>
      </c>
      <c r="E243" s="33" t="n">
        <f aca="false">(YEAR(B243)-YEAR(सारांश!$B$4))*12+MONTH(B243)-MONTH(सारांश!$B$4)+IF(DAY(B243)&gt;=DAY(सारांश!$B$4),1,0)</f>
        <v>8</v>
      </c>
      <c r="F243" s="35" t="s">
        <v>18</v>
      </c>
      <c r="G243" s="14" t="s">
        <v>261</v>
      </c>
      <c r="H243" s="32" t="s">
        <v>839</v>
      </c>
      <c r="I243" s="32" t="s">
        <v>418</v>
      </c>
      <c r="J243" s="48" t="s">
        <v>419</v>
      </c>
      <c r="K243" s="48" t="s">
        <v>265</v>
      </c>
      <c r="L243" s="14" t="s">
        <v>561</v>
      </c>
      <c r="M243" s="32" t="s">
        <v>840</v>
      </c>
      <c r="N243" s="32" t="s">
        <v>290</v>
      </c>
      <c r="O243" s="32" t="s">
        <v>744</v>
      </c>
      <c r="P243" s="32" t="s">
        <v>745</v>
      </c>
      <c r="Q243" s="14" t="n">
        <v>7.5</v>
      </c>
      <c r="R243" s="32" t="s">
        <v>271</v>
      </c>
      <c r="S243" s="32" t="s">
        <v>563</v>
      </c>
      <c r="T243" s="49" t="s">
        <v>258</v>
      </c>
      <c r="U243" s="49" t="s">
        <v>259</v>
      </c>
      <c r="V243" s="49" t="s">
        <v>259</v>
      </c>
      <c r="W243" s="14" t="s">
        <v>260</v>
      </c>
      <c r="X243" s="14"/>
      <c r="Y243" s="48" t="s">
        <v>273</v>
      </c>
    </row>
    <row r="244" customFormat="false" ht="93" hidden="false" customHeight="true" outlineLevel="0" collapsed="false">
      <c r="A244" s="50" t="n">
        <v>239</v>
      </c>
      <c r="B244" s="51" t="n">
        <f aca="false">सारांश!$B$4+A244-1</f>
        <v>46579</v>
      </c>
      <c r="C244" s="50" t="str">
        <f aca="false">CHOOSE(WEEKDAY(B244,2),"सोमवार","मंगलवार","बुधवार","गुरुवार","शुक्रवार","शनिवार","रविवार")</f>
        <v>रविवार</v>
      </c>
      <c r="D244" s="50" t="n">
        <f aca="false">IF(A244=1,0,INT((A244-2)/7)+1)</f>
        <v>34</v>
      </c>
      <c r="E244" s="50" t="n">
        <f aca="false">(YEAR(B244)-YEAR(सारांश!$B$4))*12+MONTH(B244)-MONTH(सारांश!$B$4)+IF(DAY(B244)&gt;=DAY(सारांश!$B$4),1,0)</f>
        <v>8</v>
      </c>
      <c r="F244" s="52" t="s">
        <v>18</v>
      </c>
      <c r="G244" s="50" t="s">
        <v>291</v>
      </c>
      <c r="H244" s="52" t="s">
        <v>127</v>
      </c>
      <c r="I244" s="52" t="s">
        <v>425</v>
      </c>
      <c r="J244" s="53" t="s">
        <v>293</v>
      </c>
      <c r="K244" s="53" t="s">
        <v>294</v>
      </c>
      <c r="L244" s="50" t="s">
        <v>295</v>
      </c>
      <c r="M244" s="52" t="s">
        <v>296</v>
      </c>
      <c r="N244" s="52" t="s">
        <v>297</v>
      </c>
      <c r="O244" s="52" t="s">
        <v>756</v>
      </c>
      <c r="P244" s="52" t="s">
        <v>299</v>
      </c>
      <c r="Q244" s="50" t="n">
        <v>6</v>
      </c>
      <c r="R244" s="52" t="s">
        <v>300</v>
      </c>
      <c r="S244" s="52" t="s">
        <v>257</v>
      </c>
      <c r="T244" s="54" t="s">
        <v>258</v>
      </c>
      <c r="U244" s="54" t="s">
        <v>259</v>
      </c>
      <c r="V244" s="54" t="s">
        <v>259</v>
      </c>
      <c r="W244" s="50" t="s">
        <v>260</v>
      </c>
      <c r="X244" s="50"/>
    </row>
    <row r="245" customFormat="false" ht="126.75" hidden="false" customHeight="true" outlineLevel="0" collapsed="false">
      <c r="A245" s="33" t="n">
        <v>240</v>
      </c>
      <c r="B245" s="34" t="n">
        <f aca="false">सारांश!$B$4+A245-1</f>
        <v>46580</v>
      </c>
      <c r="C245" s="33" t="str">
        <f aca="false">CHOOSE(WEEKDAY(B245,2),"सोमवार","मंगलवार","बुधवार","गुरुवार","शुक्रवार","शनिवार","रविवार")</f>
        <v>सोमवार</v>
      </c>
      <c r="D245" s="33" t="n">
        <f aca="false">IF(A245=1,0,INT((A245-2)/7)+1)</f>
        <v>35</v>
      </c>
      <c r="E245" s="33" t="n">
        <f aca="false">(YEAR(B245)-YEAR(सारांश!$B$4))*12+MONTH(B245)-MONTH(सारांश!$B$4)+IF(DAY(B245)&gt;=DAY(सारांश!$B$4),1,0)</f>
        <v>8</v>
      </c>
      <c r="F245" s="35" t="s">
        <v>18</v>
      </c>
      <c r="G245" s="14" t="s">
        <v>261</v>
      </c>
      <c r="H245" s="32" t="s">
        <v>841</v>
      </c>
      <c r="I245" s="32" t="s">
        <v>427</v>
      </c>
      <c r="J245" s="48" t="s">
        <v>428</v>
      </c>
      <c r="K245" s="48" t="s">
        <v>265</v>
      </c>
      <c r="L245" s="14" t="s">
        <v>561</v>
      </c>
      <c r="M245" s="32" t="s">
        <v>842</v>
      </c>
      <c r="N245" s="32" t="s">
        <v>268</v>
      </c>
      <c r="O245" s="32" t="s">
        <v>744</v>
      </c>
      <c r="P245" s="32" t="s">
        <v>745</v>
      </c>
      <c r="Q245" s="14" t="n">
        <v>7.5</v>
      </c>
      <c r="R245" s="32" t="s">
        <v>271</v>
      </c>
      <c r="S245" s="32" t="s">
        <v>563</v>
      </c>
      <c r="T245" s="49" t="s">
        <v>258</v>
      </c>
      <c r="U245" s="49" t="s">
        <v>259</v>
      </c>
      <c r="V245" s="49" t="s">
        <v>259</v>
      </c>
      <c r="W245" s="14" t="s">
        <v>260</v>
      </c>
      <c r="X245" s="14"/>
      <c r="Y245" s="48" t="s">
        <v>273</v>
      </c>
    </row>
    <row r="246" customFormat="false" ht="126.75" hidden="false" customHeight="true" outlineLevel="0" collapsed="false">
      <c r="A246" s="33" t="n">
        <v>241</v>
      </c>
      <c r="B246" s="34" t="n">
        <f aca="false">सारांश!$B$4+A246-1</f>
        <v>46581</v>
      </c>
      <c r="C246" s="33" t="str">
        <f aca="false">CHOOSE(WEEKDAY(B246,2),"सोमवार","मंगलवार","बुधवार","गुरुवार","शुक्रवार","शनिवार","रविवार")</f>
        <v>मंगलवार</v>
      </c>
      <c r="D246" s="33" t="n">
        <f aca="false">IF(A246=1,0,INT((A246-2)/7)+1)</f>
        <v>35</v>
      </c>
      <c r="E246" s="33" t="n">
        <f aca="false">(YEAR(B246)-YEAR(सारांश!$B$4))*12+MONTH(B246)-MONTH(सारांश!$B$4)+IF(DAY(B246)&gt;=DAY(सारांश!$B$4),1,0)</f>
        <v>8</v>
      </c>
      <c r="F246" s="35" t="s">
        <v>18</v>
      </c>
      <c r="G246" s="14" t="s">
        <v>261</v>
      </c>
      <c r="H246" s="32" t="s">
        <v>843</v>
      </c>
      <c r="I246" s="32" t="s">
        <v>427</v>
      </c>
      <c r="J246" s="48" t="s">
        <v>428</v>
      </c>
      <c r="K246" s="48" t="s">
        <v>265</v>
      </c>
      <c r="L246" s="14" t="s">
        <v>561</v>
      </c>
      <c r="M246" s="32" t="s">
        <v>844</v>
      </c>
      <c r="N246" s="32" t="s">
        <v>276</v>
      </c>
      <c r="O246" s="32" t="s">
        <v>744</v>
      </c>
      <c r="P246" s="32" t="s">
        <v>745</v>
      </c>
      <c r="Q246" s="14" t="n">
        <v>7.5</v>
      </c>
      <c r="R246" s="32" t="s">
        <v>271</v>
      </c>
      <c r="S246" s="32" t="s">
        <v>563</v>
      </c>
      <c r="T246" s="49" t="s">
        <v>258</v>
      </c>
      <c r="U246" s="49" t="s">
        <v>259</v>
      </c>
      <c r="V246" s="49" t="s">
        <v>259</v>
      </c>
      <c r="W246" s="14" t="s">
        <v>260</v>
      </c>
      <c r="X246" s="14"/>
      <c r="Y246" s="48" t="s">
        <v>273</v>
      </c>
    </row>
    <row r="247" customFormat="false" ht="126.75" hidden="false" customHeight="true" outlineLevel="0" collapsed="false">
      <c r="A247" s="33" t="n">
        <v>242</v>
      </c>
      <c r="B247" s="34" t="n">
        <f aca="false">सारांश!$B$4+A247-1</f>
        <v>46582</v>
      </c>
      <c r="C247" s="33" t="str">
        <f aca="false">CHOOSE(WEEKDAY(B247,2),"सोमवार","मंगलवार","बुधवार","गुरुवार","शुक्रवार","शनिवार","रविवार")</f>
        <v>बुधवार</v>
      </c>
      <c r="D247" s="33" t="n">
        <f aca="false">IF(A247=1,0,INT((A247-2)/7)+1)</f>
        <v>35</v>
      </c>
      <c r="E247" s="33" t="n">
        <f aca="false">(YEAR(B247)-YEAR(सारांश!$B$4))*12+MONTH(B247)-MONTH(सारांश!$B$4)+IF(DAY(B247)&gt;=DAY(सारांश!$B$4),1,0)</f>
        <v>8</v>
      </c>
      <c r="F247" s="35" t="s">
        <v>18</v>
      </c>
      <c r="G247" s="14" t="s">
        <v>261</v>
      </c>
      <c r="H247" s="32" t="s">
        <v>845</v>
      </c>
      <c r="I247" s="32" t="s">
        <v>427</v>
      </c>
      <c r="J247" s="48" t="s">
        <v>428</v>
      </c>
      <c r="K247" s="48" t="s">
        <v>265</v>
      </c>
      <c r="L247" s="14" t="s">
        <v>561</v>
      </c>
      <c r="M247" s="32" t="s">
        <v>846</v>
      </c>
      <c r="N247" s="32" t="s">
        <v>279</v>
      </c>
      <c r="O247" s="32" t="s">
        <v>744</v>
      </c>
      <c r="P247" s="32" t="s">
        <v>745</v>
      </c>
      <c r="Q247" s="14" t="n">
        <v>7.5</v>
      </c>
      <c r="R247" s="32" t="s">
        <v>271</v>
      </c>
      <c r="S247" s="32" t="s">
        <v>563</v>
      </c>
      <c r="T247" s="49" t="s">
        <v>258</v>
      </c>
      <c r="U247" s="49" t="s">
        <v>259</v>
      </c>
      <c r="V247" s="49" t="s">
        <v>259</v>
      </c>
      <c r="W247" s="14" t="s">
        <v>260</v>
      </c>
      <c r="X247" s="14"/>
      <c r="Y247" s="48" t="s">
        <v>273</v>
      </c>
    </row>
    <row r="248" customFormat="false" ht="126.75" hidden="false" customHeight="true" outlineLevel="0" collapsed="false">
      <c r="A248" s="33" t="n">
        <v>243</v>
      </c>
      <c r="B248" s="34" t="n">
        <f aca="false">सारांश!$B$4+A248-1</f>
        <v>46583</v>
      </c>
      <c r="C248" s="33" t="str">
        <f aca="false">CHOOSE(WEEKDAY(B248,2),"सोमवार","मंगलवार","बुधवार","गुरुवार","शुक्रवार","शनिवार","रविवार")</f>
        <v>गुरुवार</v>
      </c>
      <c r="D248" s="33" t="n">
        <f aca="false">IF(A248=1,0,INT((A248-2)/7)+1)</f>
        <v>35</v>
      </c>
      <c r="E248" s="33" t="n">
        <f aca="false">(YEAR(B248)-YEAR(सारांश!$B$4))*12+MONTH(B248)-MONTH(सारांश!$B$4)+IF(DAY(B248)&gt;=DAY(सारांश!$B$4),1,0)</f>
        <v>9</v>
      </c>
      <c r="F248" s="35" t="s">
        <v>18</v>
      </c>
      <c r="G248" s="14" t="s">
        <v>436</v>
      </c>
      <c r="H248" s="32" t="s">
        <v>847</v>
      </c>
      <c r="I248" s="32" t="s">
        <v>438</v>
      </c>
      <c r="J248" s="48" t="s">
        <v>439</v>
      </c>
      <c r="K248" s="48" t="s">
        <v>265</v>
      </c>
      <c r="L248" s="14" t="s">
        <v>561</v>
      </c>
      <c r="M248" s="32" t="s">
        <v>848</v>
      </c>
      <c r="N248" s="32" t="s">
        <v>284</v>
      </c>
      <c r="O248" s="32" t="s">
        <v>744</v>
      </c>
      <c r="P248" s="32" t="s">
        <v>745</v>
      </c>
      <c r="Q248" s="14" t="n">
        <v>7.5</v>
      </c>
      <c r="R248" s="32" t="s">
        <v>441</v>
      </c>
      <c r="S248" s="32" t="s">
        <v>563</v>
      </c>
      <c r="T248" s="49" t="s">
        <v>258</v>
      </c>
      <c r="U248" s="49" t="s">
        <v>259</v>
      </c>
      <c r="V248" s="49" t="s">
        <v>259</v>
      </c>
      <c r="W248" s="14" t="s">
        <v>260</v>
      </c>
      <c r="X248" s="14"/>
      <c r="Y248" s="48" t="s">
        <v>273</v>
      </c>
    </row>
    <row r="249" customFormat="false" ht="126.75" hidden="false" customHeight="true" outlineLevel="0" collapsed="false">
      <c r="A249" s="33" t="n">
        <v>244</v>
      </c>
      <c r="B249" s="34" t="n">
        <f aca="false">सारांश!$B$4+A249-1</f>
        <v>46584</v>
      </c>
      <c r="C249" s="33" t="str">
        <f aca="false">CHOOSE(WEEKDAY(B249,2),"सोमवार","मंगलवार","बुधवार","गुरुवार","शुक्रवार","शनिवार","रविवार")</f>
        <v>शुक्रवार</v>
      </c>
      <c r="D249" s="33" t="n">
        <f aca="false">IF(A249=1,0,INT((A249-2)/7)+1)</f>
        <v>35</v>
      </c>
      <c r="E249" s="33" t="n">
        <f aca="false">(YEAR(B249)-YEAR(सारांश!$B$4))*12+MONTH(B249)-MONTH(सारांश!$B$4)+IF(DAY(B249)&gt;=DAY(सारांश!$B$4),1,0)</f>
        <v>9</v>
      </c>
      <c r="F249" s="35" t="s">
        <v>18</v>
      </c>
      <c r="G249" s="14" t="s">
        <v>436</v>
      </c>
      <c r="H249" s="32" t="s">
        <v>849</v>
      </c>
      <c r="I249" s="32" t="s">
        <v>438</v>
      </c>
      <c r="J249" s="48" t="s">
        <v>439</v>
      </c>
      <c r="K249" s="48" t="s">
        <v>265</v>
      </c>
      <c r="L249" s="14" t="s">
        <v>561</v>
      </c>
      <c r="M249" s="32" t="s">
        <v>850</v>
      </c>
      <c r="N249" s="32" t="s">
        <v>287</v>
      </c>
      <c r="O249" s="32" t="s">
        <v>744</v>
      </c>
      <c r="P249" s="32" t="s">
        <v>745</v>
      </c>
      <c r="Q249" s="14" t="n">
        <v>7.5</v>
      </c>
      <c r="R249" s="32" t="s">
        <v>441</v>
      </c>
      <c r="S249" s="32" t="s">
        <v>563</v>
      </c>
      <c r="T249" s="49" t="s">
        <v>258</v>
      </c>
      <c r="U249" s="49" t="s">
        <v>259</v>
      </c>
      <c r="V249" s="49" t="s">
        <v>259</v>
      </c>
      <c r="W249" s="14" t="s">
        <v>260</v>
      </c>
      <c r="X249" s="14"/>
      <c r="Y249" s="48" t="s">
        <v>273</v>
      </c>
    </row>
    <row r="250" customFormat="false" ht="126.75" hidden="false" customHeight="true" outlineLevel="0" collapsed="false">
      <c r="A250" s="33" t="n">
        <v>245</v>
      </c>
      <c r="B250" s="34" t="n">
        <f aca="false">सारांश!$B$4+A250-1</f>
        <v>46585</v>
      </c>
      <c r="C250" s="33" t="str">
        <f aca="false">CHOOSE(WEEKDAY(B250,2),"सोमवार","मंगलवार","बुधवार","गुरुवार","शुक्रवार","शनिवार","रविवार")</f>
        <v>शनिवार</v>
      </c>
      <c r="D250" s="33" t="n">
        <f aca="false">IF(A250=1,0,INT((A250-2)/7)+1)</f>
        <v>35</v>
      </c>
      <c r="E250" s="33" t="n">
        <f aca="false">(YEAR(B250)-YEAR(सारांश!$B$4))*12+MONTH(B250)-MONTH(सारांश!$B$4)+IF(DAY(B250)&gt;=DAY(सारांश!$B$4),1,0)</f>
        <v>9</v>
      </c>
      <c r="F250" s="35" t="s">
        <v>18</v>
      </c>
      <c r="G250" s="14" t="s">
        <v>436</v>
      </c>
      <c r="H250" s="32" t="s">
        <v>851</v>
      </c>
      <c r="I250" s="32" t="s">
        <v>438</v>
      </c>
      <c r="J250" s="48" t="s">
        <v>439</v>
      </c>
      <c r="K250" s="48" t="s">
        <v>265</v>
      </c>
      <c r="L250" s="14" t="s">
        <v>561</v>
      </c>
      <c r="M250" s="32" t="s">
        <v>852</v>
      </c>
      <c r="N250" s="32" t="s">
        <v>290</v>
      </c>
      <c r="O250" s="32" t="s">
        <v>744</v>
      </c>
      <c r="P250" s="32" t="s">
        <v>745</v>
      </c>
      <c r="Q250" s="14" t="n">
        <v>7.5</v>
      </c>
      <c r="R250" s="32" t="s">
        <v>441</v>
      </c>
      <c r="S250" s="32" t="s">
        <v>563</v>
      </c>
      <c r="T250" s="49" t="s">
        <v>258</v>
      </c>
      <c r="U250" s="49" t="s">
        <v>259</v>
      </c>
      <c r="V250" s="49" t="s">
        <v>259</v>
      </c>
      <c r="W250" s="14" t="s">
        <v>260</v>
      </c>
      <c r="X250" s="14"/>
      <c r="Y250" s="48" t="s">
        <v>273</v>
      </c>
    </row>
    <row r="251" customFormat="false" ht="93" hidden="false" customHeight="true" outlineLevel="0" collapsed="false">
      <c r="A251" s="50" t="n">
        <v>246</v>
      </c>
      <c r="B251" s="51" t="n">
        <f aca="false">सारांश!$B$4+A251-1</f>
        <v>46586</v>
      </c>
      <c r="C251" s="50" t="str">
        <f aca="false">CHOOSE(WEEKDAY(B251,2),"सोमवार","मंगलवार","बुधवार","गुरुवार","शुक्रवार","शनिवार","रविवार")</f>
        <v>रविवार</v>
      </c>
      <c r="D251" s="50" t="n">
        <f aca="false">IF(A251=1,0,INT((A251-2)/7)+1)</f>
        <v>35</v>
      </c>
      <c r="E251" s="50" t="n">
        <f aca="false">(YEAR(B251)-YEAR(सारांश!$B$4))*12+MONTH(B251)-MONTH(सारांश!$B$4)+IF(DAY(B251)&gt;=DAY(सारांश!$B$4),1,0)</f>
        <v>9</v>
      </c>
      <c r="F251" s="52" t="s">
        <v>18</v>
      </c>
      <c r="G251" s="50" t="s">
        <v>291</v>
      </c>
      <c r="H251" s="52" t="s">
        <v>127</v>
      </c>
      <c r="I251" s="52" t="s">
        <v>446</v>
      </c>
      <c r="J251" s="53" t="s">
        <v>293</v>
      </c>
      <c r="K251" s="53" t="s">
        <v>294</v>
      </c>
      <c r="L251" s="50" t="s">
        <v>295</v>
      </c>
      <c r="M251" s="52" t="s">
        <v>296</v>
      </c>
      <c r="N251" s="52" t="s">
        <v>297</v>
      </c>
      <c r="O251" s="52" t="s">
        <v>756</v>
      </c>
      <c r="P251" s="52" t="s">
        <v>299</v>
      </c>
      <c r="Q251" s="50" t="n">
        <v>6</v>
      </c>
      <c r="R251" s="52" t="s">
        <v>300</v>
      </c>
      <c r="S251" s="52" t="s">
        <v>257</v>
      </c>
      <c r="T251" s="54" t="s">
        <v>258</v>
      </c>
      <c r="U251" s="54" t="s">
        <v>259</v>
      </c>
      <c r="V251" s="54" t="s">
        <v>259</v>
      </c>
      <c r="W251" s="50" t="s">
        <v>260</v>
      </c>
      <c r="X251" s="50"/>
    </row>
    <row r="252" customFormat="false" ht="126.75" hidden="false" customHeight="true" outlineLevel="0" collapsed="false">
      <c r="A252" s="33" t="n">
        <v>247</v>
      </c>
      <c r="B252" s="34" t="n">
        <f aca="false">सारांश!$B$4+A252-1</f>
        <v>46587</v>
      </c>
      <c r="C252" s="33" t="str">
        <f aca="false">CHOOSE(WEEKDAY(B252,2),"सोमवार","मंगलवार","बुधवार","गुरुवार","शुक्रवार","शनिवार","रविवार")</f>
        <v>सोमवार</v>
      </c>
      <c r="D252" s="33" t="n">
        <f aca="false">IF(A252=1,0,INT((A252-2)/7)+1)</f>
        <v>36</v>
      </c>
      <c r="E252" s="33" t="n">
        <f aca="false">(YEAR(B252)-YEAR(सारांश!$B$4))*12+MONTH(B252)-MONTH(सारांश!$B$4)+IF(DAY(B252)&gt;=DAY(सारांश!$B$4),1,0)</f>
        <v>9</v>
      </c>
      <c r="F252" s="35" t="s">
        <v>18</v>
      </c>
      <c r="G252" s="14" t="s">
        <v>436</v>
      </c>
      <c r="H252" s="32" t="s">
        <v>853</v>
      </c>
      <c r="I252" s="32" t="s">
        <v>438</v>
      </c>
      <c r="J252" s="48" t="s">
        <v>439</v>
      </c>
      <c r="K252" s="48" t="s">
        <v>265</v>
      </c>
      <c r="L252" s="14" t="s">
        <v>561</v>
      </c>
      <c r="M252" s="32" t="s">
        <v>854</v>
      </c>
      <c r="N252" s="32" t="s">
        <v>268</v>
      </c>
      <c r="O252" s="32" t="s">
        <v>744</v>
      </c>
      <c r="P252" s="32" t="s">
        <v>745</v>
      </c>
      <c r="Q252" s="14" t="n">
        <v>7.5</v>
      </c>
      <c r="R252" s="32" t="s">
        <v>441</v>
      </c>
      <c r="S252" s="32" t="s">
        <v>563</v>
      </c>
      <c r="T252" s="49" t="s">
        <v>258</v>
      </c>
      <c r="U252" s="49" t="s">
        <v>259</v>
      </c>
      <c r="V252" s="49" t="s">
        <v>259</v>
      </c>
      <c r="W252" s="14" t="s">
        <v>260</v>
      </c>
      <c r="X252" s="14"/>
      <c r="Y252" s="48" t="s">
        <v>273</v>
      </c>
    </row>
    <row r="253" customFormat="false" ht="126.75" hidden="false" customHeight="true" outlineLevel="0" collapsed="false">
      <c r="A253" s="33" t="n">
        <v>248</v>
      </c>
      <c r="B253" s="34" t="n">
        <f aca="false">सारांश!$B$4+A253-1</f>
        <v>46588</v>
      </c>
      <c r="C253" s="33" t="str">
        <f aca="false">CHOOSE(WEEKDAY(B253,2),"सोमवार","मंगलवार","बुधवार","गुरुवार","शुक्रवार","शनिवार","रविवार")</f>
        <v>मंगलवार</v>
      </c>
      <c r="D253" s="33" t="n">
        <f aca="false">IF(A253=1,0,INT((A253-2)/7)+1)</f>
        <v>36</v>
      </c>
      <c r="E253" s="33" t="n">
        <f aca="false">(YEAR(B253)-YEAR(सारांश!$B$4))*12+MONTH(B253)-MONTH(सारांश!$B$4)+IF(DAY(B253)&gt;=DAY(सारांश!$B$4),1,0)</f>
        <v>9</v>
      </c>
      <c r="F253" s="35" t="s">
        <v>18</v>
      </c>
      <c r="G253" s="14" t="s">
        <v>436</v>
      </c>
      <c r="H253" s="32" t="s">
        <v>855</v>
      </c>
      <c r="I253" s="32" t="s">
        <v>450</v>
      </c>
      <c r="J253" s="48" t="s">
        <v>451</v>
      </c>
      <c r="K253" s="48" t="s">
        <v>265</v>
      </c>
      <c r="L253" s="14" t="s">
        <v>561</v>
      </c>
      <c r="M253" s="32" t="s">
        <v>856</v>
      </c>
      <c r="N253" s="32" t="s">
        <v>276</v>
      </c>
      <c r="O253" s="32" t="s">
        <v>744</v>
      </c>
      <c r="P253" s="32" t="s">
        <v>745</v>
      </c>
      <c r="Q253" s="14" t="n">
        <v>7.5</v>
      </c>
      <c r="R253" s="32" t="s">
        <v>441</v>
      </c>
      <c r="S253" s="32" t="s">
        <v>563</v>
      </c>
      <c r="T253" s="49" t="s">
        <v>258</v>
      </c>
      <c r="U253" s="49" t="s">
        <v>259</v>
      </c>
      <c r="V253" s="49" t="s">
        <v>259</v>
      </c>
      <c r="W253" s="14" t="s">
        <v>260</v>
      </c>
      <c r="X253" s="14"/>
      <c r="Y253" s="48" t="s">
        <v>273</v>
      </c>
    </row>
    <row r="254" customFormat="false" ht="126.75" hidden="false" customHeight="true" outlineLevel="0" collapsed="false">
      <c r="A254" s="33" t="n">
        <v>249</v>
      </c>
      <c r="B254" s="34" t="n">
        <f aca="false">सारांश!$B$4+A254-1</f>
        <v>46589</v>
      </c>
      <c r="C254" s="33" t="str">
        <f aca="false">CHOOSE(WEEKDAY(B254,2),"सोमवार","मंगलवार","बुधवार","गुरुवार","शुक्रवार","शनिवार","रविवार")</f>
        <v>बुधवार</v>
      </c>
      <c r="D254" s="33" t="n">
        <f aca="false">IF(A254=1,0,INT((A254-2)/7)+1)</f>
        <v>36</v>
      </c>
      <c r="E254" s="33" t="n">
        <f aca="false">(YEAR(B254)-YEAR(सारांश!$B$4))*12+MONTH(B254)-MONTH(सारांश!$B$4)+IF(DAY(B254)&gt;=DAY(सारांश!$B$4),1,0)</f>
        <v>9</v>
      </c>
      <c r="F254" s="35" t="s">
        <v>18</v>
      </c>
      <c r="G254" s="14" t="s">
        <v>436</v>
      </c>
      <c r="H254" s="32" t="s">
        <v>857</v>
      </c>
      <c r="I254" s="32" t="s">
        <v>450</v>
      </c>
      <c r="J254" s="48" t="s">
        <v>451</v>
      </c>
      <c r="K254" s="48" t="s">
        <v>265</v>
      </c>
      <c r="L254" s="14" t="s">
        <v>561</v>
      </c>
      <c r="M254" s="32" t="s">
        <v>858</v>
      </c>
      <c r="N254" s="32" t="s">
        <v>279</v>
      </c>
      <c r="O254" s="32" t="s">
        <v>744</v>
      </c>
      <c r="P254" s="32" t="s">
        <v>745</v>
      </c>
      <c r="Q254" s="14" t="n">
        <v>7.5</v>
      </c>
      <c r="R254" s="32" t="s">
        <v>441</v>
      </c>
      <c r="S254" s="32" t="s">
        <v>563</v>
      </c>
      <c r="T254" s="49" t="s">
        <v>258</v>
      </c>
      <c r="U254" s="49" t="s">
        <v>259</v>
      </c>
      <c r="V254" s="49" t="s">
        <v>259</v>
      </c>
      <c r="W254" s="14" t="s">
        <v>260</v>
      </c>
      <c r="X254" s="14"/>
      <c r="Y254" s="48" t="s">
        <v>273</v>
      </c>
    </row>
    <row r="255" customFormat="false" ht="126.75" hidden="false" customHeight="true" outlineLevel="0" collapsed="false">
      <c r="A255" s="33" t="n">
        <v>250</v>
      </c>
      <c r="B255" s="34" t="n">
        <f aca="false">सारांश!$B$4+A255-1</f>
        <v>46590</v>
      </c>
      <c r="C255" s="33" t="str">
        <f aca="false">CHOOSE(WEEKDAY(B255,2),"सोमवार","मंगलवार","बुधवार","गुरुवार","शुक्रवार","शनिवार","रविवार")</f>
        <v>गुरुवार</v>
      </c>
      <c r="D255" s="33" t="n">
        <f aca="false">IF(A255=1,0,INT((A255-2)/7)+1)</f>
        <v>36</v>
      </c>
      <c r="E255" s="33" t="n">
        <f aca="false">(YEAR(B255)-YEAR(सारांश!$B$4))*12+MONTH(B255)-MONTH(सारांश!$B$4)+IF(DAY(B255)&gt;=DAY(सारांश!$B$4),1,0)</f>
        <v>9</v>
      </c>
      <c r="F255" s="35" t="s">
        <v>18</v>
      </c>
      <c r="G255" s="14" t="s">
        <v>436</v>
      </c>
      <c r="H255" s="32" t="s">
        <v>859</v>
      </c>
      <c r="I255" s="32" t="s">
        <v>450</v>
      </c>
      <c r="J255" s="48" t="s">
        <v>451</v>
      </c>
      <c r="K255" s="48" t="s">
        <v>265</v>
      </c>
      <c r="L255" s="14" t="s">
        <v>561</v>
      </c>
      <c r="M255" s="32" t="s">
        <v>860</v>
      </c>
      <c r="N255" s="32" t="s">
        <v>284</v>
      </c>
      <c r="O255" s="32" t="s">
        <v>744</v>
      </c>
      <c r="P255" s="32" t="s">
        <v>745</v>
      </c>
      <c r="Q255" s="14" t="n">
        <v>7.5</v>
      </c>
      <c r="R255" s="32" t="s">
        <v>441</v>
      </c>
      <c r="S255" s="32" t="s">
        <v>563</v>
      </c>
      <c r="T255" s="49" t="s">
        <v>258</v>
      </c>
      <c r="U255" s="49" t="s">
        <v>259</v>
      </c>
      <c r="V255" s="49" t="s">
        <v>259</v>
      </c>
      <c r="W255" s="14" t="s">
        <v>260</v>
      </c>
      <c r="X255" s="14"/>
      <c r="Y255" s="48" t="s">
        <v>273</v>
      </c>
    </row>
    <row r="256" customFormat="false" ht="126.75" hidden="false" customHeight="true" outlineLevel="0" collapsed="false">
      <c r="A256" s="33" t="n">
        <v>251</v>
      </c>
      <c r="B256" s="34" t="n">
        <f aca="false">सारांश!$B$4+A256-1</f>
        <v>46591</v>
      </c>
      <c r="C256" s="33" t="str">
        <f aca="false">CHOOSE(WEEKDAY(B256,2),"सोमवार","मंगलवार","बुधवार","गुरुवार","शुक्रवार","शनिवार","रविवार")</f>
        <v>शुक्रवार</v>
      </c>
      <c r="D256" s="33" t="n">
        <f aca="false">IF(A256=1,0,INT((A256-2)/7)+1)</f>
        <v>36</v>
      </c>
      <c r="E256" s="33" t="n">
        <f aca="false">(YEAR(B256)-YEAR(सारांश!$B$4))*12+MONTH(B256)-MONTH(सारांश!$B$4)+IF(DAY(B256)&gt;=DAY(सारांश!$B$4),1,0)</f>
        <v>9</v>
      </c>
      <c r="F256" s="35" t="s">
        <v>18</v>
      </c>
      <c r="G256" s="14" t="s">
        <v>436</v>
      </c>
      <c r="H256" s="32" t="s">
        <v>861</v>
      </c>
      <c r="I256" s="32" t="s">
        <v>458</v>
      </c>
      <c r="J256" s="48" t="s">
        <v>459</v>
      </c>
      <c r="K256" s="48" t="s">
        <v>265</v>
      </c>
      <c r="L256" s="14" t="s">
        <v>561</v>
      </c>
      <c r="M256" s="32" t="s">
        <v>862</v>
      </c>
      <c r="N256" s="32" t="s">
        <v>287</v>
      </c>
      <c r="O256" s="32" t="s">
        <v>744</v>
      </c>
      <c r="P256" s="32" t="s">
        <v>745</v>
      </c>
      <c r="Q256" s="14" t="n">
        <v>7.5</v>
      </c>
      <c r="R256" s="32" t="s">
        <v>441</v>
      </c>
      <c r="S256" s="32" t="s">
        <v>563</v>
      </c>
      <c r="T256" s="49" t="s">
        <v>258</v>
      </c>
      <c r="U256" s="49" t="s">
        <v>259</v>
      </c>
      <c r="V256" s="49" t="s">
        <v>259</v>
      </c>
      <c r="W256" s="14" t="s">
        <v>260</v>
      </c>
      <c r="X256" s="14"/>
      <c r="Y256" s="48" t="s">
        <v>273</v>
      </c>
    </row>
    <row r="257" customFormat="false" ht="126.75" hidden="false" customHeight="true" outlineLevel="0" collapsed="false">
      <c r="A257" s="33" t="n">
        <v>252</v>
      </c>
      <c r="B257" s="34" t="n">
        <f aca="false">सारांश!$B$4+A257-1</f>
        <v>46592</v>
      </c>
      <c r="C257" s="33" t="str">
        <f aca="false">CHOOSE(WEEKDAY(B257,2),"सोमवार","मंगलवार","बुधवार","गुरुवार","शुक्रवार","शनिवार","रविवार")</f>
        <v>शनिवार</v>
      </c>
      <c r="D257" s="33" t="n">
        <f aca="false">IF(A257=1,0,INT((A257-2)/7)+1)</f>
        <v>36</v>
      </c>
      <c r="E257" s="33" t="n">
        <f aca="false">(YEAR(B257)-YEAR(सारांश!$B$4))*12+MONTH(B257)-MONTH(सारांश!$B$4)+IF(DAY(B257)&gt;=DAY(सारांश!$B$4),1,0)</f>
        <v>9</v>
      </c>
      <c r="F257" s="35" t="s">
        <v>18</v>
      </c>
      <c r="G257" s="14" t="s">
        <v>436</v>
      </c>
      <c r="H257" s="32" t="s">
        <v>863</v>
      </c>
      <c r="I257" s="32" t="s">
        <v>458</v>
      </c>
      <c r="J257" s="48" t="s">
        <v>459</v>
      </c>
      <c r="K257" s="48" t="s">
        <v>265</v>
      </c>
      <c r="L257" s="14" t="s">
        <v>561</v>
      </c>
      <c r="M257" s="32" t="s">
        <v>864</v>
      </c>
      <c r="N257" s="32" t="s">
        <v>290</v>
      </c>
      <c r="O257" s="32" t="s">
        <v>744</v>
      </c>
      <c r="P257" s="32" t="s">
        <v>745</v>
      </c>
      <c r="Q257" s="14" t="n">
        <v>7.5</v>
      </c>
      <c r="R257" s="32" t="s">
        <v>441</v>
      </c>
      <c r="S257" s="32" t="s">
        <v>563</v>
      </c>
      <c r="T257" s="49" t="s">
        <v>258</v>
      </c>
      <c r="U257" s="49" t="s">
        <v>259</v>
      </c>
      <c r="V257" s="49" t="s">
        <v>259</v>
      </c>
      <c r="W257" s="14" t="s">
        <v>260</v>
      </c>
      <c r="X257" s="14"/>
      <c r="Y257" s="48" t="s">
        <v>273</v>
      </c>
    </row>
    <row r="258" customFormat="false" ht="109.5" hidden="false" customHeight="true" outlineLevel="0" collapsed="false">
      <c r="A258" s="50" t="n">
        <v>253</v>
      </c>
      <c r="B258" s="51" t="n">
        <f aca="false">सारांश!$B$4+A258-1</f>
        <v>46593</v>
      </c>
      <c r="C258" s="50" t="str">
        <f aca="false">CHOOSE(WEEKDAY(B258,2),"सोमवार","मंगलवार","बुधवार","गुरुवार","शुक्रवार","शनिवार","रविवार")</f>
        <v>रविवार</v>
      </c>
      <c r="D258" s="50" t="n">
        <f aca="false">IF(A258=1,0,INT((A258-2)/7)+1)</f>
        <v>36</v>
      </c>
      <c r="E258" s="50" t="n">
        <f aca="false">(YEAR(B258)-YEAR(सारांश!$B$4))*12+MONTH(B258)-MONTH(सारांश!$B$4)+IF(DAY(B258)&gt;=DAY(सारांश!$B$4),1,0)</f>
        <v>9</v>
      </c>
      <c r="F258" s="52" t="s">
        <v>18</v>
      </c>
      <c r="G258" s="50" t="s">
        <v>291</v>
      </c>
      <c r="H258" s="52" t="s">
        <v>135</v>
      </c>
      <c r="I258" s="52" t="s">
        <v>463</v>
      </c>
      <c r="J258" s="53" t="s">
        <v>293</v>
      </c>
      <c r="K258" s="53" t="s">
        <v>294</v>
      </c>
      <c r="L258" s="50" t="s">
        <v>295</v>
      </c>
      <c r="M258" s="52" t="s">
        <v>296</v>
      </c>
      <c r="N258" s="52" t="s">
        <v>297</v>
      </c>
      <c r="O258" s="52" t="s">
        <v>756</v>
      </c>
      <c r="P258" s="52" t="s">
        <v>299</v>
      </c>
      <c r="Q258" s="50" t="n">
        <v>6</v>
      </c>
      <c r="R258" s="52" t="s">
        <v>300</v>
      </c>
      <c r="S258" s="52" t="s">
        <v>257</v>
      </c>
      <c r="T258" s="54" t="s">
        <v>258</v>
      </c>
      <c r="U258" s="54" t="s">
        <v>259</v>
      </c>
      <c r="V258" s="54" t="s">
        <v>259</v>
      </c>
      <c r="W258" s="50" t="s">
        <v>260</v>
      </c>
      <c r="X258" s="50"/>
    </row>
    <row r="259" customFormat="false" ht="126.75" hidden="false" customHeight="true" outlineLevel="0" collapsed="false">
      <c r="A259" s="33" t="n">
        <v>254</v>
      </c>
      <c r="B259" s="34" t="n">
        <f aca="false">सारांश!$B$4+A259-1</f>
        <v>46594</v>
      </c>
      <c r="C259" s="33" t="str">
        <f aca="false">CHOOSE(WEEKDAY(B259,2),"सोमवार","मंगलवार","बुधवार","गुरुवार","शुक्रवार","शनिवार","रविवार")</f>
        <v>सोमवार</v>
      </c>
      <c r="D259" s="33" t="n">
        <f aca="false">IF(A259=1,0,INT((A259-2)/7)+1)</f>
        <v>37</v>
      </c>
      <c r="E259" s="33" t="n">
        <f aca="false">(YEAR(B259)-YEAR(सारांश!$B$4))*12+MONTH(B259)-MONTH(सारांश!$B$4)+IF(DAY(B259)&gt;=DAY(सारांश!$B$4),1,0)</f>
        <v>9</v>
      </c>
      <c r="F259" s="35" t="s">
        <v>18</v>
      </c>
      <c r="G259" s="14" t="s">
        <v>436</v>
      </c>
      <c r="H259" s="32" t="s">
        <v>865</v>
      </c>
      <c r="I259" s="32" t="s">
        <v>458</v>
      </c>
      <c r="J259" s="48" t="s">
        <v>459</v>
      </c>
      <c r="K259" s="48" t="s">
        <v>265</v>
      </c>
      <c r="L259" s="14" t="s">
        <v>561</v>
      </c>
      <c r="M259" s="32" t="s">
        <v>866</v>
      </c>
      <c r="N259" s="32" t="s">
        <v>268</v>
      </c>
      <c r="O259" s="32" t="s">
        <v>744</v>
      </c>
      <c r="P259" s="32" t="s">
        <v>745</v>
      </c>
      <c r="Q259" s="14" t="n">
        <v>7.5</v>
      </c>
      <c r="R259" s="32" t="s">
        <v>441</v>
      </c>
      <c r="S259" s="32" t="s">
        <v>563</v>
      </c>
      <c r="T259" s="49" t="s">
        <v>258</v>
      </c>
      <c r="U259" s="49" t="s">
        <v>259</v>
      </c>
      <c r="V259" s="49" t="s">
        <v>259</v>
      </c>
      <c r="W259" s="14" t="s">
        <v>260</v>
      </c>
      <c r="X259" s="14"/>
      <c r="Y259" s="48" t="s">
        <v>273</v>
      </c>
    </row>
    <row r="260" customFormat="false" ht="126.75" hidden="false" customHeight="true" outlineLevel="0" collapsed="false">
      <c r="A260" s="33" t="n">
        <v>255</v>
      </c>
      <c r="B260" s="34" t="n">
        <f aca="false">सारांश!$B$4+A260-1</f>
        <v>46595</v>
      </c>
      <c r="C260" s="33" t="str">
        <f aca="false">CHOOSE(WEEKDAY(B260,2),"सोमवार","मंगलवार","बुधवार","गुरुवार","शुक्रवार","शनिवार","रविवार")</f>
        <v>मंगलवार</v>
      </c>
      <c r="D260" s="33" t="n">
        <f aca="false">IF(A260=1,0,INT((A260-2)/7)+1)</f>
        <v>37</v>
      </c>
      <c r="E260" s="33" t="n">
        <f aca="false">(YEAR(B260)-YEAR(सारांश!$B$4))*12+MONTH(B260)-MONTH(सारांश!$B$4)+IF(DAY(B260)&gt;=DAY(सारांश!$B$4),1,0)</f>
        <v>9</v>
      </c>
      <c r="F260" s="35" t="s">
        <v>18</v>
      </c>
      <c r="G260" s="14" t="s">
        <v>436</v>
      </c>
      <c r="H260" s="32" t="s">
        <v>867</v>
      </c>
      <c r="I260" s="32" t="s">
        <v>458</v>
      </c>
      <c r="J260" s="48" t="s">
        <v>459</v>
      </c>
      <c r="K260" s="48" t="s">
        <v>265</v>
      </c>
      <c r="L260" s="14" t="s">
        <v>561</v>
      </c>
      <c r="M260" s="32" t="s">
        <v>868</v>
      </c>
      <c r="N260" s="32" t="s">
        <v>276</v>
      </c>
      <c r="O260" s="32" t="s">
        <v>744</v>
      </c>
      <c r="P260" s="32" t="s">
        <v>745</v>
      </c>
      <c r="Q260" s="14" t="n">
        <v>7.5</v>
      </c>
      <c r="R260" s="32" t="s">
        <v>441</v>
      </c>
      <c r="S260" s="32" t="s">
        <v>563</v>
      </c>
      <c r="T260" s="49" t="s">
        <v>258</v>
      </c>
      <c r="U260" s="49" t="s">
        <v>259</v>
      </c>
      <c r="V260" s="49" t="s">
        <v>259</v>
      </c>
      <c r="W260" s="14" t="s">
        <v>260</v>
      </c>
      <c r="X260" s="14"/>
      <c r="Y260" s="48" t="s">
        <v>273</v>
      </c>
    </row>
    <row r="261" customFormat="false" ht="109.5" hidden="false" customHeight="true" outlineLevel="0" collapsed="false">
      <c r="A261" s="33" t="n">
        <v>256</v>
      </c>
      <c r="B261" s="34" t="n">
        <f aca="false">सारांश!$B$4+A261-1</f>
        <v>46596</v>
      </c>
      <c r="C261" s="33" t="str">
        <f aca="false">CHOOSE(WEEKDAY(B261,2),"सोमवार","मंगलवार","बुधवार","गुरुवार","शुक्रवार","शनिवार","रविवार")</f>
        <v>बुधवार</v>
      </c>
      <c r="D261" s="33" t="n">
        <f aca="false">IF(A261=1,0,INT((A261-2)/7)+1)</f>
        <v>37</v>
      </c>
      <c r="E261" s="33" t="n">
        <f aca="false">(YEAR(B261)-YEAR(सारांश!$B$4))*12+MONTH(B261)-MONTH(सारांश!$B$4)+IF(DAY(B261)&gt;=DAY(सारांश!$B$4),1,0)</f>
        <v>9</v>
      </c>
      <c r="F261" s="35" t="s">
        <v>18</v>
      </c>
      <c r="G261" s="14" t="s">
        <v>436</v>
      </c>
      <c r="H261" s="32" t="s">
        <v>869</v>
      </c>
      <c r="I261" s="32" t="s">
        <v>469</v>
      </c>
      <c r="J261" s="48" t="s">
        <v>470</v>
      </c>
      <c r="K261" s="48" t="s">
        <v>265</v>
      </c>
      <c r="L261" s="14" t="s">
        <v>561</v>
      </c>
      <c r="M261" s="32" t="s">
        <v>870</v>
      </c>
      <c r="N261" s="32" t="s">
        <v>279</v>
      </c>
      <c r="O261" s="32" t="s">
        <v>744</v>
      </c>
      <c r="P261" s="32" t="s">
        <v>745</v>
      </c>
      <c r="Q261" s="14" t="n">
        <v>7.5</v>
      </c>
      <c r="R261" s="32" t="s">
        <v>441</v>
      </c>
      <c r="S261" s="32" t="s">
        <v>563</v>
      </c>
      <c r="T261" s="49" t="s">
        <v>258</v>
      </c>
      <c r="U261" s="49" t="s">
        <v>259</v>
      </c>
      <c r="V261" s="49" t="s">
        <v>259</v>
      </c>
      <c r="W261" s="14" t="s">
        <v>260</v>
      </c>
      <c r="X261" s="14"/>
      <c r="Y261" s="48" t="s">
        <v>273</v>
      </c>
    </row>
    <row r="262" customFormat="false" ht="109.5" hidden="false" customHeight="true" outlineLevel="0" collapsed="false">
      <c r="A262" s="33" t="n">
        <v>257</v>
      </c>
      <c r="B262" s="34" t="n">
        <f aca="false">सारांश!$B$4+A262-1</f>
        <v>46597</v>
      </c>
      <c r="C262" s="33" t="str">
        <f aca="false">CHOOSE(WEEKDAY(B262,2),"सोमवार","मंगलवार","बुधवार","गुरुवार","शुक्रवार","शनिवार","रविवार")</f>
        <v>गुरुवार</v>
      </c>
      <c r="D262" s="33" t="n">
        <f aca="false">IF(A262=1,0,INT((A262-2)/7)+1)</f>
        <v>37</v>
      </c>
      <c r="E262" s="33" t="n">
        <f aca="false">(YEAR(B262)-YEAR(सारांश!$B$4))*12+MONTH(B262)-MONTH(सारांश!$B$4)+IF(DAY(B262)&gt;=DAY(सारांश!$B$4),1,0)</f>
        <v>9</v>
      </c>
      <c r="F262" s="35" t="s">
        <v>18</v>
      </c>
      <c r="G262" s="14" t="s">
        <v>436</v>
      </c>
      <c r="H262" s="32" t="s">
        <v>871</v>
      </c>
      <c r="I262" s="32" t="s">
        <v>469</v>
      </c>
      <c r="J262" s="48" t="s">
        <v>470</v>
      </c>
      <c r="K262" s="48" t="s">
        <v>265</v>
      </c>
      <c r="L262" s="14" t="s">
        <v>561</v>
      </c>
      <c r="M262" s="32" t="s">
        <v>872</v>
      </c>
      <c r="N262" s="32" t="s">
        <v>284</v>
      </c>
      <c r="O262" s="32" t="s">
        <v>744</v>
      </c>
      <c r="P262" s="32" t="s">
        <v>745</v>
      </c>
      <c r="Q262" s="14" t="n">
        <v>7.5</v>
      </c>
      <c r="R262" s="32" t="s">
        <v>441</v>
      </c>
      <c r="S262" s="32" t="s">
        <v>563</v>
      </c>
      <c r="T262" s="49" t="s">
        <v>258</v>
      </c>
      <c r="U262" s="49" t="s">
        <v>259</v>
      </c>
      <c r="V262" s="49" t="s">
        <v>259</v>
      </c>
      <c r="W262" s="14" t="s">
        <v>260</v>
      </c>
      <c r="X262" s="14"/>
      <c r="Y262" s="48" t="s">
        <v>273</v>
      </c>
    </row>
    <row r="263" customFormat="false" ht="109.5" hidden="false" customHeight="true" outlineLevel="0" collapsed="false">
      <c r="A263" s="33" t="n">
        <v>258</v>
      </c>
      <c r="B263" s="34" t="n">
        <f aca="false">सारांश!$B$4+A263-1</f>
        <v>46598</v>
      </c>
      <c r="C263" s="33" t="str">
        <f aca="false">CHOOSE(WEEKDAY(B263,2),"सोमवार","मंगलवार","बुधवार","गुरुवार","शुक्रवार","शनिवार","रविवार")</f>
        <v>शुक्रवार</v>
      </c>
      <c r="D263" s="33" t="n">
        <f aca="false">IF(A263=1,0,INT((A263-2)/7)+1)</f>
        <v>37</v>
      </c>
      <c r="E263" s="33" t="n">
        <f aca="false">(YEAR(B263)-YEAR(सारांश!$B$4))*12+MONTH(B263)-MONTH(सारांश!$B$4)+IF(DAY(B263)&gt;=DAY(सारांश!$B$4),1,0)</f>
        <v>9</v>
      </c>
      <c r="F263" s="35" t="s">
        <v>18</v>
      </c>
      <c r="G263" s="14" t="s">
        <v>436</v>
      </c>
      <c r="H263" s="32" t="s">
        <v>873</v>
      </c>
      <c r="I263" s="32" t="s">
        <v>475</v>
      </c>
      <c r="J263" s="48" t="s">
        <v>476</v>
      </c>
      <c r="K263" s="48" t="s">
        <v>265</v>
      </c>
      <c r="L263" s="14" t="s">
        <v>561</v>
      </c>
      <c r="M263" s="32" t="s">
        <v>874</v>
      </c>
      <c r="N263" s="32" t="s">
        <v>287</v>
      </c>
      <c r="O263" s="32" t="s">
        <v>744</v>
      </c>
      <c r="P263" s="32" t="s">
        <v>745</v>
      </c>
      <c r="Q263" s="14" t="n">
        <v>7.5</v>
      </c>
      <c r="R263" s="32" t="s">
        <v>441</v>
      </c>
      <c r="S263" s="32" t="s">
        <v>563</v>
      </c>
      <c r="T263" s="49" t="s">
        <v>258</v>
      </c>
      <c r="U263" s="49" t="s">
        <v>259</v>
      </c>
      <c r="V263" s="49" t="s">
        <v>259</v>
      </c>
      <c r="W263" s="14" t="s">
        <v>260</v>
      </c>
      <c r="X263" s="14"/>
      <c r="Y263" s="48" t="s">
        <v>273</v>
      </c>
    </row>
    <row r="264" customFormat="false" ht="109.5" hidden="false" customHeight="true" outlineLevel="0" collapsed="false">
      <c r="A264" s="33" t="n">
        <v>259</v>
      </c>
      <c r="B264" s="34" t="n">
        <f aca="false">सारांश!$B$4+A264-1</f>
        <v>46599</v>
      </c>
      <c r="C264" s="33" t="str">
        <f aca="false">CHOOSE(WEEKDAY(B264,2),"सोमवार","मंगलवार","बुधवार","गुरुवार","शुक्रवार","शनिवार","रविवार")</f>
        <v>शनिवार</v>
      </c>
      <c r="D264" s="33" t="n">
        <f aca="false">IF(A264=1,0,INT((A264-2)/7)+1)</f>
        <v>37</v>
      </c>
      <c r="E264" s="33" t="n">
        <f aca="false">(YEAR(B264)-YEAR(सारांश!$B$4))*12+MONTH(B264)-MONTH(सारांश!$B$4)+IF(DAY(B264)&gt;=DAY(सारांश!$B$4),1,0)</f>
        <v>9</v>
      </c>
      <c r="F264" s="35" t="s">
        <v>18</v>
      </c>
      <c r="G264" s="14" t="s">
        <v>436</v>
      </c>
      <c r="H264" s="32" t="s">
        <v>875</v>
      </c>
      <c r="I264" s="32" t="s">
        <v>475</v>
      </c>
      <c r="J264" s="48" t="s">
        <v>476</v>
      </c>
      <c r="K264" s="48" t="s">
        <v>265</v>
      </c>
      <c r="L264" s="14" t="s">
        <v>561</v>
      </c>
      <c r="M264" s="32" t="s">
        <v>876</v>
      </c>
      <c r="N264" s="32" t="s">
        <v>290</v>
      </c>
      <c r="O264" s="32" t="s">
        <v>744</v>
      </c>
      <c r="P264" s="32" t="s">
        <v>745</v>
      </c>
      <c r="Q264" s="14" t="n">
        <v>7.5</v>
      </c>
      <c r="R264" s="32" t="s">
        <v>441</v>
      </c>
      <c r="S264" s="32" t="s">
        <v>563</v>
      </c>
      <c r="T264" s="49" t="s">
        <v>258</v>
      </c>
      <c r="U264" s="49" t="s">
        <v>259</v>
      </c>
      <c r="V264" s="49" t="s">
        <v>259</v>
      </c>
      <c r="W264" s="14" t="s">
        <v>260</v>
      </c>
      <c r="X264" s="14"/>
      <c r="Y264" s="48" t="s">
        <v>273</v>
      </c>
    </row>
    <row r="265" customFormat="false" ht="93" hidden="false" customHeight="true" outlineLevel="0" collapsed="false">
      <c r="A265" s="50" t="n">
        <v>260</v>
      </c>
      <c r="B265" s="51" t="n">
        <f aca="false">सारांश!$B$4+A265-1</f>
        <v>46600</v>
      </c>
      <c r="C265" s="50" t="str">
        <f aca="false">CHOOSE(WEEKDAY(B265,2),"सोमवार","मंगलवार","बुधवार","गुरुवार","शुक्रवार","शनिवार","रविवार")</f>
        <v>रविवार</v>
      </c>
      <c r="D265" s="50" t="n">
        <f aca="false">IF(A265=1,0,INT((A265-2)/7)+1)</f>
        <v>37</v>
      </c>
      <c r="E265" s="50" t="n">
        <f aca="false">(YEAR(B265)-YEAR(सारांश!$B$4))*12+MONTH(B265)-MONTH(सारांश!$B$4)+IF(DAY(B265)&gt;=DAY(सारांश!$B$4),1,0)</f>
        <v>9</v>
      </c>
      <c r="F265" s="52" t="s">
        <v>18</v>
      </c>
      <c r="G265" s="50" t="s">
        <v>291</v>
      </c>
      <c r="H265" s="52" t="s">
        <v>127</v>
      </c>
      <c r="I265" s="52" t="s">
        <v>480</v>
      </c>
      <c r="J265" s="53" t="s">
        <v>293</v>
      </c>
      <c r="K265" s="53" t="s">
        <v>294</v>
      </c>
      <c r="L265" s="50" t="s">
        <v>295</v>
      </c>
      <c r="M265" s="52" t="s">
        <v>296</v>
      </c>
      <c r="N265" s="52" t="s">
        <v>297</v>
      </c>
      <c r="O265" s="52" t="s">
        <v>756</v>
      </c>
      <c r="P265" s="52" t="s">
        <v>299</v>
      </c>
      <c r="Q265" s="50" t="n">
        <v>6</v>
      </c>
      <c r="R265" s="52" t="s">
        <v>300</v>
      </c>
      <c r="S265" s="52" t="s">
        <v>257</v>
      </c>
      <c r="T265" s="54" t="s">
        <v>258</v>
      </c>
      <c r="U265" s="54" t="s">
        <v>259</v>
      </c>
      <c r="V265" s="54" t="s">
        <v>259</v>
      </c>
      <c r="W265" s="50" t="s">
        <v>260</v>
      </c>
      <c r="X265" s="50"/>
    </row>
    <row r="266" customFormat="false" ht="109.5" hidden="false" customHeight="true" outlineLevel="0" collapsed="false">
      <c r="A266" s="33" t="n">
        <v>261</v>
      </c>
      <c r="B266" s="34" t="n">
        <f aca="false">सारांश!$B$4+A266-1</f>
        <v>46601</v>
      </c>
      <c r="C266" s="33" t="str">
        <f aca="false">CHOOSE(WEEKDAY(B266,2),"सोमवार","मंगलवार","बुधवार","गुरुवार","शुक्रवार","शनिवार","रविवार")</f>
        <v>सोमवार</v>
      </c>
      <c r="D266" s="33" t="n">
        <f aca="false">IF(A266=1,0,INT((A266-2)/7)+1)</f>
        <v>38</v>
      </c>
      <c r="E266" s="33" t="n">
        <f aca="false">(YEAR(B266)-YEAR(सारांश!$B$4))*12+MONTH(B266)-MONTH(सारांश!$B$4)+IF(DAY(B266)&gt;=DAY(सारांश!$B$4),1,0)</f>
        <v>9</v>
      </c>
      <c r="F266" s="35" t="s">
        <v>18</v>
      </c>
      <c r="G266" s="14" t="s">
        <v>436</v>
      </c>
      <c r="H266" s="32" t="s">
        <v>877</v>
      </c>
      <c r="I266" s="32" t="s">
        <v>475</v>
      </c>
      <c r="J266" s="48" t="s">
        <v>476</v>
      </c>
      <c r="K266" s="48" t="s">
        <v>265</v>
      </c>
      <c r="L266" s="14" t="s">
        <v>561</v>
      </c>
      <c r="M266" s="32" t="s">
        <v>878</v>
      </c>
      <c r="N266" s="32" t="s">
        <v>268</v>
      </c>
      <c r="O266" s="32" t="s">
        <v>744</v>
      </c>
      <c r="P266" s="32" t="s">
        <v>745</v>
      </c>
      <c r="Q266" s="14" t="n">
        <v>7.5</v>
      </c>
      <c r="R266" s="32" t="s">
        <v>441</v>
      </c>
      <c r="S266" s="32" t="s">
        <v>563</v>
      </c>
      <c r="T266" s="49" t="s">
        <v>258</v>
      </c>
      <c r="U266" s="49" t="s">
        <v>259</v>
      </c>
      <c r="V266" s="49" t="s">
        <v>259</v>
      </c>
      <c r="W266" s="14" t="s">
        <v>260</v>
      </c>
      <c r="X266" s="14"/>
      <c r="Y266" s="48" t="s">
        <v>273</v>
      </c>
    </row>
    <row r="267" customFormat="false" ht="109.5" hidden="false" customHeight="true" outlineLevel="0" collapsed="false">
      <c r="A267" s="33" t="n">
        <v>262</v>
      </c>
      <c r="B267" s="34" t="n">
        <f aca="false">सारांश!$B$4+A267-1</f>
        <v>46602</v>
      </c>
      <c r="C267" s="33" t="str">
        <f aca="false">CHOOSE(WEEKDAY(B267,2),"सोमवार","मंगलवार","बुधवार","गुरुवार","शुक्रवार","शनिवार","रविवार")</f>
        <v>मंगलवार</v>
      </c>
      <c r="D267" s="33" t="n">
        <f aca="false">IF(A267=1,0,INT((A267-2)/7)+1)</f>
        <v>38</v>
      </c>
      <c r="E267" s="33" t="n">
        <f aca="false">(YEAR(B267)-YEAR(सारांश!$B$4))*12+MONTH(B267)-MONTH(सारांश!$B$4)+IF(DAY(B267)&gt;=DAY(सारांश!$B$4),1,0)</f>
        <v>9</v>
      </c>
      <c r="F267" s="35" t="s">
        <v>18</v>
      </c>
      <c r="G267" s="14" t="s">
        <v>436</v>
      </c>
      <c r="H267" s="32" t="s">
        <v>879</v>
      </c>
      <c r="I267" s="32" t="s">
        <v>484</v>
      </c>
      <c r="J267" s="48" t="s">
        <v>485</v>
      </c>
      <c r="K267" s="48" t="s">
        <v>265</v>
      </c>
      <c r="L267" s="14" t="s">
        <v>561</v>
      </c>
      <c r="M267" s="32" t="s">
        <v>880</v>
      </c>
      <c r="N267" s="32" t="s">
        <v>276</v>
      </c>
      <c r="O267" s="32" t="s">
        <v>744</v>
      </c>
      <c r="P267" s="32" t="s">
        <v>745</v>
      </c>
      <c r="Q267" s="14" t="n">
        <v>7.5</v>
      </c>
      <c r="R267" s="32" t="s">
        <v>441</v>
      </c>
      <c r="S267" s="32" t="s">
        <v>563</v>
      </c>
      <c r="T267" s="49" t="s">
        <v>258</v>
      </c>
      <c r="U267" s="49" t="s">
        <v>259</v>
      </c>
      <c r="V267" s="49" t="s">
        <v>259</v>
      </c>
      <c r="W267" s="14" t="s">
        <v>260</v>
      </c>
      <c r="X267" s="14"/>
      <c r="Y267" s="48" t="s">
        <v>273</v>
      </c>
    </row>
    <row r="268" customFormat="false" ht="109.5" hidden="false" customHeight="true" outlineLevel="0" collapsed="false">
      <c r="A268" s="33" t="n">
        <v>263</v>
      </c>
      <c r="B268" s="34" t="n">
        <f aca="false">सारांश!$B$4+A268-1</f>
        <v>46603</v>
      </c>
      <c r="C268" s="33" t="str">
        <f aca="false">CHOOSE(WEEKDAY(B268,2),"सोमवार","मंगलवार","बुधवार","गुरुवार","शुक्रवार","शनिवार","रविवार")</f>
        <v>बुधवार</v>
      </c>
      <c r="D268" s="33" t="n">
        <f aca="false">IF(A268=1,0,INT((A268-2)/7)+1)</f>
        <v>38</v>
      </c>
      <c r="E268" s="33" t="n">
        <f aca="false">(YEAR(B268)-YEAR(सारांश!$B$4))*12+MONTH(B268)-MONTH(सारांश!$B$4)+IF(DAY(B268)&gt;=DAY(सारांश!$B$4),1,0)</f>
        <v>9</v>
      </c>
      <c r="F268" s="35" t="s">
        <v>18</v>
      </c>
      <c r="G268" s="14" t="s">
        <v>436</v>
      </c>
      <c r="H268" s="32" t="s">
        <v>881</v>
      </c>
      <c r="I268" s="32" t="s">
        <v>484</v>
      </c>
      <c r="J268" s="48" t="s">
        <v>485</v>
      </c>
      <c r="K268" s="48" t="s">
        <v>265</v>
      </c>
      <c r="L268" s="14" t="s">
        <v>561</v>
      </c>
      <c r="M268" s="32" t="s">
        <v>882</v>
      </c>
      <c r="N268" s="32" t="s">
        <v>279</v>
      </c>
      <c r="O268" s="32" t="s">
        <v>744</v>
      </c>
      <c r="P268" s="32" t="s">
        <v>745</v>
      </c>
      <c r="Q268" s="14" t="n">
        <v>7.5</v>
      </c>
      <c r="R268" s="32" t="s">
        <v>441</v>
      </c>
      <c r="S268" s="32" t="s">
        <v>563</v>
      </c>
      <c r="T268" s="49" t="s">
        <v>258</v>
      </c>
      <c r="U268" s="49" t="s">
        <v>259</v>
      </c>
      <c r="V268" s="49" t="s">
        <v>259</v>
      </c>
      <c r="W268" s="14" t="s">
        <v>260</v>
      </c>
      <c r="X268" s="14"/>
      <c r="Y268" s="48" t="s">
        <v>273</v>
      </c>
    </row>
    <row r="269" customFormat="false" ht="109.5" hidden="false" customHeight="true" outlineLevel="0" collapsed="false">
      <c r="A269" s="33" t="n">
        <v>264</v>
      </c>
      <c r="B269" s="34" t="n">
        <f aca="false">सारांश!$B$4+A269-1</f>
        <v>46604</v>
      </c>
      <c r="C269" s="33" t="str">
        <f aca="false">CHOOSE(WEEKDAY(B269,2),"सोमवार","मंगलवार","बुधवार","गुरुवार","शुक्रवार","शनिवार","रविवार")</f>
        <v>गुरुवार</v>
      </c>
      <c r="D269" s="33" t="n">
        <f aca="false">IF(A269=1,0,INT((A269-2)/7)+1)</f>
        <v>38</v>
      </c>
      <c r="E269" s="33" t="n">
        <f aca="false">(YEAR(B269)-YEAR(सारांश!$B$4))*12+MONTH(B269)-MONTH(सारांश!$B$4)+IF(DAY(B269)&gt;=DAY(सारांश!$B$4),1,0)</f>
        <v>9</v>
      </c>
      <c r="F269" s="35" t="s">
        <v>18</v>
      </c>
      <c r="G269" s="14" t="s">
        <v>436</v>
      </c>
      <c r="H269" s="32" t="s">
        <v>883</v>
      </c>
      <c r="I269" s="32" t="s">
        <v>484</v>
      </c>
      <c r="J269" s="48" t="s">
        <v>485</v>
      </c>
      <c r="K269" s="48" t="s">
        <v>265</v>
      </c>
      <c r="L269" s="14" t="s">
        <v>561</v>
      </c>
      <c r="M269" s="32" t="s">
        <v>884</v>
      </c>
      <c r="N269" s="32" t="s">
        <v>284</v>
      </c>
      <c r="O269" s="32" t="s">
        <v>744</v>
      </c>
      <c r="P269" s="32" t="s">
        <v>745</v>
      </c>
      <c r="Q269" s="14" t="n">
        <v>7.5</v>
      </c>
      <c r="R269" s="32" t="s">
        <v>441</v>
      </c>
      <c r="S269" s="32" t="s">
        <v>563</v>
      </c>
      <c r="T269" s="49" t="s">
        <v>258</v>
      </c>
      <c r="U269" s="49" t="s">
        <v>259</v>
      </c>
      <c r="V269" s="49" t="s">
        <v>259</v>
      </c>
      <c r="W269" s="14" t="s">
        <v>260</v>
      </c>
      <c r="X269" s="14"/>
      <c r="Y269" s="48" t="s">
        <v>273</v>
      </c>
    </row>
    <row r="270" customFormat="false" ht="126.75" hidden="false" customHeight="true" outlineLevel="0" collapsed="false">
      <c r="A270" s="33" t="n">
        <v>265</v>
      </c>
      <c r="B270" s="34" t="n">
        <f aca="false">सारांश!$B$4+A270-1</f>
        <v>46605</v>
      </c>
      <c r="C270" s="33" t="str">
        <f aca="false">CHOOSE(WEEKDAY(B270,2),"सोमवार","मंगलवार","बुधवार","गुरुवार","शुक्रवार","शनिवार","रविवार")</f>
        <v>शुक्रवार</v>
      </c>
      <c r="D270" s="33" t="n">
        <f aca="false">IF(A270=1,0,INT((A270-2)/7)+1)</f>
        <v>38</v>
      </c>
      <c r="E270" s="33" t="n">
        <f aca="false">(YEAR(B270)-YEAR(सारांश!$B$4))*12+MONTH(B270)-MONTH(सारांश!$B$4)+IF(DAY(B270)&gt;=DAY(सारांश!$B$4),1,0)</f>
        <v>9</v>
      </c>
      <c r="F270" s="35" t="s">
        <v>18</v>
      </c>
      <c r="G270" s="14" t="s">
        <v>436</v>
      </c>
      <c r="H270" s="32" t="s">
        <v>885</v>
      </c>
      <c r="I270" s="32" t="s">
        <v>492</v>
      </c>
      <c r="J270" s="48" t="s">
        <v>493</v>
      </c>
      <c r="K270" s="48" t="s">
        <v>265</v>
      </c>
      <c r="L270" s="14" t="s">
        <v>561</v>
      </c>
      <c r="M270" s="32" t="s">
        <v>886</v>
      </c>
      <c r="N270" s="32" t="s">
        <v>287</v>
      </c>
      <c r="O270" s="32" t="s">
        <v>744</v>
      </c>
      <c r="P270" s="32" t="s">
        <v>745</v>
      </c>
      <c r="Q270" s="14" t="n">
        <v>7.5</v>
      </c>
      <c r="R270" s="32" t="s">
        <v>441</v>
      </c>
      <c r="S270" s="32" t="s">
        <v>563</v>
      </c>
      <c r="T270" s="49" t="s">
        <v>258</v>
      </c>
      <c r="U270" s="49" t="s">
        <v>259</v>
      </c>
      <c r="V270" s="49" t="s">
        <v>259</v>
      </c>
      <c r="W270" s="14" t="s">
        <v>260</v>
      </c>
      <c r="X270" s="14"/>
      <c r="Y270" s="48" t="s">
        <v>273</v>
      </c>
    </row>
    <row r="271" customFormat="false" ht="126.75" hidden="false" customHeight="true" outlineLevel="0" collapsed="false">
      <c r="A271" s="33" t="n">
        <v>266</v>
      </c>
      <c r="B271" s="34" t="n">
        <f aca="false">सारांश!$B$4+A271-1</f>
        <v>46606</v>
      </c>
      <c r="C271" s="33" t="str">
        <f aca="false">CHOOSE(WEEKDAY(B271,2),"सोमवार","मंगलवार","बुधवार","गुरुवार","शुक्रवार","शनिवार","रविवार")</f>
        <v>शनिवार</v>
      </c>
      <c r="D271" s="33" t="n">
        <f aca="false">IF(A271=1,0,INT((A271-2)/7)+1)</f>
        <v>38</v>
      </c>
      <c r="E271" s="33" t="n">
        <f aca="false">(YEAR(B271)-YEAR(सारांश!$B$4))*12+MONTH(B271)-MONTH(सारांश!$B$4)+IF(DAY(B271)&gt;=DAY(सारांश!$B$4),1,0)</f>
        <v>9</v>
      </c>
      <c r="F271" s="35" t="s">
        <v>18</v>
      </c>
      <c r="G271" s="14" t="s">
        <v>436</v>
      </c>
      <c r="H271" s="32" t="s">
        <v>887</v>
      </c>
      <c r="I271" s="32" t="s">
        <v>492</v>
      </c>
      <c r="J271" s="48" t="s">
        <v>493</v>
      </c>
      <c r="K271" s="48" t="s">
        <v>265</v>
      </c>
      <c r="L271" s="14" t="s">
        <v>561</v>
      </c>
      <c r="M271" s="32" t="s">
        <v>888</v>
      </c>
      <c r="N271" s="32" t="s">
        <v>290</v>
      </c>
      <c r="O271" s="32" t="s">
        <v>744</v>
      </c>
      <c r="P271" s="32" t="s">
        <v>745</v>
      </c>
      <c r="Q271" s="14" t="n">
        <v>7.5</v>
      </c>
      <c r="R271" s="32" t="s">
        <v>441</v>
      </c>
      <c r="S271" s="32" t="s">
        <v>563</v>
      </c>
      <c r="T271" s="49" t="s">
        <v>258</v>
      </c>
      <c r="U271" s="49" t="s">
        <v>259</v>
      </c>
      <c r="V271" s="49" t="s">
        <v>259</v>
      </c>
      <c r="W271" s="14" t="s">
        <v>260</v>
      </c>
      <c r="X271" s="14"/>
      <c r="Y271" s="48" t="s">
        <v>273</v>
      </c>
    </row>
    <row r="272" customFormat="false" ht="93" hidden="false" customHeight="true" outlineLevel="0" collapsed="false">
      <c r="A272" s="50" t="n">
        <v>267</v>
      </c>
      <c r="B272" s="51" t="n">
        <f aca="false">सारांश!$B$4+A272-1</f>
        <v>46607</v>
      </c>
      <c r="C272" s="50" t="str">
        <f aca="false">CHOOSE(WEEKDAY(B272,2),"सोमवार","मंगलवार","बुधवार","गुरुवार","शुक्रवार","शनिवार","रविवार")</f>
        <v>रविवार</v>
      </c>
      <c r="D272" s="50" t="n">
        <f aca="false">IF(A272=1,0,INT((A272-2)/7)+1)</f>
        <v>38</v>
      </c>
      <c r="E272" s="50" t="n">
        <f aca="false">(YEAR(B272)-YEAR(सारांश!$B$4))*12+MONTH(B272)-MONTH(सारांश!$B$4)+IF(DAY(B272)&gt;=DAY(सारांश!$B$4),1,0)</f>
        <v>9</v>
      </c>
      <c r="F272" s="52" t="s">
        <v>18</v>
      </c>
      <c r="G272" s="50" t="s">
        <v>291</v>
      </c>
      <c r="H272" s="52" t="s">
        <v>127</v>
      </c>
      <c r="I272" s="52" t="s">
        <v>497</v>
      </c>
      <c r="J272" s="53" t="s">
        <v>293</v>
      </c>
      <c r="K272" s="53" t="s">
        <v>294</v>
      </c>
      <c r="L272" s="50" t="s">
        <v>295</v>
      </c>
      <c r="M272" s="52" t="s">
        <v>296</v>
      </c>
      <c r="N272" s="52" t="s">
        <v>297</v>
      </c>
      <c r="O272" s="52" t="s">
        <v>756</v>
      </c>
      <c r="P272" s="52" t="s">
        <v>299</v>
      </c>
      <c r="Q272" s="50" t="n">
        <v>6</v>
      </c>
      <c r="R272" s="52" t="s">
        <v>300</v>
      </c>
      <c r="S272" s="52" t="s">
        <v>257</v>
      </c>
      <c r="T272" s="54" t="s">
        <v>258</v>
      </c>
      <c r="U272" s="54" t="s">
        <v>259</v>
      </c>
      <c r="V272" s="54" t="s">
        <v>259</v>
      </c>
      <c r="W272" s="50" t="s">
        <v>260</v>
      </c>
      <c r="X272" s="50"/>
    </row>
    <row r="273" customFormat="false" ht="126.75" hidden="false" customHeight="true" outlineLevel="0" collapsed="false">
      <c r="A273" s="33" t="n">
        <v>268</v>
      </c>
      <c r="B273" s="34" t="n">
        <f aca="false">सारांश!$B$4+A273-1</f>
        <v>46608</v>
      </c>
      <c r="C273" s="33" t="str">
        <f aca="false">CHOOSE(WEEKDAY(B273,2),"सोमवार","मंगलवार","बुधवार","गुरुवार","शुक्रवार","शनिवार","रविवार")</f>
        <v>सोमवार</v>
      </c>
      <c r="D273" s="33" t="n">
        <f aca="false">IF(A273=1,0,INT((A273-2)/7)+1)</f>
        <v>39</v>
      </c>
      <c r="E273" s="33" t="n">
        <f aca="false">(YEAR(B273)-YEAR(सारांश!$B$4))*12+MONTH(B273)-MONTH(सारांश!$B$4)+IF(DAY(B273)&gt;=DAY(सारांश!$B$4),1,0)</f>
        <v>9</v>
      </c>
      <c r="F273" s="35" t="s">
        <v>18</v>
      </c>
      <c r="G273" s="14" t="s">
        <v>436</v>
      </c>
      <c r="H273" s="32" t="s">
        <v>889</v>
      </c>
      <c r="I273" s="32" t="s">
        <v>492</v>
      </c>
      <c r="J273" s="48" t="s">
        <v>493</v>
      </c>
      <c r="K273" s="48" t="s">
        <v>265</v>
      </c>
      <c r="L273" s="14" t="s">
        <v>561</v>
      </c>
      <c r="M273" s="32" t="s">
        <v>890</v>
      </c>
      <c r="N273" s="32" t="s">
        <v>268</v>
      </c>
      <c r="O273" s="32" t="s">
        <v>744</v>
      </c>
      <c r="P273" s="32" t="s">
        <v>745</v>
      </c>
      <c r="Q273" s="14" t="n">
        <v>7.5</v>
      </c>
      <c r="R273" s="32" t="s">
        <v>441</v>
      </c>
      <c r="S273" s="32" t="s">
        <v>563</v>
      </c>
      <c r="T273" s="49" t="s">
        <v>258</v>
      </c>
      <c r="U273" s="49" t="s">
        <v>259</v>
      </c>
      <c r="V273" s="49" t="s">
        <v>259</v>
      </c>
      <c r="W273" s="14" t="s">
        <v>260</v>
      </c>
      <c r="X273" s="14"/>
      <c r="Y273" s="48" t="s">
        <v>273</v>
      </c>
    </row>
    <row r="274" customFormat="false" ht="109.5" hidden="false" customHeight="true" outlineLevel="0" collapsed="false">
      <c r="A274" s="33" t="n">
        <v>269</v>
      </c>
      <c r="B274" s="34" t="n">
        <f aca="false">सारांश!$B$4+A274-1</f>
        <v>46609</v>
      </c>
      <c r="C274" s="33" t="str">
        <f aca="false">CHOOSE(WEEKDAY(B274,2),"सोमवार","मंगलवार","बुधवार","गुरुवार","शुक्रवार","शनिवार","रविवार")</f>
        <v>मंगलवार</v>
      </c>
      <c r="D274" s="33" t="n">
        <f aca="false">IF(A274=1,0,INT((A274-2)/7)+1)</f>
        <v>39</v>
      </c>
      <c r="E274" s="33" t="n">
        <f aca="false">(YEAR(B274)-YEAR(सारांश!$B$4))*12+MONTH(B274)-MONTH(सारांश!$B$4)+IF(DAY(B274)&gt;=DAY(सारांश!$B$4),1,0)</f>
        <v>9</v>
      </c>
      <c r="F274" s="35" t="s">
        <v>18</v>
      </c>
      <c r="G274" s="14" t="s">
        <v>436</v>
      </c>
      <c r="H274" s="32" t="s">
        <v>891</v>
      </c>
      <c r="I274" s="32" t="s">
        <v>501</v>
      </c>
      <c r="J274" s="48" t="s">
        <v>502</v>
      </c>
      <c r="K274" s="48" t="s">
        <v>265</v>
      </c>
      <c r="L274" s="14" t="s">
        <v>561</v>
      </c>
      <c r="M274" s="32" t="s">
        <v>892</v>
      </c>
      <c r="N274" s="32" t="s">
        <v>276</v>
      </c>
      <c r="O274" s="32" t="s">
        <v>744</v>
      </c>
      <c r="P274" s="32" t="s">
        <v>745</v>
      </c>
      <c r="Q274" s="14" t="n">
        <v>7.5</v>
      </c>
      <c r="R274" s="32" t="s">
        <v>441</v>
      </c>
      <c r="S274" s="32" t="s">
        <v>563</v>
      </c>
      <c r="T274" s="49" t="s">
        <v>258</v>
      </c>
      <c r="U274" s="49" t="s">
        <v>259</v>
      </c>
      <c r="V274" s="49" t="s">
        <v>259</v>
      </c>
      <c r="W274" s="14" t="s">
        <v>260</v>
      </c>
      <c r="X274" s="14"/>
      <c r="Y274" s="48" t="s">
        <v>273</v>
      </c>
    </row>
    <row r="275" customFormat="false" ht="109.5" hidden="false" customHeight="true" outlineLevel="0" collapsed="false">
      <c r="A275" s="33" t="n">
        <v>270</v>
      </c>
      <c r="B275" s="34" t="n">
        <f aca="false">सारांश!$B$4+A275-1</f>
        <v>46610</v>
      </c>
      <c r="C275" s="33" t="str">
        <f aca="false">CHOOSE(WEEKDAY(B275,2),"सोमवार","मंगलवार","बुधवार","गुरुवार","शुक्रवार","शनिवार","रविवार")</f>
        <v>बुधवार</v>
      </c>
      <c r="D275" s="33" t="n">
        <f aca="false">IF(A275=1,0,INT((A275-2)/7)+1)</f>
        <v>39</v>
      </c>
      <c r="E275" s="33" t="n">
        <f aca="false">(YEAR(B275)-YEAR(सारांश!$B$4))*12+MONTH(B275)-MONTH(सारांश!$B$4)+IF(DAY(B275)&gt;=DAY(सारांश!$B$4),1,0)</f>
        <v>9</v>
      </c>
      <c r="F275" s="35" t="s">
        <v>18</v>
      </c>
      <c r="G275" s="14" t="s">
        <v>436</v>
      </c>
      <c r="H275" s="32" t="s">
        <v>893</v>
      </c>
      <c r="I275" s="32" t="s">
        <v>501</v>
      </c>
      <c r="J275" s="48" t="s">
        <v>502</v>
      </c>
      <c r="K275" s="48" t="s">
        <v>265</v>
      </c>
      <c r="L275" s="14" t="s">
        <v>561</v>
      </c>
      <c r="M275" s="32" t="s">
        <v>894</v>
      </c>
      <c r="N275" s="32" t="s">
        <v>279</v>
      </c>
      <c r="O275" s="32" t="s">
        <v>744</v>
      </c>
      <c r="P275" s="32" t="s">
        <v>745</v>
      </c>
      <c r="Q275" s="14" t="n">
        <v>7.5</v>
      </c>
      <c r="R275" s="32" t="s">
        <v>441</v>
      </c>
      <c r="S275" s="32" t="s">
        <v>563</v>
      </c>
      <c r="T275" s="49" t="s">
        <v>258</v>
      </c>
      <c r="U275" s="49" t="s">
        <v>259</v>
      </c>
      <c r="V275" s="49" t="s">
        <v>259</v>
      </c>
      <c r="W275" s="14" t="s">
        <v>260</v>
      </c>
      <c r="X275" s="14"/>
      <c r="Y275" s="48" t="s">
        <v>273</v>
      </c>
    </row>
    <row r="276" customFormat="false" ht="109.5" hidden="false" customHeight="true" outlineLevel="0" collapsed="false">
      <c r="A276" s="33" t="n">
        <v>271</v>
      </c>
      <c r="B276" s="34" t="n">
        <f aca="false">सारांश!$B$4+A276-1</f>
        <v>46611</v>
      </c>
      <c r="C276" s="33" t="str">
        <f aca="false">CHOOSE(WEEKDAY(B276,2),"सोमवार","मंगलवार","बुधवार","गुरुवार","शुक्रवार","शनिवार","रविवार")</f>
        <v>गुरुवार</v>
      </c>
      <c r="D276" s="33" t="n">
        <f aca="false">IF(A276=1,0,INT((A276-2)/7)+1)</f>
        <v>39</v>
      </c>
      <c r="E276" s="33" t="n">
        <f aca="false">(YEAR(B276)-YEAR(सारांश!$B$4))*12+MONTH(B276)-MONTH(सारांश!$B$4)+IF(DAY(B276)&gt;=DAY(सारांश!$B$4),1,0)</f>
        <v>9</v>
      </c>
      <c r="F276" s="35" t="s">
        <v>18</v>
      </c>
      <c r="G276" s="14" t="s">
        <v>436</v>
      </c>
      <c r="H276" s="32" t="s">
        <v>895</v>
      </c>
      <c r="I276" s="32" t="s">
        <v>501</v>
      </c>
      <c r="J276" s="48" t="s">
        <v>502</v>
      </c>
      <c r="K276" s="48" t="s">
        <v>265</v>
      </c>
      <c r="L276" s="14" t="s">
        <v>561</v>
      </c>
      <c r="M276" s="32" t="s">
        <v>896</v>
      </c>
      <c r="N276" s="32" t="s">
        <v>284</v>
      </c>
      <c r="O276" s="32" t="s">
        <v>744</v>
      </c>
      <c r="P276" s="32" t="s">
        <v>745</v>
      </c>
      <c r="Q276" s="14" t="n">
        <v>7.5</v>
      </c>
      <c r="R276" s="32" t="s">
        <v>441</v>
      </c>
      <c r="S276" s="32" t="s">
        <v>563</v>
      </c>
      <c r="T276" s="49" t="s">
        <v>258</v>
      </c>
      <c r="U276" s="49" t="s">
        <v>259</v>
      </c>
      <c r="V276" s="49" t="s">
        <v>259</v>
      </c>
      <c r="W276" s="14" t="s">
        <v>260</v>
      </c>
      <c r="X276" s="14"/>
      <c r="Y276" s="48" t="s">
        <v>273</v>
      </c>
    </row>
    <row r="277" customFormat="false" ht="109.5" hidden="false" customHeight="true" outlineLevel="0" collapsed="false">
      <c r="A277" s="33" t="n">
        <v>272</v>
      </c>
      <c r="B277" s="34" t="n">
        <f aca="false">सारांश!$B$4+A277-1</f>
        <v>46612</v>
      </c>
      <c r="C277" s="33" t="str">
        <f aca="false">CHOOSE(WEEKDAY(B277,2),"सोमवार","मंगलवार","बुधवार","गुरुवार","शुक्रवार","शनिवार","रविवार")</f>
        <v>शुक्रवार</v>
      </c>
      <c r="D277" s="33" t="n">
        <f aca="false">IF(A277=1,0,INT((A277-2)/7)+1)</f>
        <v>39</v>
      </c>
      <c r="E277" s="33" t="n">
        <f aca="false">(YEAR(B277)-YEAR(सारांश!$B$4))*12+MONTH(B277)-MONTH(सारांश!$B$4)+IF(DAY(B277)&gt;=DAY(सारांश!$B$4),1,0)</f>
        <v>9</v>
      </c>
      <c r="F277" s="35" t="s">
        <v>18</v>
      </c>
      <c r="G277" s="14" t="s">
        <v>436</v>
      </c>
      <c r="H277" s="32" t="s">
        <v>897</v>
      </c>
      <c r="I277" s="32" t="s">
        <v>509</v>
      </c>
      <c r="J277" s="48" t="s">
        <v>510</v>
      </c>
      <c r="K277" s="48" t="s">
        <v>265</v>
      </c>
      <c r="L277" s="14" t="s">
        <v>898</v>
      </c>
      <c r="M277" s="32" t="s">
        <v>899</v>
      </c>
      <c r="N277" s="32" t="s">
        <v>287</v>
      </c>
      <c r="O277" s="32" t="s">
        <v>744</v>
      </c>
      <c r="P277" s="32" t="s">
        <v>745</v>
      </c>
      <c r="Q277" s="14" t="n">
        <v>7.5</v>
      </c>
      <c r="R277" s="32" t="s">
        <v>441</v>
      </c>
      <c r="S277" s="32" t="s">
        <v>900</v>
      </c>
      <c r="T277" s="49" t="s">
        <v>258</v>
      </c>
      <c r="U277" s="49" t="s">
        <v>259</v>
      </c>
      <c r="V277" s="49" t="s">
        <v>259</v>
      </c>
      <c r="W277" s="14" t="s">
        <v>260</v>
      </c>
      <c r="X277" s="14"/>
      <c r="Y277" s="48" t="s">
        <v>273</v>
      </c>
    </row>
    <row r="278" customFormat="false" ht="109.5" hidden="false" customHeight="true" outlineLevel="0" collapsed="false">
      <c r="A278" s="33" t="n">
        <v>273</v>
      </c>
      <c r="B278" s="34" t="n">
        <f aca="false">सारांश!$B$4+A278-1</f>
        <v>46613</v>
      </c>
      <c r="C278" s="33" t="str">
        <f aca="false">CHOOSE(WEEKDAY(B278,2),"सोमवार","मंगलवार","बुधवार","गुरुवार","शुक्रवार","शनिवार","रविवार")</f>
        <v>शनिवार</v>
      </c>
      <c r="D278" s="33" t="n">
        <f aca="false">IF(A278=1,0,INT((A278-2)/7)+1)</f>
        <v>39</v>
      </c>
      <c r="E278" s="33" t="n">
        <f aca="false">(YEAR(B278)-YEAR(सारांश!$B$4))*12+MONTH(B278)-MONTH(सारांश!$B$4)+IF(DAY(B278)&gt;=DAY(सारांश!$B$4),1,0)</f>
        <v>9</v>
      </c>
      <c r="F278" s="35" t="s">
        <v>18</v>
      </c>
      <c r="G278" s="14" t="s">
        <v>436</v>
      </c>
      <c r="H278" s="32" t="s">
        <v>901</v>
      </c>
      <c r="I278" s="32" t="s">
        <v>509</v>
      </c>
      <c r="J278" s="48" t="s">
        <v>510</v>
      </c>
      <c r="K278" s="48" t="s">
        <v>265</v>
      </c>
      <c r="L278" s="14" t="s">
        <v>898</v>
      </c>
      <c r="M278" s="32" t="s">
        <v>902</v>
      </c>
      <c r="N278" s="32" t="s">
        <v>290</v>
      </c>
      <c r="O278" s="32" t="s">
        <v>744</v>
      </c>
      <c r="P278" s="32" t="s">
        <v>745</v>
      </c>
      <c r="Q278" s="14" t="n">
        <v>7.5</v>
      </c>
      <c r="R278" s="32" t="s">
        <v>441</v>
      </c>
      <c r="S278" s="32" t="s">
        <v>900</v>
      </c>
      <c r="T278" s="49" t="s">
        <v>258</v>
      </c>
      <c r="U278" s="49" t="s">
        <v>259</v>
      </c>
      <c r="V278" s="49" t="s">
        <v>259</v>
      </c>
      <c r="W278" s="14" t="s">
        <v>260</v>
      </c>
      <c r="X278" s="14"/>
      <c r="Y278" s="48" t="s">
        <v>273</v>
      </c>
    </row>
    <row r="279" customFormat="false" ht="93" hidden="false" customHeight="true" outlineLevel="0" collapsed="false">
      <c r="A279" s="50" t="n">
        <v>274</v>
      </c>
      <c r="B279" s="51" t="n">
        <f aca="false">सारांश!$B$4+A279-1</f>
        <v>46614</v>
      </c>
      <c r="C279" s="50" t="str">
        <f aca="false">CHOOSE(WEEKDAY(B279,2),"सोमवार","मंगलवार","बुधवार","गुरुवार","शुक्रवार","शनिवार","रविवार")</f>
        <v>रविवार</v>
      </c>
      <c r="D279" s="50" t="n">
        <f aca="false">IF(A279=1,0,INT((A279-2)/7)+1)</f>
        <v>39</v>
      </c>
      <c r="E279" s="50" t="n">
        <f aca="false">(YEAR(B279)-YEAR(सारांश!$B$4))*12+MONTH(B279)-MONTH(सारांश!$B$4)+IF(DAY(B279)&gt;=DAY(सारांश!$B$4),1,0)</f>
        <v>10</v>
      </c>
      <c r="F279" s="52" t="s">
        <v>18</v>
      </c>
      <c r="G279" s="50" t="s">
        <v>291</v>
      </c>
      <c r="H279" s="52" t="s">
        <v>127</v>
      </c>
      <c r="I279" s="52" t="s">
        <v>514</v>
      </c>
      <c r="J279" s="53" t="s">
        <v>293</v>
      </c>
      <c r="K279" s="53" t="s">
        <v>294</v>
      </c>
      <c r="L279" s="50" t="s">
        <v>295</v>
      </c>
      <c r="M279" s="52" t="s">
        <v>296</v>
      </c>
      <c r="N279" s="52" t="s">
        <v>297</v>
      </c>
      <c r="O279" s="52" t="s">
        <v>756</v>
      </c>
      <c r="P279" s="52" t="s">
        <v>299</v>
      </c>
      <c r="Q279" s="50" t="n">
        <v>6</v>
      </c>
      <c r="R279" s="52" t="s">
        <v>300</v>
      </c>
      <c r="S279" s="52" t="s">
        <v>257</v>
      </c>
      <c r="T279" s="54" t="s">
        <v>258</v>
      </c>
      <c r="U279" s="54" t="s">
        <v>259</v>
      </c>
      <c r="V279" s="54" t="s">
        <v>259</v>
      </c>
      <c r="W279" s="50" t="s">
        <v>260</v>
      </c>
      <c r="X279" s="50"/>
    </row>
    <row r="280" customFormat="false" ht="109.5" hidden="false" customHeight="true" outlineLevel="0" collapsed="false">
      <c r="A280" s="33" t="n">
        <v>275</v>
      </c>
      <c r="B280" s="34" t="n">
        <f aca="false">सारांश!$B$4+A280-1</f>
        <v>46615</v>
      </c>
      <c r="C280" s="33" t="str">
        <f aca="false">CHOOSE(WEEKDAY(B280,2),"सोमवार","मंगलवार","बुधवार","गुरुवार","शुक्रवार","शनिवार","रविवार")</f>
        <v>सोमवार</v>
      </c>
      <c r="D280" s="33" t="n">
        <f aca="false">IF(A280=1,0,INT((A280-2)/7)+1)</f>
        <v>40</v>
      </c>
      <c r="E280" s="33" t="n">
        <f aca="false">(YEAR(B280)-YEAR(सारांश!$B$4))*12+MONTH(B280)-MONTH(सारांश!$B$4)+IF(DAY(B280)&gt;=DAY(सारांश!$B$4),1,0)</f>
        <v>10</v>
      </c>
      <c r="F280" s="35" t="s">
        <v>18</v>
      </c>
      <c r="G280" s="14" t="s">
        <v>436</v>
      </c>
      <c r="H280" s="32" t="s">
        <v>903</v>
      </c>
      <c r="I280" s="32" t="s">
        <v>509</v>
      </c>
      <c r="J280" s="48" t="s">
        <v>510</v>
      </c>
      <c r="K280" s="48" t="s">
        <v>265</v>
      </c>
      <c r="L280" s="14" t="s">
        <v>898</v>
      </c>
      <c r="M280" s="32" t="s">
        <v>904</v>
      </c>
      <c r="N280" s="32" t="s">
        <v>268</v>
      </c>
      <c r="O280" s="32" t="s">
        <v>744</v>
      </c>
      <c r="P280" s="32" t="s">
        <v>745</v>
      </c>
      <c r="Q280" s="14" t="n">
        <v>7.5</v>
      </c>
      <c r="R280" s="32" t="s">
        <v>441</v>
      </c>
      <c r="S280" s="32" t="s">
        <v>900</v>
      </c>
      <c r="T280" s="49" t="s">
        <v>258</v>
      </c>
      <c r="U280" s="49" t="s">
        <v>259</v>
      </c>
      <c r="V280" s="49" t="s">
        <v>259</v>
      </c>
      <c r="W280" s="14" t="s">
        <v>260</v>
      </c>
      <c r="X280" s="14"/>
      <c r="Y280" s="48" t="s">
        <v>273</v>
      </c>
    </row>
    <row r="281" customFormat="false" ht="126.75" hidden="false" customHeight="true" outlineLevel="0" collapsed="false">
      <c r="A281" s="33" t="n">
        <v>276</v>
      </c>
      <c r="B281" s="34" t="n">
        <f aca="false">सारांश!$B$4+A281-1</f>
        <v>46616</v>
      </c>
      <c r="C281" s="33" t="str">
        <f aca="false">CHOOSE(WEEKDAY(B281,2),"सोमवार","मंगलवार","बुधवार","गुरुवार","शुक्रवार","शनिवार","रविवार")</f>
        <v>मंगलवार</v>
      </c>
      <c r="D281" s="33" t="n">
        <f aca="false">IF(A281=1,0,INT((A281-2)/7)+1)</f>
        <v>40</v>
      </c>
      <c r="E281" s="33" t="n">
        <f aca="false">(YEAR(B281)-YEAR(सारांश!$B$4))*12+MONTH(B281)-MONTH(सारांश!$B$4)+IF(DAY(B281)&gt;=DAY(सारांश!$B$4),1,0)</f>
        <v>10</v>
      </c>
      <c r="F281" s="35" t="s">
        <v>18</v>
      </c>
      <c r="G281" s="14" t="s">
        <v>436</v>
      </c>
      <c r="H281" s="32" t="s">
        <v>905</v>
      </c>
      <c r="I281" s="32" t="s">
        <v>518</v>
      </c>
      <c r="J281" s="48" t="s">
        <v>519</v>
      </c>
      <c r="K281" s="48" t="s">
        <v>265</v>
      </c>
      <c r="L281" s="14" t="s">
        <v>898</v>
      </c>
      <c r="M281" s="32" t="s">
        <v>906</v>
      </c>
      <c r="N281" s="32" t="s">
        <v>276</v>
      </c>
      <c r="O281" s="32" t="s">
        <v>744</v>
      </c>
      <c r="P281" s="32" t="s">
        <v>745</v>
      </c>
      <c r="Q281" s="14" t="n">
        <v>7.5</v>
      </c>
      <c r="R281" s="32" t="s">
        <v>441</v>
      </c>
      <c r="S281" s="32" t="s">
        <v>900</v>
      </c>
      <c r="T281" s="49" t="s">
        <v>258</v>
      </c>
      <c r="U281" s="49" t="s">
        <v>259</v>
      </c>
      <c r="V281" s="49" t="s">
        <v>259</v>
      </c>
      <c r="W281" s="14" t="s">
        <v>260</v>
      </c>
      <c r="X281" s="14"/>
      <c r="Y281" s="48" t="s">
        <v>273</v>
      </c>
    </row>
    <row r="282" customFormat="false" ht="126.75" hidden="false" customHeight="true" outlineLevel="0" collapsed="false">
      <c r="A282" s="33" t="n">
        <v>277</v>
      </c>
      <c r="B282" s="34" t="n">
        <f aca="false">सारांश!$B$4+A282-1</f>
        <v>46617</v>
      </c>
      <c r="C282" s="33" t="str">
        <f aca="false">CHOOSE(WEEKDAY(B282,2),"सोमवार","मंगलवार","बुधवार","गुरुवार","शुक्रवार","शनिवार","रविवार")</f>
        <v>बुधवार</v>
      </c>
      <c r="D282" s="33" t="n">
        <f aca="false">IF(A282=1,0,INT((A282-2)/7)+1)</f>
        <v>40</v>
      </c>
      <c r="E282" s="33" t="n">
        <f aca="false">(YEAR(B282)-YEAR(सारांश!$B$4))*12+MONTH(B282)-MONTH(सारांश!$B$4)+IF(DAY(B282)&gt;=DAY(सारांश!$B$4),1,0)</f>
        <v>10</v>
      </c>
      <c r="F282" s="35" t="s">
        <v>18</v>
      </c>
      <c r="G282" s="14" t="s">
        <v>436</v>
      </c>
      <c r="H282" s="32" t="s">
        <v>907</v>
      </c>
      <c r="I282" s="32" t="s">
        <v>518</v>
      </c>
      <c r="J282" s="48" t="s">
        <v>519</v>
      </c>
      <c r="K282" s="48" t="s">
        <v>265</v>
      </c>
      <c r="L282" s="14" t="s">
        <v>898</v>
      </c>
      <c r="M282" s="32" t="s">
        <v>908</v>
      </c>
      <c r="N282" s="32" t="s">
        <v>279</v>
      </c>
      <c r="O282" s="32" t="s">
        <v>744</v>
      </c>
      <c r="P282" s="32" t="s">
        <v>745</v>
      </c>
      <c r="Q282" s="14" t="n">
        <v>7.5</v>
      </c>
      <c r="R282" s="32" t="s">
        <v>441</v>
      </c>
      <c r="S282" s="32" t="s">
        <v>900</v>
      </c>
      <c r="T282" s="49" t="s">
        <v>258</v>
      </c>
      <c r="U282" s="49" t="s">
        <v>259</v>
      </c>
      <c r="V282" s="49" t="s">
        <v>259</v>
      </c>
      <c r="W282" s="14" t="s">
        <v>260</v>
      </c>
      <c r="X282" s="14"/>
      <c r="Y282" s="48" t="s">
        <v>273</v>
      </c>
    </row>
    <row r="283" customFormat="false" ht="126.75" hidden="false" customHeight="true" outlineLevel="0" collapsed="false">
      <c r="A283" s="33" t="n">
        <v>278</v>
      </c>
      <c r="B283" s="34" t="n">
        <f aca="false">सारांश!$B$4+A283-1</f>
        <v>46618</v>
      </c>
      <c r="C283" s="33" t="str">
        <f aca="false">CHOOSE(WEEKDAY(B283,2),"सोमवार","मंगलवार","बुधवार","गुरुवार","शुक्रवार","शनिवार","रविवार")</f>
        <v>गुरुवार</v>
      </c>
      <c r="D283" s="33" t="n">
        <f aca="false">IF(A283=1,0,INT((A283-2)/7)+1)</f>
        <v>40</v>
      </c>
      <c r="E283" s="33" t="n">
        <f aca="false">(YEAR(B283)-YEAR(सारांश!$B$4))*12+MONTH(B283)-MONTH(सारांश!$B$4)+IF(DAY(B283)&gt;=DAY(सारांश!$B$4),1,0)</f>
        <v>10</v>
      </c>
      <c r="F283" s="35" t="s">
        <v>18</v>
      </c>
      <c r="G283" s="14" t="s">
        <v>436</v>
      </c>
      <c r="H283" s="32" t="s">
        <v>909</v>
      </c>
      <c r="I283" s="32" t="s">
        <v>518</v>
      </c>
      <c r="J283" s="48" t="s">
        <v>519</v>
      </c>
      <c r="K283" s="48" t="s">
        <v>265</v>
      </c>
      <c r="L283" s="14" t="s">
        <v>898</v>
      </c>
      <c r="M283" s="32" t="s">
        <v>910</v>
      </c>
      <c r="N283" s="32" t="s">
        <v>284</v>
      </c>
      <c r="O283" s="32" t="s">
        <v>744</v>
      </c>
      <c r="P283" s="32" t="s">
        <v>745</v>
      </c>
      <c r="Q283" s="14" t="n">
        <v>7.5</v>
      </c>
      <c r="R283" s="32" t="s">
        <v>441</v>
      </c>
      <c r="S283" s="32" t="s">
        <v>900</v>
      </c>
      <c r="T283" s="49" t="s">
        <v>258</v>
      </c>
      <c r="U283" s="49" t="s">
        <v>259</v>
      </c>
      <c r="V283" s="49" t="s">
        <v>259</v>
      </c>
      <c r="W283" s="14" t="s">
        <v>260</v>
      </c>
      <c r="X283" s="14"/>
      <c r="Y283" s="48" t="s">
        <v>273</v>
      </c>
    </row>
    <row r="284" customFormat="false" ht="109.5" hidden="false" customHeight="true" outlineLevel="0" collapsed="false">
      <c r="A284" s="33" t="n">
        <v>279</v>
      </c>
      <c r="B284" s="34" t="n">
        <f aca="false">सारांश!$B$4+A284-1</f>
        <v>46619</v>
      </c>
      <c r="C284" s="33" t="str">
        <f aca="false">CHOOSE(WEEKDAY(B284,2),"सोमवार","मंगलवार","बुधवार","गुरुवार","शुक्रवार","शनिवार","रविवार")</f>
        <v>शुक्रवार</v>
      </c>
      <c r="D284" s="33" t="n">
        <f aca="false">IF(A284=1,0,INT((A284-2)/7)+1)</f>
        <v>40</v>
      </c>
      <c r="E284" s="33" t="n">
        <f aca="false">(YEAR(B284)-YEAR(सारांश!$B$4))*12+MONTH(B284)-MONTH(सारांश!$B$4)+IF(DAY(B284)&gt;=DAY(सारांश!$B$4),1,0)</f>
        <v>10</v>
      </c>
      <c r="F284" s="35" t="s">
        <v>18</v>
      </c>
      <c r="G284" s="14" t="s">
        <v>436</v>
      </c>
      <c r="H284" s="32" t="s">
        <v>911</v>
      </c>
      <c r="I284" s="32" t="s">
        <v>526</v>
      </c>
      <c r="J284" s="48" t="s">
        <v>527</v>
      </c>
      <c r="K284" s="48" t="s">
        <v>265</v>
      </c>
      <c r="L284" s="14" t="s">
        <v>898</v>
      </c>
      <c r="M284" s="32" t="s">
        <v>912</v>
      </c>
      <c r="N284" s="32" t="s">
        <v>287</v>
      </c>
      <c r="O284" s="32" t="s">
        <v>744</v>
      </c>
      <c r="P284" s="32" t="s">
        <v>745</v>
      </c>
      <c r="Q284" s="14" t="n">
        <v>7.5</v>
      </c>
      <c r="R284" s="32" t="s">
        <v>441</v>
      </c>
      <c r="S284" s="32" t="s">
        <v>900</v>
      </c>
      <c r="T284" s="49" t="s">
        <v>258</v>
      </c>
      <c r="U284" s="49" t="s">
        <v>259</v>
      </c>
      <c r="V284" s="49" t="s">
        <v>259</v>
      </c>
      <c r="W284" s="14" t="s">
        <v>260</v>
      </c>
      <c r="X284" s="14"/>
      <c r="Y284" s="48" t="s">
        <v>273</v>
      </c>
    </row>
    <row r="285" customFormat="false" ht="109.5" hidden="false" customHeight="true" outlineLevel="0" collapsed="false">
      <c r="A285" s="33" t="n">
        <v>280</v>
      </c>
      <c r="B285" s="34" t="n">
        <f aca="false">सारांश!$B$4+A285-1</f>
        <v>46620</v>
      </c>
      <c r="C285" s="33" t="str">
        <f aca="false">CHOOSE(WEEKDAY(B285,2),"सोमवार","मंगलवार","बुधवार","गुरुवार","शुक्रवार","शनिवार","रविवार")</f>
        <v>शनिवार</v>
      </c>
      <c r="D285" s="33" t="n">
        <f aca="false">IF(A285=1,0,INT((A285-2)/7)+1)</f>
        <v>40</v>
      </c>
      <c r="E285" s="33" t="n">
        <f aca="false">(YEAR(B285)-YEAR(सारांश!$B$4))*12+MONTH(B285)-MONTH(सारांश!$B$4)+IF(DAY(B285)&gt;=DAY(सारांश!$B$4),1,0)</f>
        <v>10</v>
      </c>
      <c r="F285" s="35" t="s">
        <v>18</v>
      </c>
      <c r="G285" s="14" t="s">
        <v>436</v>
      </c>
      <c r="H285" s="32" t="s">
        <v>913</v>
      </c>
      <c r="I285" s="32" t="s">
        <v>526</v>
      </c>
      <c r="J285" s="48" t="s">
        <v>527</v>
      </c>
      <c r="K285" s="48" t="s">
        <v>265</v>
      </c>
      <c r="L285" s="14" t="s">
        <v>898</v>
      </c>
      <c r="M285" s="32" t="s">
        <v>914</v>
      </c>
      <c r="N285" s="32" t="s">
        <v>290</v>
      </c>
      <c r="O285" s="32" t="s">
        <v>744</v>
      </c>
      <c r="P285" s="32" t="s">
        <v>745</v>
      </c>
      <c r="Q285" s="14" t="n">
        <v>7.5</v>
      </c>
      <c r="R285" s="32" t="s">
        <v>441</v>
      </c>
      <c r="S285" s="32" t="s">
        <v>900</v>
      </c>
      <c r="T285" s="49" t="s">
        <v>258</v>
      </c>
      <c r="U285" s="49" t="s">
        <v>259</v>
      </c>
      <c r="V285" s="49" t="s">
        <v>259</v>
      </c>
      <c r="W285" s="14" t="s">
        <v>260</v>
      </c>
      <c r="X285" s="14"/>
      <c r="Y285" s="48" t="s">
        <v>273</v>
      </c>
    </row>
    <row r="286" customFormat="false" ht="75.75" hidden="false" customHeight="true" outlineLevel="0" collapsed="false">
      <c r="A286" s="50" t="n">
        <v>281</v>
      </c>
      <c r="B286" s="51" t="n">
        <f aca="false">सारांश!$B$4+A286-1</f>
        <v>46621</v>
      </c>
      <c r="C286" s="50" t="str">
        <f aca="false">CHOOSE(WEEKDAY(B286,2),"सोमवार","मंगलवार","बुधवार","गुरुवार","शुक्रवार","शनिवार","रविवार")</f>
        <v>रविवार</v>
      </c>
      <c r="D286" s="50" t="n">
        <f aca="false">IF(A286=1,0,INT((A286-2)/7)+1)</f>
        <v>40</v>
      </c>
      <c r="E286" s="50" t="n">
        <f aca="false">(YEAR(B286)-YEAR(सारांश!$B$4))*12+MONTH(B286)-MONTH(सारांश!$B$4)+IF(DAY(B286)&gt;=DAY(सारांश!$B$4),1,0)</f>
        <v>10</v>
      </c>
      <c r="F286" s="52" t="s">
        <v>18</v>
      </c>
      <c r="G286" s="50" t="s">
        <v>291</v>
      </c>
      <c r="H286" s="52" t="s">
        <v>135</v>
      </c>
      <c r="I286" s="52" t="s">
        <v>531</v>
      </c>
      <c r="J286" s="53" t="s">
        <v>293</v>
      </c>
      <c r="K286" s="53" t="s">
        <v>294</v>
      </c>
      <c r="L286" s="50" t="s">
        <v>295</v>
      </c>
      <c r="M286" s="52" t="s">
        <v>296</v>
      </c>
      <c r="N286" s="52" t="s">
        <v>297</v>
      </c>
      <c r="O286" s="52" t="s">
        <v>756</v>
      </c>
      <c r="P286" s="52" t="s">
        <v>299</v>
      </c>
      <c r="Q286" s="50" t="n">
        <v>6</v>
      </c>
      <c r="R286" s="52" t="s">
        <v>300</v>
      </c>
      <c r="S286" s="52" t="s">
        <v>257</v>
      </c>
      <c r="T286" s="54" t="s">
        <v>258</v>
      </c>
      <c r="U286" s="54" t="s">
        <v>259</v>
      </c>
      <c r="V286" s="54" t="s">
        <v>259</v>
      </c>
      <c r="W286" s="50" t="s">
        <v>260</v>
      </c>
      <c r="X286" s="50"/>
    </row>
    <row r="287" customFormat="false" ht="109.5" hidden="false" customHeight="true" outlineLevel="0" collapsed="false">
      <c r="A287" s="33" t="n">
        <v>282</v>
      </c>
      <c r="B287" s="34" t="n">
        <f aca="false">सारांश!$B$4+A287-1</f>
        <v>46622</v>
      </c>
      <c r="C287" s="33" t="str">
        <f aca="false">CHOOSE(WEEKDAY(B287,2),"सोमवार","मंगलवार","बुधवार","गुरुवार","शुक्रवार","शनिवार","रविवार")</f>
        <v>सोमवार</v>
      </c>
      <c r="D287" s="33" t="n">
        <f aca="false">IF(A287=1,0,INT((A287-2)/7)+1)</f>
        <v>41</v>
      </c>
      <c r="E287" s="33" t="n">
        <f aca="false">(YEAR(B287)-YEAR(सारांश!$B$4))*12+MONTH(B287)-MONTH(सारांश!$B$4)+IF(DAY(B287)&gt;=DAY(सारांश!$B$4),1,0)</f>
        <v>10</v>
      </c>
      <c r="F287" s="35" t="s">
        <v>18</v>
      </c>
      <c r="G287" s="14" t="s">
        <v>436</v>
      </c>
      <c r="H287" s="32" t="s">
        <v>915</v>
      </c>
      <c r="I287" s="32" t="s">
        <v>526</v>
      </c>
      <c r="J287" s="48" t="s">
        <v>527</v>
      </c>
      <c r="K287" s="48" t="s">
        <v>265</v>
      </c>
      <c r="L287" s="14" t="s">
        <v>898</v>
      </c>
      <c r="M287" s="32" t="s">
        <v>916</v>
      </c>
      <c r="N287" s="32" t="s">
        <v>268</v>
      </c>
      <c r="O287" s="32" t="s">
        <v>744</v>
      </c>
      <c r="P287" s="32" t="s">
        <v>745</v>
      </c>
      <c r="Q287" s="14" t="n">
        <v>7.5</v>
      </c>
      <c r="R287" s="32" t="s">
        <v>441</v>
      </c>
      <c r="S287" s="32" t="s">
        <v>900</v>
      </c>
      <c r="T287" s="49" t="s">
        <v>258</v>
      </c>
      <c r="U287" s="49" t="s">
        <v>259</v>
      </c>
      <c r="V287" s="49" t="s">
        <v>259</v>
      </c>
      <c r="W287" s="14" t="s">
        <v>260</v>
      </c>
      <c r="X287" s="14"/>
      <c r="Y287" s="48" t="s">
        <v>273</v>
      </c>
    </row>
    <row r="288" customFormat="false" ht="109.5" hidden="false" customHeight="true" outlineLevel="0" collapsed="false">
      <c r="A288" s="33" t="n">
        <v>283</v>
      </c>
      <c r="B288" s="34" t="n">
        <f aca="false">सारांश!$B$4+A288-1</f>
        <v>46623</v>
      </c>
      <c r="C288" s="33" t="str">
        <f aca="false">CHOOSE(WEEKDAY(B288,2),"सोमवार","मंगलवार","बुधवार","गुरुवार","शुक्रवार","शनिवार","रविवार")</f>
        <v>मंगलवार</v>
      </c>
      <c r="D288" s="33" t="n">
        <f aca="false">IF(A288=1,0,INT((A288-2)/7)+1)</f>
        <v>41</v>
      </c>
      <c r="E288" s="33" t="n">
        <f aca="false">(YEAR(B288)-YEAR(सारांश!$B$4))*12+MONTH(B288)-MONTH(सारांश!$B$4)+IF(DAY(B288)&gt;=DAY(सारांश!$B$4),1,0)</f>
        <v>10</v>
      </c>
      <c r="F288" s="35" t="s">
        <v>18</v>
      </c>
      <c r="G288" s="14" t="s">
        <v>436</v>
      </c>
      <c r="H288" s="32" t="s">
        <v>917</v>
      </c>
      <c r="I288" s="32" t="s">
        <v>526</v>
      </c>
      <c r="J288" s="48" t="s">
        <v>527</v>
      </c>
      <c r="K288" s="48" t="s">
        <v>265</v>
      </c>
      <c r="L288" s="14" t="s">
        <v>898</v>
      </c>
      <c r="M288" s="32" t="s">
        <v>918</v>
      </c>
      <c r="N288" s="32" t="s">
        <v>276</v>
      </c>
      <c r="O288" s="32" t="s">
        <v>744</v>
      </c>
      <c r="P288" s="32" t="s">
        <v>745</v>
      </c>
      <c r="Q288" s="14" t="n">
        <v>7.5</v>
      </c>
      <c r="R288" s="32" t="s">
        <v>441</v>
      </c>
      <c r="S288" s="32" t="s">
        <v>900</v>
      </c>
      <c r="T288" s="49" t="s">
        <v>258</v>
      </c>
      <c r="U288" s="49" t="s">
        <v>259</v>
      </c>
      <c r="V288" s="49" t="s">
        <v>259</v>
      </c>
      <c r="W288" s="14" t="s">
        <v>260</v>
      </c>
      <c r="X288" s="14"/>
      <c r="Y288" s="48" t="s">
        <v>273</v>
      </c>
    </row>
    <row r="289" customFormat="false" ht="126.75" hidden="false" customHeight="true" outlineLevel="0" collapsed="false">
      <c r="A289" s="33" t="n">
        <v>284</v>
      </c>
      <c r="B289" s="34" t="n">
        <f aca="false">सारांश!$B$4+A289-1</f>
        <v>46624</v>
      </c>
      <c r="C289" s="33" t="str">
        <f aca="false">CHOOSE(WEEKDAY(B289,2),"सोमवार","मंगलवार","बुधवार","गुरुवार","शुक्रवार","शनिवार","रविवार")</f>
        <v>बुधवार</v>
      </c>
      <c r="D289" s="33" t="n">
        <f aca="false">IF(A289=1,0,INT((A289-2)/7)+1)</f>
        <v>41</v>
      </c>
      <c r="E289" s="33" t="n">
        <f aca="false">(YEAR(B289)-YEAR(सारांश!$B$4))*12+MONTH(B289)-MONTH(सारांश!$B$4)+IF(DAY(B289)&gt;=DAY(सारांश!$B$4),1,0)</f>
        <v>10</v>
      </c>
      <c r="F289" s="35" t="s">
        <v>18</v>
      </c>
      <c r="G289" s="14" t="s">
        <v>536</v>
      </c>
      <c r="H289" s="32" t="s">
        <v>919</v>
      </c>
      <c r="I289" s="32" t="s">
        <v>538</v>
      </c>
      <c r="J289" s="48" t="s">
        <v>539</v>
      </c>
      <c r="K289" s="48" t="s">
        <v>540</v>
      </c>
      <c r="L289" s="14" t="s">
        <v>898</v>
      </c>
      <c r="M289" s="32" t="s">
        <v>920</v>
      </c>
      <c r="N289" s="32" t="s">
        <v>279</v>
      </c>
      <c r="O289" s="32" t="s">
        <v>744</v>
      </c>
      <c r="P289" s="32" t="s">
        <v>745</v>
      </c>
      <c r="Q289" s="14" t="n">
        <v>7.5</v>
      </c>
      <c r="R289" s="32" t="s">
        <v>542</v>
      </c>
      <c r="S289" s="32" t="s">
        <v>900</v>
      </c>
      <c r="T289" s="49" t="s">
        <v>258</v>
      </c>
      <c r="U289" s="49" t="s">
        <v>259</v>
      </c>
      <c r="V289" s="49" t="s">
        <v>259</v>
      </c>
      <c r="W289" s="14" t="s">
        <v>260</v>
      </c>
      <c r="X289" s="14"/>
      <c r="Y289" s="48" t="s">
        <v>273</v>
      </c>
    </row>
    <row r="290" customFormat="false" ht="126.75" hidden="false" customHeight="true" outlineLevel="0" collapsed="false">
      <c r="A290" s="33" t="n">
        <v>285</v>
      </c>
      <c r="B290" s="34" t="n">
        <f aca="false">सारांश!$B$4+A290-1</f>
        <v>46625</v>
      </c>
      <c r="C290" s="33" t="str">
        <f aca="false">CHOOSE(WEEKDAY(B290,2),"सोमवार","मंगलवार","बुधवार","गुरुवार","शुक्रवार","शनिवार","रविवार")</f>
        <v>गुरुवार</v>
      </c>
      <c r="D290" s="33" t="n">
        <f aca="false">IF(A290=1,0,INT((A290-2)/7)+1)</f>
        <v>41</v>
      </c>
      <c r="E290" s="33" t="n">
        <f aca="false">(YEAR(B290)-YEAR(सारांश!$B$4))*12+MONTH(B290)-MONTH(सारांश!$B$4)+IF(DAY(B290)&gt;=DAY(सारांश!$B$4),1,0)</f>
        <v>10</v>
      </c>
      <c r="F290" s="35" t="s">
        <v>18</v>
      </c>
      <c r="G290" s="14" t="s">
        <v>536</v>
      </c>
      <c r="H290" s="32" t="s">
        <v>921</v>
      </c>
      <c r="I290" s="32" t="s">
        <v>538</v>
      </c>
      <c r="J290" s="48" t="s">
        <v>539</v>
      </c>
      <c r="K290" s="48" t="s">
        <v>540</v>
      </c>
      <c r="L290" s="14" t="s">
        <v>898</v>
      </c>
      <c r="M290" s="32" t="s">
        <v>922</v>
      </c>
      <c r="N290" s="32" t="s">
        <v>284</v>
      </c>
      <c r="O290" s="32" t="s">
        <v>744</v>
      </c>
      <c r="P290" s="32" t="s">
        <v>745</v>
      </c>
      <c r="Q290" s="14" t="n">
        <v>7.5</v>
      </c>
      <c r="R290" s="32" t="s">
        <v>542</v>
      </c>
      <c r="S290" s="32" t="s">
        <v>900</v>
      </c>
      <c r="T290" s="49" t="s">
        <v>258</v>
      </c>
      <c r="U290" s="49" t="s">
        <v>259</v>
      </c>
      <c r="V290" s="49" t="s">
        <v>259</v>
      </c>
      <c r="W290" s="14" t="s">
        <v>260</v>
      </c>
      <c r="X290" s="14"/>
      <c r="Y290" s="48" t="s">
        <v>273</v>
      </c>
    </row>
    <row r="291" customFormat="false" ht="126.75" hidden="false" customHeight="true" outlineLevel="0" collapsed="false">
      <c r="A291" s="33" t="n">
        <v>286</v>
      </c>
      <c r="B291" s="34" t="n">
        <f aca="false">सारांश!$B$4+A291-1</f>
        <v>46626</v>
      </c>
      <c r="C291" s="33" t="str">
        <f aca="false">CHOOSE(WEEKDAY(B291,2),"सोमवार","मंगलवार","बुधवार","गुरुवार","शुक्रवार","शनिवार","रविवार")</f>
        <v>शुक्रवार</v>
      </c>
      <c r="D291" s="33" t="n">
        <f aca="false">IF(A291=1,0,INT((A291-2)/7)+1)</f>
        <v>41</v>
      </c>
      <c r="E291" s="33" t="n">
        <f aca="false">(YEAR(B291)-YEAR(सारांश!$B$4))*12+MONTH(B291)-MONTH(सारांश!$B$4)+IF(DAY(B291)&gt;=DAY(सारांश!$B$4),1,0)</f>
        <v>10</v>
      </c>
      <c r="F291" s="35" t="s">
        <v>18</v>
      </c>
      <c r="G291" s="14" t="s">
        <v>536</v>
      </c>
      <c r="H291" s="32" t="s">
        <v>923</v>
      </c>
      <c r="I291" s="32" t="s">
        <v>538</v>
      </c>
      <c r="J291" s="48" t="s">
        <v>539</v>
      </c>
      <c r="K291" s="48" t="s">
        <v>540</v>
      </c>
      <c r="L291" s="14" t="s">
        <v>898</v>
      </c>
      <c r="M291" s="32" t="s">
        <v>924</v>
      </c>
      <c r="N291" s="32" t="s">
        <v>287</v>
      </c>
      <c r="O291" s="32" t="s">
        <v>744</v>
      </c>
      <c r="P291" s="32" t="s">
        <v>745</v>
      </c>
      <c r="Q291" s="14" t="n">
        <v>7.5</v>
      </c>
      <c r="R291" s="32" t="s">
        <v>542</v>
      </c>
      <c r="S291" s="32" t="s">
        <v>900</v>
      </c>
      <c r="T291" s="49" t="s">
        <v>258</v>
      </c>
      <c r="U291" s="49" t="s">
        <v>259</v>
      </c>
      <c r="V291" s="49" t="s">
        <v>259</v>
      </c>
      <c r="W291" s="14" t="s">
        <v>260</v>
      </c>
      <c r="X291" s="14"/>
      <c r="Y291" s="48" t="s">
        <v>273</v>
      </c>
    </row>
    <row r="292" customFormat="false" ht="126.75" hidden="false" customHeight="true" outlineLevel="0" collapsed="false">
      <c r="A292" s="33" t="n">
        <v>287</v>
      </c>
      <c r="B292" s="34" t="n">
        <f aca="false">सारांश!$B$4+A292-1</f>
        <v>46627</v>
      </c>
      <c r="C292" s="33" t="str">
        <f aca="false">CHOOSE(WEEKDAY(B292,2),"सोमवार","मंगलवार","बुधवार","गुरुवार","शुक्रवार","शनिवार","रविवार")</f>
        <v>शनिवार</v>
      </c>
      <c r="D292" s="33" t="n">
        <f aca="false">IF(A292=1,0,INT((A292-2)/7)+1)</f>
        <v>41</v>
      </c>
      <c r="E292" s="33" t="n">
        <f aca="false">(YEAR(B292)-YEAR(सारांश!$B$4))*12+MONTH(B292)-MONTH(सारांश!$B$4)+IF(DAY(B292)&gt;=DAY(सारांश!$B$4),1,0)</f>
        <v>10</v>
      </c>
      <c r="F292" s="35" t="s">
        <v>18</v>
      </c>
      <c r="G292" s="14" t="s">
        <v>536</v>
      </c>
      <c r="H292" s="32" t="s">
        <v>925</v>
      </c>
      <c r="I292" s="32" t="s">
        <v>548</v>
      </c>
      <c r="J292" s="48" t="s">
        <v>549</v>
      </c>
      <c r="K292" s="48" t="s">
        <v>540</v>
      </c>
      <c r="L292" s="14" t="s">
        <v>898</v>
      </c>
      <c r="M292" s="32" t="s">
        <v>926</v>
      </c>
      <c r="N292" s="32" t="s">
        <v>290</v>
      </c>
      <c r="O292" s="32" t="s">
        <v>744</v>
      </c>
      <c r="P292" s="32" t="s">
        <v>745</v>
      </c>
      <c r="Q292" s="14" t="n">
        <v>7.5</v>
      </c>
      <c r="R292" s="32" t="s">
        <v>542</v>
      </c>
      <c r="S292" s="32" t="s">
        <v>900</v>
      </c>
      <c r="T292" s="49" t="s">
        <v>258</v>
      </c>
      <c r="U292" s="49" t="s">
        <v>259</v>
      </c>
      <c r="V292" s="49" t="s">
        <v>259</v>
      </c>
      <c r="W292" s="14" t="s">
        <v>260</v>
      </c>
      <c r="X292" s="14"/>
      <c r="Y292" s="48" t="s">
        <v>273</v>
      </c>
    </row>
    <row r="293" customFormat="false" ht="93" hidden="false" customHeight="true" outlineLevel="0" collapsed="false">
      <c r="A293" s="50" t="n">
        <v>288</v>
      </c>
      <c r="B293" s="51" t="n">
        <f aca="false">सारांश!$B$4+A293-1</f>
        <v>46628</v>
      </c>
      <c r="C293" s="50" t="str">
        <f aca="false">CHOOSE(WEEKDAY(B293,2),"सोमवार","मंगलवार","बुधवार","गुरुवार","शुक्रवार","शनिवार","रविवार")</f>
        <v>रविवार</v>
      </c>
      <c r="D293" s="50" t="n">
        <f aca="false">IF(A293=1,0,INT((A293-2)/7)+1)</f>
        <v>41</v>
      </c>
      <c r="E293" s="50" t="n">
        <f aca="false">(YEAR(B293)-YEAR(सारांश!$B$4))*12+MONTH(B293)-MONTH(सारांश!$B$4)+IF(DAY(B293)&gt;=DAY(सारांश!$B$4),1,0)</f>
        <v>10</v>
      </c>
      <c r="F293" s="52" t="s">
        <v>18</v>
      </c>
      <c r="G293" s="50" t="s">
        <v>291</v>
      </c>
      <c r="H293" s="52" t="s">
        <v>127</v>
      </c>
      <c r="I293" s="52" t="s">
        <v>551</v>
      </c>
      <c r="J293" s="53" t="s">
        <v>293</v>
      </c>
      <c r="K293" s="53" t="s">
        <v>294</v>
      </c>
      <c r="L293" s="50" t="s">
        <v>295</v>
      </c>
      <c r="M293" s="52" t="s">
        <v>296</v>
      </c>
      <c r="N293" s="52" t="s">
        <v>297</v>
      </c>
      <c r="O293" s="52" t="s">
        <v>756</v>
      </c>
      <c r="P293" s="52" t="s">
        <v>299</v>
      </c>
      <c r="Q293" s="50" t="n">
        <v>6</v>
      </c>
      <c r="R293" s="52" t="s">
        <v>300</v>
      </c>
      <c r="S293" s="52" t="s">
        <v>257</v>
      </c>
      <c r="T293" s="54" t="s">
        <v>258</v>
      </c>
      <c r="U293" s="54" t="s">
        <v>259</v>
      </c>
      <c r="V293" s="54" t="s">
        <v>259</v>
      </c>
      <c r="W293" s="50" t="s">
        <v>260</v>
      </c>
      <c r="X293" s="50"/>
    </row>
    <row r="294" customFormat="false" ht="126.75" hidden="false" customHeight="true" outlineLevel="0" collapsed="false">
      <c r="A294" s="33" t="n">
        <v>289</v>
      </c>
      <c r="B294" s="34" t="n">
        <f aca="false">सारांश!$B$4+A294-1</f>
        <v>46629</v>
      </c>
      <c r="C294" s="33" t="str">
        <f aca="false">CHOOSE(WEEKDAY(B294,2),"सोमवार","मंगलवार","बुधवार","गुरुवार","शुक्रवार","शनिवार","रविवार")</f>
        <v>सोमवार</v>
      </c>
      <c r="D294" s="33" t="n">
        <f aca="false">IF(A294=1,0,INT((A294-2)/7)+1)</f>
        <v>42</v>
      </c>
      <c r="E294" s="33" t="n">
        <f aca="false">(YEAR(B294)-YEAR(सारांश!$B$4))*12+MONTH(B294)-MONTH(सारांश!$B$4)+IF(DAY(B294)&gt;=DAY(सारांश!$B$4),1,0)</f>
        <v>10</v>
      </c>
      <c r="F294" s="35" t="s">
        <v>18</v>
      </c>
      <c r="G294" s="14" t="s">
        <v>536</v>
      </c>
      <c r="H294" s="32" t="s">
        <v>927</v>
      </c>
      <c r="I294" s="32" t="s">
        <v>548</v>
      </c>
      <c r="J294" s="48" t="s">
        <v>549</v>
      </c>
      <c r="K294" s="48" t="s">
        <v>540</v>
      </c>
      <c r="L294" s="14" t="s">
        <v>898</v>
      </c>
      <c r="M294" s="32" t="s">
        <v>928</v>
      </c>
      <c r="N294" s="32" t="s">
        <v>268</v>
      </c>
      <c r="O294" s="32" t="s">
        <v>744</v>
      </c>
      <c r="P294" s="32" t="s">
        <v>745</v>
      </c>
      <c r="Q294" s="14" t="n">
        <v>7.5</v>
      </c>
      <c r="R294" s="32" t="s">
        <v>542</v>
      </c>
      <c r="S294" s="32" t="s">
        <v>900</v>
      </c>
      <c r="T294" s="49" t="s">
        <v>258</v>
      </c>
      <c r="U294" s="49" t="s">
        <v>259</v>
      </c>
      <c r="V294" s="49" t="s">
        <v>259</v>
      </c>
      <c r="W294" s="14" t="s">
        <v>260</v>
      </c>
      <c r="X294" s="14"/>
      <c r="Y294" s="48" t="s">
        <v>273</v>
      </c>
    </row>
    <row r="295" customFormat="false" ht="126.75" hidden="false" customHeight="true" outlineLevel="0" collapsed="false">
      <c r="A295" s="33" t="n">
        <v>290</v>
      </c>
      <c r="B295" s="34" t="n">
        <f aca="false">सारांश!$B$4+A295-1</f>
        <v>46630</v>
      </c>
      <c r="C295" s="33" t="str">
        <f aca="false">CHOOSE(WEEKDAY(B295,2),"सोमवार","मंगलवार","बुधवार","गुरुवार","शुक्रवार","शनिवार","रविवार")</f>
        <v>मंगलवार</v>
      </c>
      <c r="D295" s="33" t="n">
        <f aca="false">IF(A295=1,0,INT((A295-2)/7)+1)</f>
        <v>42</v>
      </c>
      <c r="E295" s="33" t="n">
        <f aca="false">(YEAR(B295)-YEAR(सारांश!$B$4))*12+MONTH(B295)-MONTH(सारांश!$B$4)+IF(DAY(B295)&gt;=DAY(सारांश!$B$4),1,0)</f>
        <v>10</v>
      </c>
      <c r="F295" s="35" t="s">
        <v>18</v>
      </c>
      <c r="G295" s="14" t="s">
        <v>536</v>
      </c>
      <c r="H295" s="32" t="s">
        <v>929</v>
      </c>
      <c r="I295" s="32" t="s">
        <v>548</v>
      </c>
      <c r="J295" s="48" t="s">
        <v>549</v>
      </c>
      <c r="K295" s="48" t="s">
        <v>540</v>
      </c>
      <c r="L295" s="14" t="s">
        <v>898</v>
      </c>
      <c r="M295" s="32" t="s">
        <v>930</v>
      </c>
      <c r="N295" s="32" t="s">
        <v>276</v>
      </c>
      <c r="O295" s="32" t="s">
        <v>744</v>
      </c>
      <c r="P295" s="32" t="s">
        <v>745</v>
      </c>
      <c r="Q295" s="14" t="n">
        <v>7.5</v>
      </c>
      <c r="R295" s="32" t="s">
        <v>542</v>
      </c>
      <c r="S295" s="32" t="s">
        <v>900</v>
      </c>
      <c r="T295" s="49" t="s">
        <v>258</v>
      </c>
      <c r="U295" s="49" t="s">
        <v>259</v>
      </c>
      <c r="V295" s="49" t="s">
        <v>259</v>
      </c>
      <c r="W295" s="14" t="s">
        <v>260</v>
      </c>
      <c r="X295" s="14"/>
      <c r="Y295" s="48" t="s">
        <v>273</v>
      </c>
    </row>
    <row r="296" customFormat="false" ht="144" hidden="false" customHeight="true" outlineLevel="0" collapsed="false">
      <c r="A296" s="33" t="n">
        <v>291</v>
      </c>
      <c r="B296" s="34" t="n">
        <f aca="false">सारांश!$B$4+A296-1</f>
        <v>46631</v>
      </c>
      <c r="C296" s="33" t="str">
        <f aca="false">CHOOSE(WEEKDAY(B296,2),"सोमवार","मंगलवार","बुधवार","गुरुवार","शुक्रवार","शनिवार","रविवार")</f>
        <v>बुधवार</v>
      </c>
      <c r="D296" s="33" t="n">
        <f aca="false">IF(A296=1,0,INT((A296-2)/7)+1)</f>
        <v>42</v>
      </c>
      <c r="E296" s="33" t="n">
        <f aca="false">(YEAR(B296)-YEAR(सारांश!$B$4))*12+MONTH(B296)-MONTH(सारांश!$B$4)+IF(DAY(B296)&gt;=DAY(सारांश!$B$4),1,0)</f>
        <v>10</v>
      </c>
      <c r="F296" s="35" t="s">
        <v>18</v>
      </c>
      <c r="G296" s="14" t="s">
        <v>536</v>
      </c>
      <c r="H296" s="32" t="s">
        <v>931</v>
      </c>
      <c r="I296" s="32" t="s">
        <v>557</v>
      </c>
      <c r="J296" s="48" t="s">
        <v>558</v>
      </c>
      <c r="K296" s="48" t="s">
        <v>540</v>
      </c>
      <c r="L296" s="14" t="s">
        <v>898</v>
      </c>
      <c r="M296" s="32" t="s">
        <v>932</v>
      </c>
      <c r="N296" s="32" t="s">
        <v>279</v>
      </c>
      <c r="O296" s="32" t="s">
        <v>744</v>
      </c>
      <c r="P296" s="32" t="s">
        <v>745</v>
      </c>
      <c r="Q296" s="14" t="n">
        <v>7.5</v>
      </c>
      <c r="R296" s="32" t="s">
        <v>542</v>
      </c>
      <c r="S296" s="32" t="s">
        <v>900</v>
      </c>
      <c r="T296" s="49" t="s">
        <v>258</v>
      </c>
      <c r="U296" s="49" t="s">
        <v>259</v>
      </c>
      <c r="V296" s="49" t="s">
        <v>259</v>
      </c>
      <c r="W296" s="14" t="s">
        <v>260</v>
      </c>
      <c r="X296" s="14"/>
      <c r="Y296" s="48" t="s">
        <v>273</v>
      </c>
    </row>
    <row r="297" customFormat="false" ht="144" hidden="false" customHeight="true" outlineLevel="0" collapsed="false">
      <c r="A297" s="33" t="n">
        <v>292</v>
      </c>
      <c r="B297" s="34" t="n">
        <f aca="false">सारांश!$B$4+A297-1</f>
        <v>46632</v>
      </c>
      <c r="C297" s="33" t="str">
        <f aca="false">CHOOSE(WEEKDAY(B297,2),"सोमवार","मंगलवार","बुधवार","गुरुवार","शुक्रवार","शनिवार","रविवार")</f>
        <v>गुरुवार</v>
      </c>
      <c r="D297" s="33" t="n">
        <f aca="false">IF(A297=1,0,INT((A297-2)/7)+1)</f>
        <v>42</v>
      </c>
      <c r="E297" s="33" t="n">
        <f aca="false">(YEAR(B297)-YEAR(सारांश!$B$4))*12+MONTH(B297)-MONTH(सारांश!$B$4)+IF(DAY(B297)&gt;=DAY(सारांश!$B$4),1,0)</f>
        <v>10</v>
      </c>
      <c r="F297" s="35" t="s">
        <v>18</v>
      </c>
      <c r="G297" s="14" t="s">
        <v>536</v>
      </c>
      <c r="H297" s="32" t="s">
        <v>933</v>
      </c>
      <c r="I297" s="32" t="s">
        <v>557</v>
      </c>
      <c r="J297" s="48" t="s">
        <v>558</v>
      </c>
      <c r="K297" s="48" t="s">
        <v>540</v>
      </c>
      <c r="L297" s="14" t="s">
        <v>898</v>
      </c>
      <c r="M297" s="32" t="s">
        <v>934</v>
      </c>
      <c r="N297" s="32" t="s">
        <v>284</v>
      </c>
      <c r="O297" s="32" t="s">
        <v>744</v>
      </c>
      <c r="P297" s="32" t="s">
        <v>745</v>
      </c>
      <c r="Q297" s="14" t="n">
        <v>7.5</v>
      </c>
      <c r="R297" s="32" t="s">
        <v>542</v>
      </c>
      <c r="S297" s="32" t="s">
        <v>900</v>
      </c>
      <c r="T297" s="49" t="s">
        <v>258</v>
      </c>
      <c r="U297" s="49" t="s">
        <v>259</v>
      </c>
      <c r="V297" s="49" t="s">
        <v>259</v>
      </c>
      <c r="W297" s="14" t="s">
        <v>260</v>
      </c>
      <c r="X297" s="14"/>
      <c r="Y297" s="48" t="s">
        <v>273</v>
      </c>
    </row>
    <row r="298" customFormat="false" ht="144" hidden="false" customHeight="true" outlineLevel="0" collapsed="false">
      <c r="A298" s="33" t="n">
        <v>293</v>
      </c>
      <c r="B298" s="34" t="n">
        <f aca="false">सारांश!$B$4+A298-1</f>
        <v>46633</v>
      </c>
      <c r="C298" s="33" t="str">
        <f aca="false">CHOOSE(WEEKDAY(B298,2),"सोमवार","मंगलवार","बुधवार","गुरुवार","शुक्रवार","शनिवार","रविवार")</f>
        <v>शुक्रवार</v>
      </c>
      <c r="D298" s="33" t="n">
        <f aca="false">IF(A298=1,0,INT((A298-2)/7)+1)</f>
        <v>42</v>
      </c>
      <c r="E298" s="33" t="n">
        <f aca="false">(YEAR(B298)-YEAR(सारांश!$B$4))*12+MONTH(B298)-MONTH(सारांश!$B$4)+IF(DAY(B298)&gt;=DAY(सारांश!$B$4),1,0)</f>
        <v>10</v>
      </c>
      <c r="F298" s="35" t="s">
        <v>18</v>
      </c>
      <c r="G298" s="14" t="s">
        <v>536</v>
      </c>
      <c r="H298" s="32" t="s">
        <v>935</v>
      </c>
      <c r="I298" s="32" t="s">
        <v>557</v>
      </c>
      <c r="J298" s="48" t="s">
        <v>558</v>
      </c>
      <c r="K298" s="48" t="s">
        <v>540</v>
      </c>
      <c r="L298" s="14" t="s">
        <v>898</v>
      </c>
      <c r="M298" s="32" t="s">
        <v>936</v>
      </c>
      <c r="N298" s="32" t="s">
        <v>287</v>
      </c>
      <c r="O298" s="32" t="s">
        <v>744</v>
      </c>
      <c r="P298" s="32" t="s">
        <v>745</v>
      </c>
      <c r="Q298" s="14" t="n">
        <v>7.5</v>
      </c>
      <c r="R298" s="32" t="s">
        <v>542</v>
      </c>
      <c r="S298" s="32" t="s">
        <v>900</v>
      </c>
      <c r="T298" s="49" t="s">
        <v>258</v>
      </c>
      <c r="U298" s="49" t="s">
        <v>259</v>
      </c>
      <c r="V298" s="49" t="s">
        <v>259</v>
      </c>
      <c r="W298" s="14" t="s">
        <v>260</v>
      </c>
      <c r="X298" s="14"/>
      <c r="Y298" s="48" t="s">
        <v>273</v>
      </c>
    </row>
    <row r="299" customFormat="false" ht="126.75" hidden="false" customHeight="true" outlineLevel="0" collapsed="false">
      <c r="A299" s="33" t="n">
        <v>294</v>
      </c>
      <c r="B299" s="34" t="n">
        <f aca="false">सारांश!$B$4+A299-1</f>
        <v>46634</v>
      </c>
      <c r="C299" s="33" t="str">
        <f aca="false">CHOOSE(WEEKDAY(B299,2),"सोमवार","मंगलवार","बुधवार","गुरुवार","शुक्रवार","शनिवार","रविवार")</f>
        <v>शनिवार</v>
      </c>
      <c r="D299" s="33" t="n">
        <f aca="false">IF(A299=1,0,INT((A299-2)/7)+1)</f>
        <v>42</v>
      </c>
      <c r="E299" s="33" t="n">
        <f aca="false">(YEAR(B299)-YEAR(सारांश!$B$4))*12+MONTH(B299)-MONTH(सारांश!$B$4)+IF(DAY(B299)&gt;=DAY(सारांश!$B$4),1,0)</f>
        <v>10</v>
      </c>
      <c r="F299" s="35" t="s">
        <v>18</v>
      </c>
      <c r="G299" s="14" t="s">
        <v>536</v>
      </c>
      <c r="H299" s="32" t="s">
        <v>937</v>
      </c>
      <c r="I299" s="32" t="s">
        <v>567</v>
      </c>
      <c r="J299" s="48" t="s">
        <v>568</v>
      </c>
      <c r="K299" s="48" t="s">
        <v>540</v>
      </c>
      <c r="L299" s="14" t="s">
        <v>898</v>
      </c>
      <c r="M299" s="32" t="s">
        <v>938</v>
      </c>
      <c r="N299" s="32" t="s">
        <v>290</v>
      </c>
      <c r="O299" s="32" t="s">
        <v>744</v>
      </c>
      <c r="P299" s="32" t="s">
        <v>745</v>
      </c>
      <c r="Q299" s="14" t="n">
        <v>7.5</v>
      </c>
      <c r="R299" s="32" t="s">
        <v>542</v>
      </c>
      <c r="S299" s="32" t="s">
        <v>900</v>
      </c>
      <c r="T299" s="49" t="s">
        <v>258</v>
      </c>
      <c r="U299" s="49" t="s">
        <v>259</v>
      </c>
      <c r="V299" s="49" t="s">
        <v>259</v>
      </c>
      <c r="W299" s="14" t="s">
        <v>260</v>
      </c>
      <c r="X299" s="14"/>
      <c r="Y299" s="48" t="s">
        <v>273</v>
      </c>
    </row>
    <row r="300" customFormat="false" ht="93" hidden="false" customHeight="true" outlineLevel="0" collapsed="false">
      <c r="A300" s="50" t="n">
        <v>295</v>
      </c>
      <c r="B300" s="51" t="n">
        <f aca="false">सारांश!$B$4+A300-1</f>
        <v>46635</v>
      </c>
      <c r="C300" s="50" t="str">
        <f aca="false">CHOOSE(WEEKDAY(B300,2),"सोमवार","मंगलवार","बुधवार","गुरुवार","शुक्रवार","शनिवार","रविवार")</f>
        <v>रविवार</v>
      </c>
      <c r="D300" s="50" t="n">
        <f aca="false">IF(A300=1,0,INT((A300-2)/7)+1)</f>
        <v>42</v>
      </c>
      <c r="E300" s="50" t="n">
        <f aca="false">(YEAR(B300)-YEAR(सारांश!$B$4))*12+MONTH(B300)-MONTH(सारांश!$B$4)+IF(DAY(B300)&gt;=DAY(सारांश!$B$4),1,0)</f>
        <v>10</v>
      </c>
      <c r="F300" s="52" t="s">
        <v>18</v>
      </c>
      <c r="G300" s="50" t="s">
        <v>291</v>
      </c>
      <c r="H300" s="52" t="s">
        <v>127</v>
      </c>
      <c r="I300" s="52" t="s">
        <v>570</v>
      </c>
      <c r="J300" s="53" t="s">
        <v>293</v>
      </c>
      <c r="K300" s="53" t="s">
        <v>294</v>
      </c>
      <c r="L300" s="50" t="s">
        <v>295</v>
      </c>
      <c r="M300" s="52" t="s">
        <v>296</v>
      </c>
      <c r="N300" s="52" t="s">
        <v>297</v>
      </c>
      <c r="O300" s="52" t="s">
        <v>756</v>
      </c>
      <c r="P300" s="52" t="s">
        <v>299</v>
      </c>
      <c r="Q300" s="50" t="n">
        <v>6</v>
      </c>
      <c r="R300" s="52" t="s">
        <v>300</v>
      </c>
      <c r="S300" s="52" t="s">
        <v>257</v>
      </c>
      <c r="T300" s="54" t="s">
        <v>258</v>
      </c>
      <c r="U300" s="54" t="s">
        <v>259</v>
      </c>
      <c r="V300" s="54" t="s">
        <v>259</v>
      </c>
      <c r="W300" s="50" t="s">
        <v>260</v>
      </c>
      <c r="X300" s="50"/>
    </row>
    <row r="301" customFormat="false" ht="126.75" hidden="false" customHeight="true" outlineLevel="0" collapsed="false">
      <c r="A301" s="33" t="n">
        <v>296</v>
      </c>
      <c r="B301" s="34" t="n">
        <f aca="false">सारांश!$B$4+A301-1</f>
        <v>46636</v>
      </c>
      <c r="C301" s="33" t="str">
        <f aca="false">CHOOSE(WEEKDAY(B301,2),"सोमवार","मंगलवार","बुधवार","गुरुवार","शुक्रवार","शनिवार","रविवार")</f>
        <v>सोमवार</v>
      </c>
      <c r="D301" s="33" t="n">
        <f aca="false">IF(A301=1,0,INT((A301-2)/7)+1)</f>
        <v>43</v>
      </c>
      <c r="E301" s="33" t="n">
        <f aca="false">(YEAR(B301)-YEAR(सारांश!$B$4))*12+MONTH(B301)-MONTH(सारांश!$B$4)+IF(DAY(B301)&gt;=DAY(सारांश!$B$4),1,0)</f>
        <v>10</v>
      </c>
      <c r="F301" s="35" t="s">
        <v>18</v>
      </c>
      <c r="G301" s="14" t="s">
        <v>536</v>
      </c>
      <c r="H301" s="32" t="s">
        <v>939</v>
      </c>
      <c r="I301" s="32" t="s">
        <v>567</v>
      </c>
      <c r="J301" s="48" t="s">
        <v>568</v>
      </c>
      <c r="K301" s="48" t="s">
        <v>540</v>
      </c>
      <c r="L301" s="14" t="s">
        <v>898</v>
      </c>
      <c r="M301" s="32" t="s">
        <v>940</v>
      </c>
      <c r="N301" s="32" t="s">
        <v>268</v>
      </c>
      <c r="O301" s="32" t="s">
        <v>744</v>
      </c>
      <c r="P301" s="32" t="s">
        <v>745</v>
      </c>
      <c r="Q301" s="14" t="n">
        <v>7.5</v>
      </c>
      <c r="R301" s="32" t="s">
        <v>542</v>
      </c>
      <c r="S301" s="32" t="s">
        <v>900</v>
      </c>
      <c r="T301" s="49" t="s">
        <v>258</v>
      </c>
      <c r="U301" s="49" t="s">
        <v>259</v>
      </c>
      <c r="V301" s="49" t="s">
        <v>259</v>
      </c>
      <c r="W301" s="14" t="s">
        <v>260</v>
      </c>
      <c r="X301" s="14"/>
      <c r="Y301" s="48" t="s">
        <v>273</v>
      </c>
    </row>
    <row r="302" customFormat="false" ht="126.75" hidden="false" customHeight="true" outlineLevel="0" collapsed="false">
      <c r="A302" s="33" t="n">
        <v>297</v>
      </c>
      <c r="B302" s="34" t="n">
        <f aca="false">सारांश!$B$4+A302-1</f>
        <v>46637</v>
      </c>
      <c r="C302" s="33" t="str">
        <f aca="false">CHOOSE(WEEKDAY(B302,2),"सोमवार","मंगलवार","बुधवार","गुरुवार","शुक्रवार","शनिवार","रविवार")</f>
        <v>मंगलवार</v>
      </c>
      <c r="D302" s="33" t="n">
        <f aca="false">IF(A302=1,0,INT((A302-2)/7)+1)</f>
        <v>43</v>
      </c>
      <c r="E302" s="33" t="n">
        <f aca="false">(YEAR(B302)-YEAR(सारांश!$B$4))*12+MONTH(B302)-MONTH(सारांश!$B$4)+IF(DAY(B302)&gt;=DAY(सारांश!$B$4),1,0)</f>
        <v>10</v>
      </c>
      <c r="F302" s="35" t="s">
        <v>18</v>
      </c>
      <c r="G302" s="14" t="s">
        <v>536</v>
      </c>
      <c r="H302" s="32" t="s">
        <v>941</v>
      </c>
      <c r="I302" s="32" t="s">
        <v>567</v>
      </c>
      <c r="J302" s="48" t="s">
        <v>568</v>
      </c>
      <c r="K302" s="48" t="s">
        <v>540</v>
      </c>
      <c r="L302" s="14" t="s">
        <v>898</v>
      </c>
      <c r="M302" s="32" t="s">
        <v>942</v>
      </c>
      <c r="N302" s="32" t="s">
        <v>276</v>
      </c>
      <c r="O302" s="32" t="s">
        <v>744</v>
      </c>
      <c r="P302" s="32" t="s">
        <v>745</v>
      </c>
      <c r="Q302" s="14" t="n">
        <v>7.5</v>
      </c>
      <c r="R302" s="32" t="s">
        <v>542</v>
      </c>
      <c r="S302" s="32" t="s">
        <v>900</v>
      </c>
      <c r="T302" s="49" t="s">
        <v>258</v>
      </c>
      <c r="U302" s="49" t="s">
        <v>259</v>
      </c>
      <c r="V302" s="49" t="s">
        <v>259</v>
      </c>
      <c r="W302" s="14" t="s">
        <v>260</v>
      </c>
      <c r="X302" s="14"/>
      <c r="Y302" s="48" t="s">
        <v>273</v>
      </c>
    </row>
    <row r="303" customFormat="false" ht="109.5" hidden="false" customHeight="true" outlineLevel="0" collapsed="false">
      <c r="A303" s="33" t="n">
        <v>298</v>
      </c>
      <c r="B303" s="34" t="n">
        <f aca="false">सारांश!$B$4+A303-1</f>
        <v>46638</v>
      </c>
      <c r="C303" s="33" t="str">
        <f aca="false">CHOOSE(WEEKDAY(B303,2),"सोमवार","मंगलवार","बुधवार","गुरुवार","शुक्रवार","शनिवार","रविवार")</f>
        <v>बुधवार</v>
      </c>
      <c r="D303" s="33" t="n">
        <f aca="false">IF(A303=1,0,INT((A303-2)/7)+1)</f>
        <v>43</v>
      </c>
      <c r="E303" s="33" t="n">
        <f aca="false">(YEAR(B303)-YEAR(सारांश!$B$4))*12+MONTH(B303)-MONTH(सारांश!$B$4)+IF(DAY(B303)&gt;=DAY(सारांश!$B$4),1,0)</f>
        <v>10</v>
      </c>
      <c r="F303" s="35" t="s">
        <v>18</v>
      </c>
      <c r="G303" s="14" t="s">
        <v>536</v>
      </c>
      <c r="H303" s="32" t="s">
        <v>943</v>
      </c>
      <c r="I303" s="32" t="s">
        <v>576</v>
      </c>
      <c r="J303" s="48" t="s">
        <v>577</v>
      </c>
      <c r="K303" s="48" t="s">
        <v>540</v>
      </c>
      <c r="L303" s="14" t="s">
        <v>898</v>
      </c>
      <c r="M303" s="32" t="s">
        <v>944</v>
      </c>
      <c r="N303" s="32" t="s">
        <v>279</v>
      </c>
      <c r="O303" s="32" t="s">
        <v>744</v>
      </c>
      <c r="P303" s="32" t="s">
        <v>745</v>
      </c>
      <c r="Q303" s="14" t="n">
        <v>7.5</v>
      </c>
      <c r="R303" s="32" t="s">
        <v>542</v>
      </c>
      <c r="S303" s="32" t="s">
        <v>900</v>
      </c>
      <c r="T303" s="49" t="s">
        <v>258</v>
      </c>
      <c r="U303" s="49" t="s">
        <v>259</v>
      </c>
      <c r="V303" s="49" t="s">
        <v>259</v>
      </c>
      <c r="W303" s="14" t="s">
        <v>260</v>
      </c>
      <c r="X303" s="14"/>
      <c r="Y303" s="48" t="s">
        <v>273</v>
      </c>
    </row>
    <row r="304" customFormat="false" ht="109.5" hidden="false" customHeight="true" outlineLevel="0" collapsed="false">
      <c r="A304" s="33" t="n">
        <v>299</v>
      </c>
      <c r="B304" s="34" t="n">
        <f aca="false">सारांश!$B$4+A304-1</f>
        <v>46639</v>
      </c>
      <c r="C304" s="33" t="str">
        <f aca="false">CHOOSE(WEEKDAY(B304,2),"सोमवार","मंगलवार","बुधवार","गुरुवार","शुक्रवार","शनिवार","रविवार")</f>
        <v>गुरुवार</v>
      </c>
      <c r="D304" s="33" t="n">
        <f aca="false">IF(A304=1,0,INT((A304-2)/7)+1)</f>
        <v>43</v>
      </c>
      <c r="E304" s="33" t="n">
        <f aca="false">(YEAR(B304)-YEAR(सारांश!$B$4))*12+MONTH(B304)-MONTH(सारांश!$B$4)+IF(DAY(B304)&gt;=DAY(सारांश!$B$4),1,0)</f>
        <v>10</v>
      </c>
      <c r="F304" s="35" t="s">
        <v>18</v>
      </c>
      <c r="G304" s="14" t="s">
        <v>536</v>
      </c>
      <c r="H304" s="32" t="s">
        <v>945</v>
      </c>
      <c r="I304" s="32" t="s">
        <v>576</v>
      </c>
      <c r="J304" s="48" t="s">
        <v>577</v>
      </c>
      <c r="K304" s="48" t="s">
        <v>540</v>
      </c>
      <c r="L304" s="14" t="s">
        <v>898</v>
      </c>
      <c r="M304" s="32" t="s">
        <v>946</v>
      </c>
      <c r="N304" s="32" t="s">
        <v>284</v>
      </c>
      <c r="O304" s="32" t="s">
        <v>744</v>
      </c>
      <c r="P304" s="32" t="s">
        <v>745</v>
      </c>
      <c r="Q304" s="14" t="n">
        <v>7.5</v>
      </c>
      <c r="R304" s="32" t="s">
        <v>542</v>
      </c>
      <c r="S304" s="32" t="s">
        <v>900</v>
      </c>
      <c r="T304" s="49" t="s">
        <v>258</v>
      </c>
      <c r="U304" s="49" t="s">
        <v>259</v>
      </c>
      <c r="V304" s="49" t="s">
        <v>259</v>
      </c>
      <c r="W304" s="14" t="s">
        <v>260</v>
      </c>
      <c r="X304" s="14"/>
      <c r="Y304" s="48" t="s">
        <v>273</v>
      </c>
    </row>
    <row r="305" customFormat="false" ht="109.5" hidden="false" customHeight="true" outlineLevel="0" collapsed="false">
      <c r="A305" s="33" t="n">
        <v>300</v>
      </c>
      <c r="B305" s="34" t="n">
        <f aca="false">सारांश!$B$4+A305-1</f>
        <v>46640</v>
      </c>
      <c r="C305" s="33" t="str">
        <f aca="false">CHOOSE(WEEKDAY(B305,2),"सोमवार","मंगलवार","बुधवार","गुरुवार","शुक्रवार","शनिवार","रविवार")</f>
        <v>शुक्रवार</v>
      </c>
      <c r="D305" s="33" t="n">
        <f aca="false">IF(A305=1,0,INT((A305-2)/7)+1)</f>
        <v>43</v>
      </c>
      <c r="E305" s="33" t="n">
        <f aca="false">(YEAR(B305)-YEAR(सारांश!$B$4))*12+MONTH(B305)-MONTH(सारांश!$B$4)+IF(DAY(B305)&gt;=DAY(सारांश!$B$4),1,0)</f>
        <v>10</v>
      </c>
      <c r="F305" s="35" t="s">
        <v>18</v>
      </c>
      <c r="G305" s="14" t="s">
        <v>536</v>
      </c>
      <c r="H305" s="32" t="s">
        <v>947</v>
      </c>
      <c r="I305" s="32" t="s">
        <v>576</v>
      </c>
      <c r="J305" s="48" t="s">
        <v>577</v>
      </c>
      <c r="K305" s="48" t="s">
        <v>540</v>
      </c>
      <c r="L305" s="14" t="s">
        <v>898</v>
      </c>
      <c r="M305" s="32" t="s">
        <v>948</v>
      </c>
      <c r="N305" s="32" t="s">
        <v>287</v>
      </c>
      <c r="O305" s="32" t="s">
        <v>744</v>
      </c>
      <c r="P305" s="32" t="s">
        <v>745</v>
      </c>
      <c r="Q305" s="14" t="n">
        <v>7.5</v>
      </c>
      <c r="R305" s="32" t="s">
        <v>542</v>
      </c>
      <c r="S305" s="32" t="s">
        <v>900</v>
      </c>
      <c r="T305" s="49" t="s">
        <v>258</v>
      </c>
      <c r="U305" s="49" t="s">
        <v>259</v>
      </c>
      <c r="V305" s="49" t="s">
        <v>259</v>
      </c>
      <c r="W305" s="14" t="s">
        <v>260</v>
      </c>
      <c r="X305" s="14"/>
      <c r="Y305" s="48" t="s">
        <v>273</v>
      </c>
    </row>
    <row r="306" customFormat="false" ht="109.5" hidden="false" customHeight="true" outlineLevel="0" collapsed="false">
      <c r="A306" s="33" t="n">
        <v>301</v>
      </c>
      <c r="B306" s="34" t="n">
        <f aca="false">सारांश!$B$4+A306-1</f>
        <v>46641</v>
      </c>
      <c r="C306" s="33" t="str">
        <f aca="false">CHOOSE(WEEKDAY(B306,2),"सोमवार","मंगलवार","बुधवार","गुरुवार","शुक्रवार","शनिवार","रविवार")</f>
        <v>शनिवार</v>
      </c>
      <c r="D306" s="33" t="n">
        <f aca="false">IF(A306=1,0,INT((A306-2)/7)+1)</f>
        <v>43</v>
      </c>
      <c r="E306" s="33" t="n">
        <f aca="false">(YEAR(B306)-YEAR(सारांश!$B$4))*12+MONTH(B306)-MONTH(सारांश!$B$4)+IF(DAY(B306)&gt;=DAY(सारांश!$B$4),1,0)</f>
        <v>10</v>
      </c>
      <c r="F306" s="35" t="s">
        <v>18</v>
      </c>
      <c r="G306" s="14" t="s">
        <v>536</v>
      </c>
      <c r="H306" s="32" t="s">
        <v>949</v>
      </c>
      <c r="I306" s="32" t="s">
        <v>576</v>
      </c>
      <c r="J306" s="48" t="s">
        <v>577</v>
      </c>
      <c r="K306" s="48" t="s">
        <v>540</v>
      </c>
      <c r="L306" s="14" t="s">
        <v>898</v>
      </c>
      <c r="M306" s="32" t="s">
        <v>950</v>
      </c>
      <c r="N306" s="32" t="s">
        <v>290</v>
      </c>
      <c r="O306" s="32" t="s">
        <v>744</v>
      </c>
      <c r="P306" s="32" t="s">
        <v>745</v>
      </c>
      <c r="Q306" s="14" t="n">
        <v>7.5</v>
      </c>
      <c r="R306" s="32" t="s">
        <v>542</v>
      </c>
      <c r="S306" s="32" t="s">
        <v>900</v>
      </c>
      <c r="T306" s="49" t="s">
        <v>258</v>
      </c>
      <c r="U306" s="49" t="s">
        <v>259</v>
      </c>
      <c r="V306" s="49" t="s">
        <v>259</v>
      </c>
      <c r="W306" s="14" t="s">
        <v>260</v>
      </c>
      <c r="X306" s="14"/>
      <c r="Y306" s="48" t="s">
        <v>273</v>
      </c>
    </row>
    <row r="307" customFormat="false" ht="58.5" hidden="false" customHeight="true" outlineLevel="0" collapsed="false">
      <c r="A307" s="50" t="n">
        <v>302</v>
      </c>
      <c r="B307" s="51" t="n">
        <f aca="false">सारांश!$B$4+A307-1</f>
        <v>46642</v>
      </c>
      <c r="C307" s="50" t="str">
        <f aca="false">CHOOSE(WEEKDAY(B307,2),"सोमवार","मंगलवार","बुधवार","गुरुवार","शुक्रवार","शनिवार","रविवार")</f>
        <v>रविवार</v>
      </c>
      <c r="D307" s="50" t="n">
        <f aca="false">IF(A307=1,0,INT((A307-2)/7)+1)</f>
        <v>43</v>
      </c>
      <c r="E307" s="50" t="n">
        <f aca="false">(YEAR(B307)-YEAR(सारांश!$B$4))*12+MONTH(B307)-MONTH(सारांश!$B$4)+IF(DAY(B307)&gt;=DAY(सारांश!$B$4),1,0)</f>
        <v>10</v>
      </c>
      <c r="F307" s="52" t="s">
        <v>18</v>
      </c>
      <c r="G307" s="50" t="s">
        <v>291</v>
      </c>
      <c r="H307" s="52" t="s">
        <v>127</v>
      </c>
      <c r="I307" s="52" t="s">
        <v>585</v>
      </c>
      <c r="J307" s="53" t="s">
        <v>293</v>
      </c>
      <c r="K307" s="53" t="s">
        <v>294</v>
      </c>
      <c r="L307" s="50" t="s">
        <v>295</v>
      </c>
      <c r="M307" s="52" t="s">
        <v>296</v>
      </c>
      <c r="N307" s="52" t="s">
        <v>297</v>
      </c>
      <c r="O307" s="52" t="s">
        <v>756</v>
      </c>
      <c r="P307" s="52" t="s">
        <v>299</v>
      </c>
      <c r="Q307" s="50" t="n">
        <v>6</v>
      </c>
      <c r="R307" s="52" t="s">
        <v>300</v>
      </c>
      <c r="S307" s="52" t="s">
        <v>257</v>
      </c>
      <c r="T307" s="54" t="s">
        <v>258</v>
      </c>
      <c r="U307" s="54" t="s">
        <v>259</v>
      </c>
      <c r="V307" s="54" t="s">
        <v>259</v>
      </c>
      <c r="W307" s="50" t="s">
        <v>260</v>
      </c>
      <c r="X307" s="50"/>
    </row>
    <row r="308" customFormat="false" ht="109.5" hidden="false" customHeight="true" outlineLevel="0" collapsed="false">
      <c r="A308" s="33" t="n">
        <v>303</v>
      </c>
      <c r="B308" s="34" t="n">
        <f aca="false">सारांश!$B$4+A308-1</f>
        <v>46643</v>
      </c>
      <c r="C308" s="33" t="str">
        <f aca="false">CHOOSE(WEEKDAY(B308,2),"सोमवार","मंगलवार","बुधवार","गुरुवार","शुक्रवार","शनिवार","रविवार")</f>
        <v>सोमवार</v>
      </c>
      <c r="D308" s="33" t="n">
        <f aca="false">IF(A308=1,0,INT((A308-2)/7)+1)</f>
        <v>44</v>
      </c>
      <c r="E308" s="33" t="n">
        <f aca="false">(YEAR(B308)-YEAR(सारांश!$B$4))*12+MONTH(B308)-MONTH(सारांश!$B$4)+IF(DAY(B308)&gt;=DAY(सारांश!$B$4),1,0)</f>
        <v>10</v>
      </c>
      <c r="F308" s="35" t="s">
        <v>18</v>
      </c>
      <c r="G308" s="14" t="s">
        <v>536</v>
      </c>
      <c r="H308" s="32" t="s">
        <v>951</v>
      </c>
      <c r="I308" s="32" t="s">
        <v>576</v>
      </c>
      <c r="J308" s="48" t="s">
        <v>577</v>
      </c>
      <c r="K308" s="48" t="s">
        <v>540</v>
      </c>
      <c r="L308" s="14" t="s">
        <v>898</v>
      </c>
      <c r="M308" s="32" t="s">
        <v>952</v>
      </c>
      <c r="N308" s="32" t="s">
        <v>268</v>
      </c>
      <c r="O308" s="32" t="s">
        <v>744</v>
      </c>
      <c r="P308" s="32" t="s">
        <v>745</v>
      </c>
      <c r="Q308" s="14" t="n">
        <v>7.5</v>
      </c>
      <c r="R308" s="32" t="s">
        <v>542</v>
      </c>
      <c r="S308" s="32" t="s">
        <v>900</v>
      </c>
      <c r="T308" s="49" t="s">
        <v>258</v>
      </c>
      <c r="U308" s="49" t="s">
        <v>259</v>
      </c>
      <c r="V308" s="49" t="s">
        <v>259</v>
      </c>
      <c r="W308" s="14" t="s">
        <v>260</v>
      </c>
      <c r="X308" s="14"/>
      <c r="Y308" s="48" t="s">
        <v>273</v>
      </c>
    </row>
    <row r="309" customFormat="false" ht="109.5" hidden="false" customHeight="true" outlineLevel="0" collapsed="false">
      <c r="A309" s="33" t="n">
        <v>304</v>
      </c>
      <c r="B309" s="34" t="n">
        <f aca="false">सारांश!$B$4+A309-1</f>
        <v>46644</v>
      </c>
      <c r="C309" s="33" t="str">
        <f aca="false">CHOOSE(WEEKDAY(B309,2),"सोमवार","मंगलवार","बुधवार","गुरुवार","शुक्रवार","शनिवार","रविवार")</f>
        <v>मंगलवार</v>
      </c>
      <c r="D309" s="33" t="n">
        <f aca="false">IF(A309=1,0,INT((A309-2)/7)+1)</f>
        <v>44</v>
      </c>
      <c r="E309" s="33" t="n">
        <f aca="false">(YEAR(B309)-YEAR(सारांश!$B$4))*12+MONTH(B309)-MONTH(सारांश!$B$4)+IF(DAY(B309)&gt;=DAY(सारांश!$B$4),1,0)</f>
        <v>10</v>
      </c>
      <c r="F309" s="35" t="s">
        <v>18</v>
      </c>
      <c r="G309" s="14" t="s">
        <v>536</v>
      </c>
      <c r="H309" s="32" t="s">
        <v>953</v>
      </c>
      <c r="I309" s="32" t="s">
        <v>589</v>
      </c>
      <c r="J309" s="48" t="s">
        <v>590</v>
      </c>
      <c r="K309" s="48" t="s">
        <v>540</v>
      </c>
      <c r="L309" s="14" t="s">
        <v>898</v>
      </c>
      <c r="M309" s="32" t="s">
        <v>954</v>
      </c>
      <c r="N309" s="32" t="s">
        <v>276</v>
      </c>
      <c r="O309" s="32" t="s">
        <v>744</v>
      </c>
      <c r="P309" s="32" t="s">
        <v>745</v>
      </c>
      <c r="Q309" s="14" t="n">
        <v>7.5</v>
      </c>
      <c r="R309" s="32" t="s">
        <v>542</v>
      </c>
      <c r="S309" s="32" t="s">
        <v>900</v>
      </c>
      <c r="T309" s="49" t="s">
        <v>258</v>
      </c>
      <c r="U309" s="49" t="s">
        <v>259</v>
      </c>
      <c r="V309" s="49" t="s">
        <v>259</v>
      </c>
      <c r="W309" s="14" t="s">
        <v>260</v>
      </c>
      <c r="X309" s="14"/>
      <c r="Y309" s="48" t="s">
        <v>273</v>
      </c>
    </row>
    <row r="310" customFormat="false" ht="109.5" hidden="false" customHeight="true" outlineLevel="0" collapsed="false">
      <c r="A310" s="33" t="n">
        <v>305</v>
      </c>
      <c r="B310" s="34" t="n">
        <f aca="false">सारांश!$B$4+A310-1</f>
        <v>46645</v>
      </c>
      <c r="C310" s="33" t="str">
        <f aca="false">CHOOSE(WEEKDAY(B310,2),"सोमवार","मंगलवार","बुधवार","गुरुवार","शुक्रवार","शनिवार","रविवार")</f>
        <v>बुधवार</v>
      </c>
      <c r="D310" s="33" t="n">
        <f aca="false">IF(A310=1,0,INT((A310-2)/7)+1)</f>
        <v>44</v>
      </c>
      <c r="E310" s="33" t="n">
        <f aca="false">(YEAR(B310)-YEAR(सारांश!$B$4))*12+MONTH(B310)-MONTH(सारांश!$B$4)+IF(DAY(B310)&gt;=DAY(सारांश!$B$4),1,0)</f>
        <v>11</v>
      </c>
      <c r="F310" s="35" t="s">
        <v>18</v>
      </c>
      <c r="G310" s="14" t="s">
        <v>536</v>
      </c>
      <c r="H310" s="32" t="s">
        <v>955</v>
      </c>
      <c r="I310" s="32" t="s">
        <v>589</v>
      </c>
      <c r="J310" s="48" t="s">
        <v>590</v>
      </c>
      <c r="K310" s="48" t="s">
        <v>540</v>
      </c>
      <c r="L310" s="14" t="s">
        <v>898</v>
      </c>
      <c r="M310" s="32" t="s">
        <v>956</v>
      </c>
      <c r="N310" s="32" t="s">
        <v>279</v>
      </c>
      <c r="O310" s="32" t="s">
        <v>744</v>
      </c>
      <c r="P310" s="32" t="s">
        <v>745</v>
      </c>
      <c r="Q310" s="14" t="n">
        <v>7.5</v>
      </c>
      <c r="R310" s="32" t="s">
        <v>542</v>
      </c>
      <c r="S310" s="32" t="s">
        <v>900</v>
      </c>
      <c r="T310" s="49" t="s">
        <v>258</v>
      </c>
      <c r="U310" s="49" t="s">
        <v>259</v>
      </c>
      <c r="V310" s="49" t="s">
        <v>259</v>
      </c>
      <c r="W310" s="14" t="s">
        <v>260</v>
      </c>
      <c r="X310" s="14"/>
      <c r="Y310" s="48" t="s">
        <v>273</v>
      </c>
    </row>
    <row r="311" customFormat="false" ht="109.5" hidden="false" customHeight="true" outlineLevel="0" collapsed="false">
      <c r="A311" s="33" t="n">
        <v>306</v>
      </c>
      <c r="B311" s="34" t="n">
        <f aca="false">सारांश!$B$4+A311-1</f>
        <v>46646</v>
      </c>
      <c r="C311" s="33" t="str">
        <f aca="false">CHOOSE(WEEKDAY(B311,2),"सोमवार","मंगलवार","बुधवार","गुरुवार","शुक्रवार","शनिवार","रविवार")</f>
        <v>गुरुवार</v>
      </c>
      <c r="D311" s="33" t="n">
        <f aca="false">IF(A311=1,0,INT((A311-2)/7)+1)</f>
        <v>44</v>
      </c>
      <c r="E311" s="33" t="n">
        <f aca="false">(YEAR(B311)-YEAR(सारांश!$B$4))*12+MONTH(B311)-MONTH(सारांश!$B$4)+IF(DAY(B311)&gt;=DAY(सारांश!$B$4),1,0)</f>
        <v>11</v>
      </c>
      <c r="F311" s="35" t="s">
        <v>18</v>
      </c>
      <c r="G311" s="14" t="s">
        <v>536</v>
      </c>
      <c r="H311" s="32" t="s">
        <v>957</v>
      </c>
      <c r="I311" s="32" t="s">
        <v>589</v>
      </c>
      <c r="J311" s="48" t="s">
        <v>590</v>
      </c>
      <c r="K311" s="48" t="s">
        <v>540</v>
      </c>
      <c r="L311" s="14" t="s">
        <v>898</v>
      </c>
      <c r="M311" s="32" t="s">
        <v>958</v>
      </c>
      <c r="N311" s="32" t="s">
        <v>284</v>
      </c>
      <c r="O311" s="32" t="s">
        <v>744</v>
      </c>
      <c r="P311" s="32" t="s">
        <v>745</v>
      </c>
      <c r="Q311" s="14" t="n">
        <v>7.5</v>
      </c>
      <c r="R311" s="32" t="s">
        <v>542</v>
      </c>
      <c r="S311" s="32" t="s">
        <v>900</v>
      </c>
      <c r="T311" s="49" t="s">
        <v>258</v>
      </c>
      <c r="U311" s="49" t="s">
        <v>259</v>
      </c>
      <c r="V311" s="49" t="s">
        <v>259</v>
      </c>
      <c r="W311" s="14" t="s">
        <v>260</v>
      </c>
      <c r="X311" s="14"/>
      <c r="Y311" s="48" t="s">
        <v>273</v>
      </c>
    </row>
    <row r="312" customFormat="false" ht="126.75" hidden="false" customHeight="true" outlineLevel="0" collapsed="false">
      <c r="A312" s="33" t="n">
        <v>307</v>
      </c>
      <c r="B312" s="34" t="n">
        <f aca="false">सारांश!$B$4+A312-1</f>
        <v>46647</v>
      </c>
      <c r="C312" s="33" t="str">
        <f aca="false">CHOOSE(WEEKDAY(B312,2),"सोमवार","मंगलवार","बुधवार","गुरुवार","शुक्रवार","शनिवार","रविवार")</f>
        <v>शुक्रवार</v>
      </c>
      <c r="D312" s="33" t="n">
        <f aca="false">IF(A312=1,0,INT((A312-2)/7)+1)</f>
        <v>44</v>
      </c>
      <c r="E312" s="33" t="n">
        <f aca="false">(YEAR(B312)-YEAR(सारांश!$B$4))*12+MONTH(B312)-MONTH(सारांश!$B$4)+IF(DAY(B312)&gt;=DAY(सारांश!$B$4),1,0)</f>
        <v>11</v>
      </c>
      <c r="F312" s="35" t="s">
        <v>18</v>
      </c>
      <c r="G312" s="14" t="s">
        <v>536</v>
      </c>
      <c r="H312" s="32" t="s">
        <v>959</v>
      </c>
      <c r="I312" s="32" t="s">
        <v>597</v>
      </c>
      <c r="J312" s="48" t="s">
        <v>598</v>
      </c>
      <c r="K312" s="48" t="s">
        <v>540</v>
      </c>
      <c r="L312" s="14" t="s">
        <v>898</v>
      </c>
      <c r="M312" s="32" t="s">
        <v>960</v>
      </c>
      <c r="N312" s="32" t="s">
        <v>287</v>
      </c>
      <c r="O312" s="32" t="s">
        <v>744</v>
      </c>
      <c r="P312" s="32" t="s">
        <v>745</v>
      </c>
      <c r="Q312" s="14" t="n">
        <v>7.5</v>
      </c>
      <c r="R312" s="32" t="s">
        <v>542</v>
      </c>
      <c r="S312" s="32" t="s">
        <v>900</v>
      </c>
      <c r="T312" s="49" t="s">
        <v>258</v>
      </c>
      <c r="U312" s="49" t="s">
        <v>259</v>
      </c>
      <c r="V312" s="49" t="s">
        <v>259</v>
      </c>
      <c r="W312" s="14" t="s">
        <v>260</v>
      </c>
      <c r="X312" s="14"/>
      <c r="Y312" s="48" t="s">
        <v>273</v>
      </c>
    </row>
    <row r="313" customFormat="false" ht="126.75" hidden="false" customHeight="true" outlineLevel="0" collapsed="false">
      <c r="A313" s="33" t="n">
        <v>308</v>
      </c>
      <c r="B313" s="34" t="n">
        <f aca="false">सारांश!$B$4+A313-1</f>
        <v>46648</v>
      </c>
      <c r="C313" s="33" t="str">
        <f aca="false">CHOOSE(WEEKDAY(B313,2),"सोमवार","मंगलवार","बुधवार","गुरुवार","शुक्रवार","शनिवार","रविवार")</f>
        <v>शनिवार</v>
      </c>
      <c r="D313" s="33" t="n">
        <f aca="false">IF(A313=1,0,INT((A313-2)/7)+1)</f>
        <v>44</v>
      </c>
      <c r="E313" s="33" t="n">
        <f aca="false">(YEAR(B313)-YEAR(सारांश!$B$4))*12+MONTH(B313)-MONTH(सारांश!$B$4)+IF(DAY(B313)&gt;=DAY(सारांश!$B$4),1,0)</f>
        <v>11</v>
      </c>
      <c r="F313" s="35" t="s">
        <v>18</v>
      </c>
      <c r="G313" s="14" t="s">
        <v>536</v>
      </c>
      <c r="H313" s="32" t="s">
        <v>961</v>
      </c>
      <c r="I313" s="32" t="s">
        <v>597</v>
      </c>
      <c r="J313" s="48" t="s">
        <v>598</v>
      </c>
      <c r="K313" s="48" t="s">
        <v>540</v>
      </c>
      <c r="L313" s="14" t="s">
        <v>898</v>
      </c>
      <c r="M313" s="32" t="s">
        <v>962</v>
      </c>
      <c r="N313" s="32" t="s">
        <v>290</v>
      </c>
      <c r="O313" s="32" t="s">
        <v>744</v>
      </c>
      <c r="P313" s="32" t="s">
        <v>745</v>
      </c>
      <c r="Q313" s="14" t="n">
        <v>7.5</v>
      </c>
      <c r="R313" s="32" t="s">
        <v>542</v>
      </c>
      <c r="S313" s="32" t="s">
        <v>900</v>
      </c>
      <c r="T313" s="49" t="s">
        <v>258</v>
      </c>
      <c r="U313" s="49" t="s">
        <v>259</v>
      </c>
      <c r="V313" s="49" t="s">
        <v>259</v>
      </c>
      <c r="W313" s="14" t="s">
        <v>260</v>
      </c>
      <c r="X313" s="14"/>
      <c r="Y313" s="48" t="s">
        <v>273</v>
      </c>
    </row>
    <row r="314" customFormat="false" ht="75.75" hidden="false" customHeight="true" outlineLevel="0" collapsed="false">
      <c r="A314" s="50" t="n">
        <v>309</v>
      </c>
      <c r="B314" s="51" t="n">
        <f aca="false">सारांश!$B$4+A314-1</f>
        <v>46649</v>
      </c>
      <c r="C314" s="50" t="str">
        <f aca="false">CHOOSE(WEEKDAY(B314,2),"सोमवार","मंगलवार","बुधवार","गुरुवार","शुक्रवार","शनिवार","रविवार")</f>
        <v>रविवार</v>
      </c>
      <c r="D314" s="50" t="n">
        <f aca="false">IF(A314=1,0,INT((A314-2)/7)+1)</f>
        <v>44</v>
      </c>
      <c r="E314" s="50" t="n">
        <f aca="false">(YEAR(B314)-YEAR(सारांश!$B$4))*12+MONTH(B314)-MONTH(सारांश!$B$4)+IF(DAY(B314)&gt;=DAY(सारांश!$B$4),1,0)</f>
        <v>11</v>
      </c>
      <c r="F314" s="52" t="s">
        <v>18</v>
      </c>
      <c r="G314" s="50" t="s">
        <v>291</v>
      </c>
      <c r="H314" s="52" t="s">
        <v>135</v>
      </c>
      <c r="I314" s="52" t="s">
        <v>602</v>
      </c>
      <c r="J314" s="53" t="s">
        <v>293</v>
      </c>
      <c r="K314" s="53" t="s">
        <v>294</v>
      </c>
      <c r="L314" s="50" t="s">
        <v>295</v>
      </c>
      <c r="M314" s="52" t="s">
        <v>296</v>
      </c>
      <c r="N314" s="52" t="s">
        <v>297</v>
      </c>
      <c r="O314" s="52" t="s">
        <v>756</v>
      </c>
      <c r="P314" s="52" t="s">
        <v>299</v>
      </c>
      <c r="Q314" s="50" t="n">
        <v>6</v>
      </c>
      <c r="R314" s="52" t="s">
        <v>300</v>
      </c>
      <c r="S314" s="52" t="s">
        <v>257</v>
      </c>
      <c r="T314" s="54" t="s">
        <v>258</v>
      </c>
      <c r="U314" s="54" t="s">
        <v>259</v>
      </c>
      <c r="V314" s="54" t="s">
        <v>259</v>
      </c>
      <c r="W314" s="50" t="s">
        <v>260</v>
      </c>
      <c r="X314" s="50"/>
    </row>
    <row r="315" customFormat="false" ht="126.75" hidden="false" customHeight="true" outlineLevel="0" collapsed="false">
      <c r="A315" s="33" t="n">
        <v>310</v>
      </c>
      <c r="B315" s="34" t="n">
        <f aca="false">सारांश!$B$4+A315-1</f>
        <v>46650</v>
      </c>
      <c r="C315" s="33" t="str">
        <f aca="false">CHOOSE(WEEKDAY(B315,2),"सोमवार","मंगलवार","बुधवार","गुरुवार","शुक्रवार","शनिवार","रविवार")</f>
        <v>सोमवार</v>
      </c>
      <c r="D315" s="33" t="n">
        <f aca="false">IF(A315=1,0,INT((A315-2)/7)+1)</f>
        <v>45</v>
      </c>
      <c r="E315" s="33" t="n">
        <f aca="false">(YEAR(B315)-YEAR(सारांश!$B$4))*12+MONTH(B315)-MONTH(सारांश!$B$4)+IF(DAY(B315)&gt;=DAY(सारांश!$B$4),1,0)</f>
        <v>11</v>
      </c>
      <c r="F315" s="35" t="s">
        <v>18</v>
      </c>
      <c r="G315" s="14" t="s">
        <v>536</v>
      </c>
      <c r="H315" s="32" t="s">
        <v>963</v>
      </c>
      <c r="I315" s="32" t="s">
        <v>597</v>
      </c>
      <c r="J315" s="48" t="s">
        <v>598</v>
      </c>
      <c r="K315" s="48" t="s">
        <v>540</v>
      </c>
      <c r="L315" s="14" t="s">
        <v>898</v>
      </c>
      <c r="M315" s="32" t="s">
        <v>964</v>
      </c>
      <c r="N315" s="32" t="s">
        <v>268</v>
      </c>
      <c r="O315" s="32" t="s">
        <v>744</v>
      </c>
      <c r="P315" s="32" t="s">
        <v>745</v>
      </c>
      <c r="Q315" s="14" t="n">
        <v>7.5</v>
      </c>
      <c r="R315" s="32" t="s">
        <v>542</v>
      </c>
      <c r="S315" s="32" t="s">
        <v>900</v>
      </c>
      <c r="T315" s="49" t="s">
        <v>258</v>
      </c>
      <c r="U315" s="49" t="s">
        <v>259</v>
      </c>
      <c r="V315" s="49" t="s">
        <v>259</v>
      </c>
      <c r="W315" s="14" t="s">
        <v>260</v>
      </c>
      <c r="X315" s="14"/>
      <c r="Y315" s="48" t="s">
        <v>273</v>
      </c>
    </row>
    <row r="316" customFormat="false" ht="126.75" hidden="false" customHeight="true" outlineLevel="0" collapsed="false">
      <c r="A316" s="33" t="n">
        <v>311</v>
      </c>
      <c r="B316" s="34" t="n">
        <f aca="false">सारांश!$B$4+A316-1</f>
        <v>46651</v>
      </c>
      <c r="C316" s="33" t="str">
        <f aca="false">CHOOSE(WEEKDAY(B316,2),"सोमवार","मंगलवार","बुधवार","गुरुवार","शुक्रवार","शनिवार","रविवार")</f>
        <v>मंगलवार</v>
      </c>
      <c r="D316" s="33" t="n">
        <f aca="false">IF(A316=1,0,INT((A316-2)/7)+1)</f>
        <v>45</v>
      </c>
      <c r="E316" s="33" t="n">
        <f aca="false">(YEAR(B316)-YEAR(सारांश!$B$4))*12+MONTH(B316)-MONTH(सारांश!$B$4)+IF(DAY(B316)&gt;=DAY(सारांश!$B$4),1,0)</f>
        <v>11</v>
      </c>
      <c r="F316" s="35" t="s">
        <v>18</v>
      </c>
      <c r="G316" s="14" t="s">
        <v>536</v>
      </c>
      <c r="H316" s="32" t="s">
        <v>965</v>
      </c>
      <c r="I316" s="32" t="s">
        <v>606</v>
      </c>
      <c r="J316" s="48" t="s">
        <v>607</v>
      </c>
      <c r="K316" s="48" t="s">
        <v>540</v>
      </c>
      <c r="L316" s="14" t="s">
        <v>898</v>
      </c>
      <c r="M316" s="32" t="s">
        <v>966</v>
      </c>
      <c r="N316" s="32" t="s">
        <v>276</v>
      </c>
      <c r="O316" s="32" t="s">
        <v>744</v>
      </c>
      <c r="P316" s="32" t="s">
        <v>745</v>
      </c>
      <c r="Q316" s="14" t="n">
        <v>7.5</v>
      </c>
      <c r="R316" s="32" t="s">
        <v>542</v>
      </c>
      <c r="S316" s="32" t="s">
        <v>900</v>
      </c>
      <c r="T316" s="49" t="s">
        <v>258</v>
      </c>
      <c r="U316" s="49" t="s">
        <v>259</v>
      </c>
      <c r="V316" s="49" t="s">
        <v>259</v>
      </c>
      <c r="W316" s="14" t="s">
        <v>260</v>
      </c>
      <c r="X316" s="14"/>
      <c r="Y316" s="48" t="s">
        <v>273</v>
      </c>
    </row>
    <row r="317" customFormat="false" ht="126.75" hidden="false" customHeight="true" outlineLevel="0" collapsed="false">
      <c r="A317" s="33" t="n">
        <v>312</v>
      </c>
      <c r="B317" s="34" t="n">
        <f aca="false">सारांश!$B$4+A317-1</f>
        <v>46652</v>
      </c>
      <c r="C317" s="33" t="str">
        <f aca="false">CHOOSE(WEEKDAY(B317,2),"सोमवार","मंगलवार","बुधवार","गुरुवार","शुक्रवार","शनिवार","रविवार")</f>
        <v>बुधवार</v>
      </c>
      <c r="D317" s="33" t="n">
        <f aca="false">IF(A317=1,0,INT((A317-2)/7)+1)</f>
        <v>45</v>
      </c>
      <c r="E317" s="33" t="n">
        <f aca="false">(YEAR(B317)-YEAR(सारांश!$B$4))*12+MONTH(B317)-MONTH(सारांश!$B$4)+IF(DAY(B317)&gt;=DAY(सारांश!$B$4),1,0)</f>
        <v>11</v>
      </c>
      <c r="F317" s="35" t="s">
        <v>18</v>
      </c>
      <c r="G317" s="14" t="s">
        <v>536</v>
      </c>
      <c r="H317" s="32" t="s">
        <v>967</v>
      </c>
      <c r="I317" s="32" t="s">
        <v>606</v>
      </c>
      <c r="J317" s="48" t="s">
        <v>607</v>
      </c>
      <c r="K317" s="48" t="s">
        <v>540</v>
      </c>
      <c r="L317" s="14" t="s">
        <v>898</v>
      </c>
      <c r="M317" s="32" t="s">
        <v>968</v>
      </c>
      <c r="N317" s="32" t="s">
        <v>279</v>
      </c>
      <c r="O317" s="32" t="s">
        <v>744</v>
      </c>
      <c r="P317" s="32" t="s">
        <v>745</v>
      </c>
      <c r="Q317" s="14" t="n">
        <v>7.5</v>
      </c>
      <c r="R317" s="32" t="s">
        <v>542</v>
      </c>
      <c r="S317" s="32" t="s">
        <v>900</v>
      </c>
      <c r="T317" s="49" t="s">
        <v>258</v>
      </c>
      <c r="U317" s="49" t="s">
        <v>259</v>
      </c>
      <c r="V317" s="49" t="s">
        <v>259</v>
      </c>
      <c r="W317" s="14" t="s">
        <v>260</v>
      </c>
      <c r="X317" s="14"/>
      <c r="Y317" s="48" t="s">
        <v>273</v>
      </c>
    </row>
    <row r="318" customFormat="false" ht="126.75" hidden="false" customHeight="true" outlineLevel="0" collapsed="false">
      <c r="A318" s="33" t="n">
        <v>313</v>
      </c>
      <c r="B318" s="34" t="n">
        <f aca="false">सारांश!$B$4+A318-1</f>
        <v>46653</v>
      </c>
      <c r="C318" s="33" t="str">
        <f aca="false">CHOOSE(WEEKDAY(B318,2),"सोमवार","मंगलवार","बुधवार","गुरुवार","शुक्रवार","शनिवार","रविवार")</f>
        <v>गुरुवार</v>
      </c>
      <c r="D318" s="33" t="n">
        <f aca="false">IF(A318=1,0,INT((A318-2)/7)+1)</f>
        <v>45</v>
      </c>
      <c r="E318" s="33" t="n">
        <f aca="false">(YEAR(B318)-YEAR(सारांश!$B$4))*12+MONTH(B318)-MONTH(सारांश!$B$4)+IF(DAY(B318)&gt;=DAY(सारांश!$B$4),1,0)</f>
        <v>11</v>
      </c>
      <c r="F318" s="35" t="s">
        <v>18</v>
      </c>
      <c r="G318" s="14" t="s">
        <v>536</v>
      </c>
      <c r="H318" s="32" t="s">
        <v>969</v>
      </c>
      <c r="I318" s="32" t="s">
        <v>606</v>
      </c>
      <c r="J318" s="48" t="s">
        <v>607</v>
      </c>
      <c r="K318" s="48" t="s">
        <v>540</v>
      </c>
      <c r="L318" s="14" t="s">
        <v>898</v>
      </c>
      <c r="M318" s="32" t="s">
        <v>970</v>
      </c>
      <c r="N318" s="32" t="s">
        <v>284</v>
      </c>
      <c r="O318" s="32" t="s">
        <v>744</v>
      </c>
      <c r="P318" s="32" t="s">
        <v>745</v>
      </c>
      <c r="Q318" s="14" t="n">
        <v>7.5</v>
      </c>
      <c r="R318" s="32" t="s">
        <v>542</v>
      </c>
      <c r="S318" s="32" t="s">
        <v>900</v>
      </c>
      <c r="T318" s="49" t="s">
        <v>258</v>
      </c>
      <c r="U318" s="49" t="s">
        <v>259</v>
      </c>
      <c r="V318" s="49" t="s">
        <v>259</v>
      </c>
      <c r="W318" s="14" t="s">
        <v>260</v>
      </c>
      <c r="X318" s="14"/>
      <c r="Y318" s="48" t="s">
        <v>273</v>
      </c>
    </row>
    <row r="319" customFormat="false" ht="126.75" hidden="false" customHeight="true" outlineLevel="0" collapsed="false">
      <c r="A319" s="33" t="n">
        <v>314</v>
      </c>
      <c r="B319" s="34" t="n">
        <f aca="false">सारांश!$B$4+A319-1</f>
        <v>46654</v>
      </c>
      <c r="C319" s="33" t="str">
        <f aca="false">CHOOSE(WEEKDAY(B319,2),"सोमवार","मंगलवार","बुधवार","गुरुवार","शुक्रवार","शनिवार","रविवार")</f>
        <v>शुक्रवार</v>
      </c>
      <c r="D319" s="33" t="n">
        <f aca="false">IF(A319=1,0,INT((A319-2)/7)+1)</f>
        <v>45</v>
      </c>
      <c r="E319" s="33" t="n">
        <f aca="false">(YEAR(B319)-YEAR(सारांश!$B$4))*12+MONTH(B319)-MONTH(सारांश!$B$4)+IF(DAY(B319)&gt;=DAY(सारांश!$B$4),1,0)</f>
        <v>11</v>
      </c>
      <c r="F319" s="35" t="s">
        <v>18</v>
      </c>
      <c r="G319" s="14" t="s">
        <v>536</v>
      </c>
      <c r="H319" s="32" t="s">
        <v>971</v>
      </c>
      <c r="I319" s="32" t="s">
        <v>606</v>
      </c>
      <c r="J319" s="48" t="s">
        <v>607</v>
      </c>
      <c r="K319" s="48" t="s">
        <v>540</v>
      </c>
      <c r="L319" s="14" t="s">
        <v>898</v>
      </c>
      <c r="M319" s="32" t="s">
        <v>972</v>
      </c>
      <c r="N319" s="32" t="s">
        <v>287</v>
      </c>
      <c r="O319" s="32" t="s">
        <v>744</v>
      </c>
      <c r="P319" s="32" t="s">
        <v>745</v>
      </c>
      <c r="Q319" s="14" t="n">
        <v>7.5</v>
      </c>
      <c r="R319" s="32" t="s">
        <v>542</v>
      </c>
      <c r="S319" s="32" t="s">
        <v>900</v>
      </c>
      <c r="T319" s="49" t="s">
        <v>258</v>
      </c>
      <c r="U319" s="49" t="s">
        <v>259</v>
      </c>
      <c r="V319" s="49" t="s">
        <v>259</v>
      </c>
      <c r="W319" s="14" t="s">
        <v>260</v>
      </c>
      <c r="X319" s="14"/>
      <c r="Y319" s="48" t="s">
        <v>273</v>
      </c>
    </row>
    <row r="320" customFormat="false" ht="126.75" hidden="false" customHeight="true" outlineLevel="0" collapsed="false">
      <c r="A320" s="33" t="n">
        <v>315</v>
      </c>
      <c r="B320" s="34" t="n">
        <f aca="false">सारांश!$B$4+A320-1</f>
        <v>46655</v>
      </c>
      <c r="C320" s="33" t="str">
        <f aca="false">CHOOSE(WEEKDAY(B320,2),"सोमवार","मंगलवार","बुधवार","गुरुवार","शुक्रवार","शनिवार","रविवार")</f>
        <v>शनिवार</v>
      </c>
      <c r="D320" s="33" t="n">
        <f aca="false">IF(A320=1,0,INT((A320-2)/7)+1)</f>
        <v>45</v>
      </c>
      <c r="E320" s="33" t="n">
        <f aca="false">(YEAR(B320)-YEAR(सारांश!$B$4))*12+MONTH(B320)-MONTH(सारांश!$B$4)+IF(DAY(B320)&gt;=DAY(सारांश!$B$4),1,0)</f>
        <v>11</v>
      </c>
      <c r="F320" s="35" t="s">
        <v>18</v>
      </c>
      <c r="G320" s="14" t="s">
        <v>536</v>
      </c>
      <c r="H320" s="32" t="s">
        <v>973</v>
      </c>
      <c r="I320" s="32" t="s">
        <v>606</v>
      </c>
      <c r="J320" s="48" t="s">
        <v>607</v>
      </c>
      <c r="K320" s="48" t="s">
        <v>540</v>
      </c>
      <c r="L320" s="14" t="s">
        <v>898</v>
      </c>
      <c r="M320" s="32" t="s">
        <v>974</v>
      </c>
      <c r="N320" s="32" t="s">
        <v>290</v>
      </c>
      <c r="O320" s="32" t="s">
        <v>744</v>
      </c>
      <c r="P320" s="32" t="s">
        <v>745</v>
      </c>
      <c r="Q320" s="14" t="n">
        <v>7.5</v>
      </c>
      <c r="R320" s="32" t="s">
        <v>542</v>
      </c>
      <c r="S320" s="32" t="s">
        <v>900</v>
      </c>
      <c r="T320" s="49" t="s">
        <v>258</v>
      </c>
      <c r="U320" s="49" t="s">
        <v>259</v>
      </c>
      <c r="V320" s="49" t="s">
        <v>259</v>
      </c>
      <c r="W320" s="14" t="s">
        <v>260</v>
      </c>
      <c r="X320" s="14"/>
      <c r="Y320" s="48" t="s">
        <v>273</v>
      </c>
    </row>
    <row r="321" customFormat="false" ht="93" hidden="false" customHeight="true" outlineLevel="0" collapsed="false">
      <c r="A321" s="50" t="n">
        <v>316</v>
      </c>
      <c r="B321" s="51" t="n">
        <f aca="false">सारांश!$B$4+A321-1</f>
        <v>46656</v>
      </c>
      <c r="C321" s="50" t="str">
        <f aca="false">CHOOSE(WEEKDAY(B321,2),"सोमवार","मंगलवार","बुधवार","गुरुवार","शुक्रवार","शनिवार","रविवार")</f>
        <v>रविवार</v>
      </c>
      <c r="D321" s="50" t="n">
        <f aca="false">IF(A321=1,0,INT((A321-2)/7)+1)</f>
        <v>45</v>
      </c>
      <c r="E321" s="50" t="n">
        <f aca="false">(YEAR(B321)-YEAR(सारांश!$B$4))*12+MONTH(B321)-MONTH(सारांश!$B$4)+IF(DAY(B321)&gt;=DAY(सारांश!$B$4),1,0)</f>
        <v>11</v>
      </c>
      <c r="F321" s="52" t="s">
        <v>18</v>
      </c>
      <c r="G321" s="50" t="s">
        <v>291</v>
      </c>
      <c r="H321" s="52" t="s">
        <v>127</v>
      </c>
      <c r="I321" s="52" t="s">
        <v>617</v>
      </c>
      <c r="J321" s="53" t="s">
        <v>293</v>
      </c>
      <c r="K321" s="53" t="s">
        <v>294</v>
      </c>
      <c r="L321" s="50" t="s">
        <v>295</v>
      </c>
      <c r="M321" s="52" t="s">
        <v>296</v>
      </c>
      <c r="N321" s="52" t="s">
        <v>297</v>
      </c>
      <c r="O321" s="52" t="s">
        <v>756</v>
      </c>
      <c r="P321" s="52" t="s">
        <v>299</v>
      </c>
      <c r="Q321" s="50" t="n">
        <v>6</v>
      </c>
      <c r="R321" s="52" t="s">
        <v>300</v>
      </c>
      <c r="S321" s="52" t="s">
        <v>257</v>
      </c>
      <c r="T321" s="54" t="s">
        <v>258</v>
      </c>
      <c r="U321" s="54" t="s">
        <v>259</v>
      </c>
      <c r="V321" s="54" t="s">
        <v>259</v>
      </c>
      <c r="W321" s="50" t="s">
        <v>260</v>
      </c>
      <c r="X321" s="50"/>
    </row>
    <row r="322" customFormat="false" ht="126.75" hidden="false" customHeight="true" outlineLevel="0" collapsed="false">
      <c r="A322" s="33" t="n">
        <v>317</v>
      </c>
      <c r="B322" s="34" t="n">
        <f aca="false">सारांश!$B$4+A322-1</f>
        <v>46657</v>
      </c>
      <c r="C322" s="33" t="str">
        <f aca="false">CHOOSE(WEEKDAY(B322,2),"सोमवार","मंगलवार","बुधवार","गुरुवार","शुक्रवार","शनिवार","रविवार")</f>
        <v>सोमवार</v>
      </c>
      <c r="D322" s="33" t="n">
        <f aca="false">IF(A322=1,0,INT((A322-2)/7)+1)</f>
        <v>46</v>
      </c>
      <c r="E322" s="33" t="n">
        <f aca="false">(YEAR(B322)-YEAR(सारांश!$B$4))*12+MONTH(B322)-MONTH(सारांश!$B$4)+IF(DAY(B322)&gt;=DAY(सारांश!$B$4),1,0)</f>
        <v>11</v>
      </c>
      <c r="F322" s="35" t="s">
        <v>18</v>
      </c>
      <c r="G322" s="14" t="s">
        <v>536</v>
      </c>
      <c r="H322" s="32" t="s">
        <v>975</v>
      </c>
      <c r="I322" s="32" t="s">
        <v>619</v>
      </c>
      <c r="J322" s="48" t="s">
        <v>620</v>
      </c>
      <c r="K322" s="48" t="s">
        <v>540</v>
      </c>
      <c r="L322" s="14" t="s">
        <v>898</v>
      </c>
      <c r="M322" s="32" t="s">
        <v>976</v>
      </c>
      <c r="N322" s="32" t="s">
        <v>268</v>
      </c>
      <c r="O322" s="32" t="s">
        <v>744</v>
      </c>
      <c r="P322" s="32" t="s">
        <v>745</v>
      </c>
      <c r="Q322" s="14" t="n">
        <v>7.5</v>
      </c>
      <c r="R322" s="32" t="s">
        <v>542</v>
      </c>
      <c r="S322" s="32" t="s">
        <v>900</v>
      </c>
      <c r="T322" s="49" t="s">
        <v>258</v>
      </c>
      <c r="U322" s="49" t="s">
        <v>259</v>
      </c>
      <c r="V322" s="49" t="s">
        <v>259</v>
      </c>
      <c r="W322" s="14" t="s">
        <v>260</v>
      </c>
      <c r="X322" s="14"/>
      <c r="Y322" s="48" t="s">
        <v>273</v>
      </c>
    </row>
    <row r="323" customFormat="false" ht="126.75" hidden="false" customHeight="true" outlineLevel="0" collapsed="false">
      <c r="A323" s="33" t="n">
        <v>318</v>
      </c>
      <c r="B323" s="34" t="n">
        <f aca="false">सारांश!$B$4+A323-1</f>
        <v>46658</v>
      </c>
      <c r="C323" s="33" t="str">
        <f aca="false">CHOOSE(WEEKDAY(B323,2),"सोमवार","मंगलवार","बुधवार","गुरुवार","शुक्रवार","शनिवार","रविवार")</f>
        <v>मंगलवार</v>
      </c>
      <c r="D323" s="33" t="n">
        <f aca="false">IF(A323=1,0,INT((A323-2)/7)+1)</f>
        <v>46</v>
      </c>
      <c r="E323" s="33" t="n">
        <f aca="false">(YEAR(B323)-YEAR(सारांश!$B$4))*12+MONTH(B323)-MONTH(सारांश!$B$4)+IF(DAY(B323)&gt;=DAY(सारांश!$B$4),1,0)</f>
        <v>11</v>
      </c>
      <c r="F323" s="35" t="s">
        <v>18</v>
      </c>
      <c r="G323" s="14" t="s">
        <v>536</v>
      </c>
      <c r="H323" s="32" t="s">
        <v>977</v>
      </c>
      <c r="I323" s="32" t="s">
        <v>619</v>
      </c>
      <c r="J323" s="48" t="s">
        <v>620</v>
      </c>
      <c r="K323" s="48" t="s">
        <v>540</v>
      </c>
      <c r="L323" s="14" t="s">
        <v>898</v>
      </c>
      <c r="M323" s="32" t="s">
        <v>978</v>
      </c>
      <c r="N323" s="32" t="s">
        <v>276</v>
      </c>
      <c r="O323" s="32" t="s">
        <v>744</v>
      </c>
      <c r="P323" s="32" t="s">
        <v>745</v>
      </c>
      <c r="Q323" s="14" t="n">
        <v>7.5</v>
      </c>
      <c r="R323" s="32" t="s">
        <v>542</v>
      </c>
      <c r="S323" s="32" t="s">
        <v>900</v>
      </c>
      <c r="T323" s="49" t="s">
        <v>258</v>
      </c>
      <c r="U323" s="49" t="s">
        <v>259</v>
      </c>
      <c r="V323" s="49" t="s">
        <v>259</v>
      </c>
      <c r="W323" s="14" t="s">
        <v>260</v>
      </c>
      <c r="X323" s="14"/>
      <c r="Y323" s="48" t="s">
        <v>273</v>
      </c>
    </row>
    <row r="324" customFormat="false" ht="126.75" hidden="false" customHeight="true" outlineLevel="0" collapsed="false">
      <c r="A324" s="33" t="n">
        <v>319</v>
      </c>
      <c r="B324" s="34" t="n">
        <f aca="false">सारांश!$B$4+A324-1</f>
        <v>46659</v>
      </c>
      <c r="C324" s="33" t="str">
        <f aca="false">CHOOSE(WEEKDAY(B324,2),"सोमवार","मंगलवार","बुधवार","गुरुवार","शुक्रवार","शनिवार","रविवार")</f>
        <v>बुधवार</v>
      </c>
      <c r="D324" s="33" t="n">
        <f aca="false">IF(A324=1,0,INT((A324-2)/7)+1)</f>
        <v>46</v>
      </c>
      <c r="E324" s="33" t="n">
        <f aca="false">(YEAR(B324)-YEAR(सारांश!$B$4))*12+MONTH(B324)-MONTH(सारांश!$B$4)+IF(DAY(B324)&gt;=DAY(सारांश!$B$4),1,0)</f>
        <v>11</v>
      </c>
      <c r="F324" s="35" t="s">
        <v>18</v>
      </c>
      <c r="G324" s="14" t="s">
        <v>536</v>
      </c>
      <c r="H324" s="32" t="s">
        <v>979</v>
      </c>
      <c r="I324" s="32" t="s">
        <v>619</v>
      </c>
      <c r="J324" s="48" t="s">
        <v>620</v>
      </c>
      <c r="K324" s="48" t="s">
        <v>540</v>
      </c>
      <c r="L324" s="14" t="s">
        <v>898</v>
      </c>
      <c r="M324" s="32" t="s">
        <v>980</v>
      </c>
      <c r="N324" s="32" t="s">
        <v>279</v>
      </c>
      <c r="O324" s="32" t="s">
        <v>744</v>
      </c>
      <c r="P324" s="32" t="s">
        <v>745</v>
      </c>
      <c r="Q324" s="14" t="n">
        <v>7.5</v>
      </c>
      <c r="R324" s="32" t="s">
        <v>542</v>
      </c>
      <c r="S324" s="32" t="s">
        <v>900</v>
      </c>
      <c r="T324" s="49" t="s">
        <v>258</v>
      </c>
      <c r="U324" s="49" t="s">
        <v>259</v>
      </c>
      <c r="V324" s="49" t="s">
        <v>259</v>
      </c>
      <c r="W324" s="14" t="s">
        <v>260</v>
      </c>
      <c r="X324" s="14"/>
      <c r="Y324" s="48" t="s">
        <v>273</v>
      </c>
    </row>
    <row r="325" customFormat="false" ht="126.75" hidden="false" customHeight="true" outlineLevel="0" collapsed="false">
      <c r="A325" s="33" t="n">
        <v>320</v>
      </c>
      <c r="B325" s="34" t="n">
        <f aca="false">सारांश!$B$4+A325-1</f>
        <v>46660</v>
      </c>
      <c r="C325" s="33" t="str">
        <f aca="false">CHOOSE(WEEKDAY(B325,2),"सोमवार","मंगलवार","बुधवार","गुरुवार","शुक्रवार","शनिवार","रविवार")</f>
        <v>गुरुवार</v>
      </c>
      <c r="D325" s="33" t="n">
        <f aca="false">IF(A325=1,0,INT((A325-2)/7)+1)</f>
        <v>46</v>
      </c>
      <c r="E325" s="33" t="n">
        <f aca="false">(YEAR(B325)-YEAR(सारांश!$B$4))*12+MONTH(B325)-MONTH(सारांश!$B$4)+IF(DAY(B325)&gt;=DAY(सारांश!$B$4),1,0)</f>
        <v>11</v>
      </c>
      <c r="F325" s="35" t="s">
        <v>18</v>
      </c>
      <c r="G325" s="14" t="s">
        <v>536</v>
      </c>
      <c r="H325" s="32" t="s">
        <v>981</v>
      </c>
      <c r="I325" s="32" t="s">
        <v>627</v>
      </c>
      <c r="J325" s="48" t="s">
        <v>628</v>
      </c>
      <c r="K325" s="48" t="s">
        <v>540</v>
      </c>
      <c r="L325" s="14" t="s">
        <v>898</v>
      </c>
      <c r="M325" s="32" t="s">
        <v>982</v>
      </c>
      <c r="N325" s="32" t="s">
        <v>284</v>
      </c>
      <c r="O325" s="32" t="s">
        <v>744</v>
      </c>
      <c r="P325" s="32" t="s">
        <v>745</v>
      </c>
      <c r="Q325" s="14" t="n">
        <v>7.5</v>
      </c>
      <c r="R325" s="32" t="s">
        <v>542</v>
      </c>
      <c r="S325" s="32" t="s">
        <v>900</v>
      </c>
      <c r="T325" s="49" t="s">
        <v>258</v>
      </c>
      <c r="U325" s="49" t="s">
        <v>259</v>
      </c>
      <c r="V325" s="49" t="s">
        <v>259</v>
      </c>
      <c r="W325" s="14" t="s">
        <v>260</v>
      </c>
      <c r="X325" s="14"/>
      <c r="Y325" s="48" t="s">
        <v>273</v>
      </c>
    </row>
    <row r="326" customFormat="false" ht="126.75" hidden="false" customHeight="true" outlineLevel="0" collapsed="false">
      <c r="A326" s="33" t="n">
        <v>321</v>
      </c>
      <c r="B326" s="34" t="n">
        <f aca="false">सारांश!$B$4+A326-1</f>
        <v>46661</v>
      </c>
      <c r="C326" s="33" t="str">
        <f aca="false">CHOOSE(WEEKDAY(B326,2),"सोमवार","मंगलवार","बुधवार","गुरुवार","शुक्रवार","शनिवार","रविवार")</f>
        <v>शुक्रवार</v>
      </c>
      <c r="D326" s="33" t="n">
        <f aca="false">IF(A326=1,0,INT((A326-2)/7)+1)</f>
        <v>46</v>
      </c>
      <c r="E326" s="33" t="n">
        <f aca="false">(YEAR(B326)-YEAR(सारांश!$B$4))*12+MONTH(B326)-MONTH(सारांश!$B$4)+IF(DAY(B326)&gt;=DAY(सारांश!$B$4),1,0)</f>
        <v>11</v>
      </c>
      <c r="F326" s="35" t="s">
        <v>18</v>
      </c>
      <c r="G326" s="14" t="s">
        <v>536</v>
      </c>
      <c r="H326" s="32" t="s">
        <v>983</v>
      </c>
      <c r="I326" s="32" t="s">
        <v>627</v>
      </c>
      <c r="J326" s="48" t="s">
        <v>628</v>
      </c>
      <c r="K326" s="48" t="s">
        <v>540</v>
      </c>
      <c r="L326" s="14" t="s">
        <v>898</v>
      </c>
      <c r="M326" s="32" t="s">
        <v>984</v>
      </c>
      <c r="N326" s="32" t="s">
        <v>287</v>
      </c>
      <c r="O326" s="32" t="s">
        <v>744</v>
      </c>
      <c r="P326" s="32" t="s">
        <v>745</v>
      </c>
      <c r="Q326" s="14" t="n">
        <v>7.5</v>
      </c>
      <c r="R326" s="32" t="s">
        <v>542</v>
      </c>
      <c r="S326" s="32" t="s">
        <v>900</v>
      </c>
      <c r="T326" s="49" t="s">
        <v>258</v>
      </c>
      <c r="U326" s="49" t="s">
        <v>259</v>
      </c>
      <c r="V326" s="49" t="s">
        <v>259</v>
      </c>
      <c r="W326" s="14" t="s">
        <v>260</v>
      </c>
      <c r="X326" s="14"/>
      <c r="Y326" s="48" t="s">
        <v>273</v>
      </c>
    </row>
    <row r="327" customFormat="false" ht="126.75" hidden="false" customHeight="true" outlineLevel="0" collapsed="false">
      <c r="A327" s="33" t="n">
        <v>322</v>
      </c>
      <c r="B327" s="34" t="n">
        <f aca="false">सारांश!$B$4+A327-1</f>
        <v>46662</v>
      </c>
      <c r="C327" s="33" t="str">
        <f aca="false">CHOOSE(WEEKDAY(B327,2),"सोमवार","मंगलवार","बुधवार","गुरुवार","शुक्रवार","शनिवार","रविवार")</f>
        <v>शनिवार</v>
      </c>
      <c r="D327" s="33" t="n">
        <f aca="false">IF(A327=1,0,INT((A327-2)/7)+1)</f>
        <v>46</v>
      </c>
      <c r="E327" s="33" t="n">
        <f aca="false">(YEAR(B327)-YEAR(सारांश!$B$4))*12+MONTH(B327)-MONTH(सारांश!$B$4)+IF(DAY(B327)&gt;=DAY(सारांश!$B$4),1,0)</f>
        <v>11</v>
      </c>
      <c r="F327" s="35" t="s">
        <v>18</v>
      </c>
      <c r="G327" s="14" t="s">
        <v>536</v>
      </c>
      <c r="H327" s="32" t="s">
        <v>985</v>
      </c>
      <c r="I327" s="32" t="s">
        <v>627</v>
      </c>
      <c r="J327" s="48" t="s">
        <v>628</v>
      </c>
      <c r="K327" s="48" t="s">
        <v>540</v>
      </c>
      <c r="L327" s="14" t="s">
        <v>898</v>
      </c>
      <c r="M327" s="32" t="s">
        <v>986</v>
      </c>
      <c r="N327" s="32" t="s">
        <v>290</v>
      </c>
      <c r="O327" s="32" t="s">
        <v>744</v>
      </c>
      <c r="P327" s="32" t="s">
        <v>745</v>
      </c>
      <c r="Q327" s="14" t="n">
        <v>7.5</v>
      </c>
      <c r="R327" s="32" t="s">
        <v>542</v>
      </c>
      <c r="S327" s="32" t="s">
        <v>900</v>
      </c>
      <c r="T327" s="49" t="s">
        <v>258</v>
      </c>
      <c r="U327" s="49" t="s">
        <v>259</v>
      </c>
      <c r="V327" s="49" t="s">
        <v>259</v>
      </c>
      <c r="W327" s="14" t="s">
        <v>260</v>
      </c>
      <c r="X327" s="14"/>
      <c r="Y327" s="48" t="s">
        <v>273</v>
      </c>
    </row>
    <row r="328" customFormat="false" ht="75.75" hidden="false" customHeight="true" outlineLevel="0" collapsed="false">
      <c r="A328" s="50" t="n">
        <v>323</v>
      </c>
      <c r="B328" s="51" t="n">
        <f aca="false">सारांश!$B$4+A328-1</f>
        <v>46663</v>
      </c>
      <c r="C328" s="50" t="str">
        <f aca="false">CHOOSE(WEEKDAY(B328,2),"सोमवार","मंगलवार","बुधवार","गुरुवार","शुक्रवार","शनिवार","रविवार")</f>
        <v>रविवार</v>
      </c>
      <c r="D328" s="50" t="n">
        <f aca="false">IF(A328=1,0,INT((A328-2)/7)+1)</f>
        <v>46</v>
      </c>
      <c r="E328" s="50" t="n">
        <f aca="false">(YEAR(B328)-YEAR(सारांश!$B$4))*12+MONTH(B328)-MONTH(सारांश!$B$4)+IF(DAY(B328)&gt;=DAY(सारांश!$B$4),1,0)</f>
        <v>11</v>
      </c>
      <c r="F328" s="52" t="s">
        <v>18</v>
      </c>
      <c r="G328" s="50" t="s">
        <v>291</v>
      </c>
      <c r="H328" s="52" t="s">
        <v>127</v>
      </c>
      <c r="I328" s="52" t="s">
        <v>634</v>
      </c>
      <c r="J328" s="53" t="s">
        <v>293</v>
      </c>
      <c r="K328" s="53" t="s">
        <v>294</v>
      </c>
      <c r="L328" s="50" t="s">
        <v>295</v>
      </c>
      <c r="M328" s="52" t="s">
        <v>296</v>
      </c>
      <c r="N328" s="52" t="s">
        <v>297</v>
      </c>
      <c r="O328" s="52" t="s">
        <v>756</v>
      </c>
      <c r="P328" s="52" t="s">
        <v>299</v>
      </c>
      <c r="Q328" s="50" t="n">
        <v>6</v>
      </c>
      <c r="R328" s="52" t="s">
        <v>300</v>
      </c>
      <c r="S328" s="52" t="s">
        <v>257</v>
      </c>
      <c r="T328" s="54" t="s">
        <v>258</v>
      </c>
      <c r="U328" s="54" t="s">
        <v>259</v>
      </c>
      <c r="V328" s="54" t="s">
        <v>259</v>
      </c>
      <c r="W328" s="50" t="s">
        <v>260</v>
      </c>
      <c r="X328" s="50"/>
    </row>
    <row r="329" customFormat="false" ht="126.75" hidden="false" customHeight="true" outlineLevel="0" collapsed="false">
      <c r="A329" s="33" t="n">
        <v>324</v>
      </c>
      <c r="B329" s="34" t="n">
        <f aca="false">सारांश!$B$4+A329-1</f>
        <v>46664</v>
      </c>
      <c r="C329" s="33" t="str">
        <f aca="false">CHOOSE(WEEKDAY(B329,2),"सोमवार","मंगलवार","बुधवार","गुरुवार","शुक्रवार","शनिवार","रविवार")</f>
        <v>सोमवार</v>
      </c>
      <c r="D329" s="33" t="n">
        <f aca="false">IF(A329=1,0,INT((A329-2)/7)+1)</f>
        <v>47</v>
      </c>
      <c r="E329" s="33" t="n">
        <f aca="false">(YEAR(B329)-YEAR(सारांश!$B$4))*12+MONTH(B329)-MONTH(सारांश!$B$4)+IF(DAY(B329)&gt;=DAY(सारांश!$B$4),1,0)</f>
        <v>11</v>
      </c>
      <c r="F329" s="35" t="s">
        <v>18</v>
      </c>
      <c r="G329" s="14" t="s">
        <v>635</v>
      </c>
      <c r="H329" s="32" t="s">
        <v>987</v>
      </c>
      <c r="I329" s="32" t="s">
        <v>637</v>
      </c>
      <c r="J329" s="48" t="s">
        <v>638</v>
      </c>
      <c r="K329" s="48" t="s">
        <v>639</v>
      </c>
      <c r="L329" s="14" t="s">
        <v>898</v>
      </c>
      <c r="M329" s="32" t="s">
        <v>988</v>
      </c>
      <c r="N329" s="32" t="s">
        <v>268</v>
      </c>
      <c r="O329" s="32" t="s">
        <v>744</v>
      </c>
      <c r="P329" s="32" t="s">
        <v>745</v>
      </c>
      <c r="Q329" s="14" t="n">
        <v>7.5</v>
      </c>
      <c r="R329" s="32" t="s">
        <v>641</v>
      </c>
      <c r="S329" s="32" t="s">
        <v>900</v>
      </c>
      <c r="T329" s="49" t="s">
        <v>258</v>
      </c>
      <c r="U329" s="49" t="s">
        <v>259</v>
      </c>
      <c r="V329" s="49" t="s">
        <v>259</v>
      </c>
      <c r="W329" s="14" t="s">
        <v>260</v>
      </c>
      <c r="X329" s="14"/>
      <c r="Y329" s="48" t="s">
        <v>273</v>
      </c>
    </row>
    <row r="330" customFormat="false" ht="126.75" hidden="false" customHeight="true" outlineLevel="0" collapsed="false">
      <c r="A330" s="33" t="n">
        <v>325</v>
      </c>
      <c r="B330" s="34" t="n">
        <f aca="false">सारांश!$B$4+A330-1</f>
        <v>46665</v>
      </c>
      <c r="C330" s="33" t="str">
        <f aca="false">CHOOSE(WEEKDAY(B330,2),"सोमवार","मंगलवार","बुधवार","गुरुवार","शुक्रवार","शनिवार","रविवार")</f>
        <v>मंगलवार</v>
      </c>
      <c r="D330" s="33" t="n">
        <f aca="false">IF(A330=1,0,INT((A330-2)/7)+1)</f>
        <v>47</v>
      </c>
      <c r="E330" s="33" t="n">
        <f aca="false">(YEAR(B330)-YEAR(सारांश!$B$4))*12+MONTH(B330)-MONTH(सारांश!$B$4)+IF(DAY(B330)&gt;=DAY(सारांश!$B$4),1,0)</f>
        <v>11</v>
      </c>
      <c r="F330" s="35" t="s">
        <v>18</v>
      </c>
      <c r="G330" s="14" t="s">
        <v>635</v>
      </c>
      <c r="H330" s="32" t="s">
        <v>989</v>
      </c>
      <c r="I330" s="32" t="s">
        <v>637</v>
      </c>
      <c r="J330" s="48" t="s">
        <v>638</v>
      </c>
      <c r="K330" s="48" t="s">
        <v>639</v>
      </c>
      <c r="L330" s="14" t="s">
        <v>898</v>
      </c>
      <c r="M330" s="32" t="s">
        <v>990</v>
      </c>
      <c r="N330" s="32" t="s">
        <v>276</v>
      </c>
      <c r="O330" s="32" t="s">
        <v>744</v>
      </c>
      <c r="P330" s="32" t="s">
        <v>745</v>
      </c>
      <c r="Q330" s="14" t="n">
        <v>7.5</v>
      </c>
      <c r="R330" s="32" t="s">
        <v>641</v>
      </c>
      <c r="S330" s="32" t="s">
        <v>900</v>
      </c>
      <c r="T330" s="49" t="s">
        <v>258</v>
      </c>
      <c r="U330" s="49" t="s">
        <v>259</v>
      </c>
      <c r="V330" s="49" t="s">
        <v>259</v>
      </c>
      <c r="W330" s="14" t="s">
        <v>260</v>
      </c>
      <c r="X330" s="14"/>
      <c r="Y330" s="48" t="s">
        <v>273</v>
      </c>
    </row>
    <row r="331" customFormat="false" ht="126.75" hidden="false" customHeight="true" outlineLevel="0" collapsed="false">
      <c r="A331" s="33" t="n">
        <v>326</v>
      </c>
      <c r="B331" s="34" t="n">
        <f aca="false">सारांश!$B$4+A331-1</f>
        <v>46666</v>
      </c>
      <c r="C331" s="33" t="str">
        <f aca="false">CHOOSE(WEEKDAY(B331,2),"सोमवार","मंगलवार","बुधवार","गुरुवार","शुक्रवार","शनिवार","रविवार")</f>
        <v>बुधवार</v>
      </c>
      <c r="D331" s="33" t="n">
        <f aca="false">IF(A331=1,0,INT((A331-2)/7)+1)</f>
        <v>47</v>
      </c>
      <c r="E331" s="33" t="n">
        <f aca="false">(YEAR(B331)-YEAR(सारांश!$B$4))*12+MONTH(B331)-MONTH(सारांश!$B$4)+IF(DAY(B331)&gt;=DAY(सारांश!$B$4),1,0)</f>
        <v>11</v>
      </c>
      <c r="F331" s="35" t="s">
        <v>18</v>
      </c>
      <c r="G331" s="14" t="s">
        <v>635</v>
      </c>
      <c r="H331" s="32" t="s">
        <v>991</v>
      </c>
      <c r="I331" s="32" t="s">
        <v>637</v>
      </c>
      <c r="J331" s="48" t="s">
        <v>638</v>
      </c>
      <c r="K331" s="48" t="s">
        <v>639</v>
      </c>
      <c r="L331" s="14" t="s">
        <v>898</v>
      </c>
      <c r="M331" s="32" t="s">
        <v>992</v>
      </c>
      <c r="N331" s="32" t="s">
        <v>279</v>
      </c>
      <c r="O331" s="32" t="s">
        <v>744</v>
      </c>
      <c r="P331" s="32" t="s">
        <v>745</v>
      </c>
      <c r="Q331" s="14" t="n">
        <v>7.5</v>
      </c>
      <c r="R331" s="32" t="s">
        <v>641</v>
      </c>
      <c r="S331" s="32" t="s">
        <v>900</v>
      </c>
      <c r="T331" s="49" t="s">
        <v>258</v>
      </c>
      <c r="U331" s="49" t="s">
        <v>259</v>
      </c>
      <c r="V331" s="49" t="s">
        <v>259</v>
      </c>
      <c r="W331" s="14" t="s">
        <v>260</v>
      </c>
      <c r="X331" s="14"/>
      <c r="Y331" s="48" t="s">
        <v>273</v>
      </c>
    </row>
    <row r="332" customFormat="false" ht="126.75" hidden="false" customHeight="true" outlineLevel="0" collapsed="false">
      <c r="A332" s="33" t="n">
        <v>327</v>
      </c>
      <c r="B332" s="34" t="n">
        <f aca="false">सारांश!$B$4+A332-1</f>
        <v>46667</v>
      </c>
      <c r="C332" s="33" t="str">
        <f aca="false">CHOOSE(WEEKDAY(B332,2),"सोमवार","मंगलवार","बुधवार","गुरुवार","शुक्रवार","शनिवार","रविवार")</f>
        <v>गुरुवार</v>
      </c>
      <c r="D332" s="33" t="n">
        <f aca="false">IF(A332=1,0,INT((A332-2)/7)+1)</f>
        <v>47</v>
      </c>
      <c r="E332" s="33" t="n">
        <f aca="false">(YEAR(B332)-YEAR(सारांश!$B$4))*12+MONTH(B332)-MONTH(सारांश!$B$4)+IF(DAY(B332)&gt;=DAY(सारांश!$B$4),1,0)</f>
        <v>11</v>
      </c>
      <c r="F332" s="35" t="s">
        <v>18</v>
      </c>
      <c r="G332" s="14" t="s">
        <v>635</v>
      </c>
      <c r="H332" s="32" t="s">
        <v>993</v>
      </c>
      <c r="I332" s="32" t="s">
        <v>637</v>
      </c>
      <c r="J332" s="48" t="s">
        <v>638</v>
      </c>
      <c r="K332" s="48" t="s">
        <v>639</v>
      </c>
      <c r="L332" s="14" t="s">
        <v>898</v>
      </c>
      <c r="M332" s="32" t="s">
        <v>994</v>
      </c>
      <c r="N332" s="32" t="s">
        <v>284</v>
      </c>
      <c r="O332" s="32" t="s">
        <v>744</v>
      </c>
      <c r="P332" s="32" t="s">
        <v>745</v>
      </c>
      <c r="Q332" s="14" t="n">
        <v>7.5</v>
      </c>
      <c r="R332" s="32" t="s">
        <v>641</v>
      </c>
      <c r="S332" s="32" t="s">
        <v>900</v>
      </c>
      <c r="T332" s="49" t="s">
        <v>258</v>
      </c>
      <c r="U332" s="49" t="s">
        <v>259</v>
      </c>
      <c r="V332" s="49" t="s">
        <v>259</v>
      </c>
      <c r="W332" s="14" t="s">
        <v>260</v>
      </c>
      <c r="X332" s="14"/>
      <c r="Y332" s="48" t="s">
        <v>273</v>
      </c>
    </row>
    <row r="333" customFormat="false" ht="126.75" hidden="false" customHeight="true" outlineLevel="0" collapsed="false">
      <c r="A333" s="33" t="n">
        <v>328</v>
      </c>
      <c r="B333" s="34" t="n">
        <f aca="false">सारांश!$B$4+A333-1</f>
        <v>46668</v>
      </c>
      <c r="C333" s="33" t="str">
        <f aca="false">CHOOSE(WEEKDAY(B333,2),"सोमवार","मंगलवार","बुधवार","गुरुवार","शुक्रवार","शनिवार","रविवार")</f>
        <v>शुक्रवार</v>
      </c>
      <c r="D333" s="33" t="n">
        <f aca="false">IF(A333=1,0,INT((A333-2)/7)+1)</f>
        <v>47</v>
      </c>
      <c r="E333" s="33" t="n">
        <f aca="false">(YEAR(B333)-YEAR(सारांश!$B$4))*12+MONTH(B333)-MONTH(सारांश!$B$4)+IF(DAY(B333)&gt;=DAY(सारांश!$B$4),1,0)</f>
        <v>11</v>
      </c>
      <c r="F333" s="35" t="s">
        <v>18</v>
      </c>
      <c r="G333" s="14" t="s">
        <v>635</v>
      </c>
      <c r="H333" s="32" t="s">
        <v>995</v>
      </c>
      <c r="I333" s="32" t="s">
        <v>649</v>
      </c>
      <c r="J333" s="48" t="s">
        <v>650</v>
      </c>
      <c r="K333" s="48" t="s">
        <v>639</v>
      </c>
      <c r="L333" s="14" t="s">
        <v>898</v>
      </c>
      <c r="M333" s="32" t="s">
        <v>996</v>
      </c>
      <c r="N333" s="32" t="s">
        <v>287</v>
      </c>
      <c r="O333" s="32" t="s">
        <v>744</v>
      </c>
      <c r="P333" s="32" t="s">
        <v>745</v>
      </c>
      <c r="Q333" s="14" t="n">
        <v>7.5</v>
      </c>
      <c r="R333" s="32" t="s">
        <v>641</v>
      </c>
      <c r="S333" s="32" t="s">
        <v>900</v>
      </c>
      <c r="T333" s="49" t="s">
        <v>258</v>
      </c>
      <c r="U333" s="49" t="s">
        <v>259</v>
      </c>
      <c r="V333" s="49" t="s">
        <v>259</v>
      </c>
      <c r="W333" s="14" t="s">
        <v>260</v>
      </c>
      <c r="X333" s="14"/>
      <c r="Y333" s="48" t="s">
        <v>273</v>
      </c>
    </row>
    <row r="334" customFormat="false" ht="126.75" hidden="false" customHeight="true" outlineLevel="0" collapsed="false">
      <c r="A334" s="33" t="n">
        <v>329</v>
      </c>
      <c r="B334" s="34" t="n">
        <f aca="false">सारांश!$B$4+A334-1</f>
        <v>46669</v>
      </c>
      <c r="C334" s="33" t="str">
        <f aca="false">CHOOSE(WEEKDAY(B334,2),"सोमवार","मंगलवार","बुधवार","गुरुवार","शुक्रवार","शनिवार","रविवार")</f>
        <v>शनिवार</v>
      </c>
      <c r="D334" s="33" t="n">
        <f aca="false">IF(A334=1,0,INT((A334-2)/7)+1)</f>
        <v>47</v>
      </c>
      <c r="E334" s="33" t="n">
        <f aca="false">(YEAR(B334)-YEAR(सारांश!$B$4))*12+MONTH(B334)-MONTH(सारांश!$B$4)+IF(DAY(B334)&gt;=DAY(सारांश!$B$4),1,0)</f>
        <v>11</v>
      </c>
      <c r="F334" s="35" t="s">
        <v>18</v>
      </c>
      <c r="G334" s="14" t="s">
        <v>635</v>
      </c>
      <c r="H334" s="32" t="s">
        <v>997</v>
      </c>
      <c r="I334" s="32" t="s">
        <v>649</v>
      </c>
      <c r="J334" s="48" t="s">
        <v>650</v>
      </c>
      <c r="K334" s="48" t="s">
        <v>639</v>
      </c>
      <c r="L334" s="14" t="s">
        <v>898</v>
      </c>
      <c r="M334" s="32" t="s">
        <v>998</v>
      </c>
      <c r="N334" s="32" t="s">
        <v>290</v>
      </c>
      <c r="O334" s="32" t="s">
        <v>744</v>
      </c>
      <c r="P334" s="32" t="s">
        <v>745</v>
      </c>
      <c r="Q334" s="14" t="n">
        <v>7.5</v>
      </c>
      <c r="R334" s="32" t="s">
        <v>641</v>
      </c>
      <c r="S334" s="32" t="s">
        <v>900</v>
      </c>
      <c r="T334" s="49" t="s">
        <v>258</v>
      </c>
      <c r="U334" s="49" t="s">
        <v>259</v>
      </c>
      <c r="V334" s="49" t="s">
        <v>259</v>
      </c>
      <c r="W334" s="14" t="s">
        <v>260</v>
      </c>
      <c r="X334" s="14"/>
      <c r="Y334" s="48" t="s">
        <v>273</v>
      </c>
    </row>
    <row r="335" customFormat="false" ht="75.75" hidden="false" customHeight="true" outlineLevel="0" collapsed="false">
      <c r="A335" s="50" t="n">
        <v>330</v>
      </c>
      <c r="B335" s="51" t="n">
        <f aca="false">सारांश!$B$4+A335-1</f>
        <v>46670</v>
      </c>
      <c r="C335" s="50" t="str">
        <f aca="false">CHOOSE(WEEKDAY(B335,2),"सोमवार","मंगलवार","बुधवार","गुरुवार","शुक्रवार","शनिवार","रविवार")</f>
        <v>रविवार</v>
      </c>
      <c r="D335" s="50" t="n">
        <f aca="false">IF(A335=1,0,INT((A335-2)/7)+1)</f>
        <v>47</v>
      </c>
      <c r="E335" s="50" t="n">
        <f aca="false">(YEAR(B335)-YEAR(सारांश!$B$4))*12+MONTH(B335)-MONTH(सारांश!$B$4)+IF(DAY(B335)&gt;=DAY(सारांश!$B$4),1,0)</f>
        <v>11</v>
      </c>
      <c r="F335" s="52" t="s">
        <v>18</v>
      </c>
      <c r="G335" s="50" t="s">
        <v>291</v>
      </c>
      <c r="H335" s="52" t="s">
        <v>127</v>
      </c>
      <c r="I335" s="52" t="s">
        <v>654</v>
      </c>
      <c r="J335" s="53" t="s">
        <v>293</v>
      </c>
      <c r="K335" s="53" t="s">
        <v>294</v>
      </c>
      <c r="L335" s="50" t="s">
        <v>295</v>
      </c>
      <c r="M335" s="52" t="s">
        <v>296</v>
      </c>
      <c r="N335" s="52" t="s">
        <v>297</v>
      </c>
      <c r="O335" s="52" t="s">
        <v>756</v>
      </c>
      <c r="P335" s="52" t="s">
        <v>299</v>
      </c>
      <c r="Q335" s="50" t="n">
        <v>6</v>
      </c>
      <c r="R335" s="52" t="s">
        <v>300</v>
      </c>
      <c r="S335" s="52" t="s">
        <v>257</v>
      </c>
      <c r="T335" s="54" t="s">
        <v>258</v>
      </c>
      <c r="U335" s="54" t="s">
        <v>259</v>
      </c>
      <c r="V335" s="54" t="s">
        <v>259</v>
      </c>
      <c r="W335" s="50" t="s">
        <v>260</v>
      </c>
      <c r="X335" s="50"/>
    </row>
    <row r="336" customFormat="false" ht="126.75" hidden="false" customHeight="true" outlineLevel="0" collapsed="false">
      <c r="A336" s="33" t="n">
        <v>331</v>
      </c>
      <c r="B336" s="34" t="n">
        <f aca="false">सारांश!$B$4+A336-1</f>
        <v>46671</v>
      </c>
      <c r="C336" s="33" t="str">
        <f aca="false">CHOOSE(WEEKDAY(B336,2),"सोमवार","मंगलवार","बुधवार","गुरुवार","शुक्रवार","शनिवार","रविवार")</f>
        <v>सोमवार</v>
      </c>
      <c r="D336" s="33" t="n">
        <f aca="false">IF(A336=1,0,INT((A336-2)/7)+1)</f>
        <v>48</v>
      </c>
      <c r="E336" s="33" t="n">
        <f aca="false">(YEAR(B336)-YEAR(सारांश!$B$4))*12+MONTH(B336)-MONTH(सारांश!$B$4)+IF(DAY(B336)&gt;=DAY(सारांश!$B$4),1,0)</f>
        <v>11</v>
      </c>
      <c r="F336" s="35" t="s">
        <v>18</v>
      </c>
      <c r="G336" s="14" t="s">
        <v>635</v>
      </c>
      <c r="H336" s="32" t="s">
        <v>999</v>
      </c>
      <c r="I336" s="32" t="s">
        <v>649</v>
      </c>
      <c r="J336" s="48" t="s">
        <v>650</v>
      </c>
      <c r="K336" s="48" t="s">
        <v>639</v>
      </c>
      <c r="L336" s="14" t="s">
        <v>898</v>
      </c>
      <c r="M336" s="32" t="s">
        <v>1000</v>
      </c>
      <c r="N336" s="32" t="s">
        <v>268</v>
      </c>
      <c r="O336" s="32" t="s">
        <v>744</v>
      </c>
      <c r="P336" s="32" t="s">
        <v>745</v>
      </c>
      <c r="Q336" s="14" t="n">
        <v>7.5</v>
      </c>
      <c r="R336" s="32" t="s">
        <v>641</v>
      </c>
      <c r="S336" s="32" t="s">
        <v>900</v>
      </c>
      <c r="T336" s="49" t="s">
        <v>258</v>
      </c>
      <c r="U336" s="49" t="s">
        <v>259</v>
      </c>
      <c r="V336" s="49" t="s">
        <v>259</v>
      </c>
      <c r="W336" s="14" t="s">
        <v>260</v>
      </c>
      <c r="X336" s="14"/>
      <c r="Y336" s="48" t="s">
        <v>273</v>
      </c>
    </row>
    <row r="337" customFormat="false" ht="126.75" hidden="false" customHeight="true" outlineLevel="0" collapsed="false">
      <c r="A337" s="33" t="n">
        <v>332</v>
      </c>
      <c r="B337" s="34" t="n">
        <f aca="false">सारांश!$B$4+A337-1</f>
        <v>46672</v>
      </c>
      <c r="C337" s="33" t="str">
        <f aca="false">CHOOSE(WEEKDAY(B337,2),"सोमवार","मंगलवार","बुधवार","गुरुवार","शुक्रवार","शनिवार","रविवार")</f>
        <v>मंगलवार</v>
      </c>
      <c r="D337" s="33" t="n">
        <f aca="false">IF(A337=1,0,INT((A337-2)/7)+1)</f>
        <v>48</v>
      </c>
      <c r="E337" s="33" t="n">
        <f aca="false">(YEAR(B337)-YEAR(सारांश!$B$4))*12+MONTH(B337)-MONTH(सारांश!$B$4)+IF(DAY(B337)&gt;=DAY(सारांश!$B$4),1,0)</f>
        <v>11</v>
      </c>
      <c r="F337" s="35" t="s">
        <v>18</v>
      </c>
      <c r="G337" s="14" t="s">
        <v>635</v>
      </c>
      <c r="H337" s="32" t="s">
        <v>1001</v>
      </c>
      <c r="I337" s="32" t="s">
        <v>658</v>
      </c>
      <c r="J337" s="48" t="s">
        <v>659</v>
      </c>
      <c r="K337" s="48" t="s">
        <v>639</v>
      </c>
      <c r="L337" s="14" t="s">
        <v>898</v>
      </c>
      <c r="M337" s="32" t="s">
        <v>1002</v>
      </c>
      <c r="N337" s="32" t="s">
        <v>276</v>
      </c>
      <c r="O337" s="32" t="s">
        <v>744</v>
      </c>
      <c r="P337" s="32" t="s">
        <v>745</v>
      </c>
      <c r="Q337" s="14" t="n">
        <v>7.5</v>
      </c>
      <c r="R337" s="32" t="s">
        <v>641</v>
      </c>
      <c r="S337" s="32" t="s">
        <v>900</v>
      </c>
      <c r="T337" s="49" t="s">
        <v>258</v>
      </c>
      <c r="U337" s="49" t="s">
        <v>259</v>
      </c>
      <c r="V337" s="49" t="s">
        <v>259</v>
      </c>
      <c r="W337" s="14" t="s">
        <v>260</v>
      </c>
      <c r="X337" s="14"/>
      <c r="Y337" s="48" t="s">
        <v>273</v>
      </c>
    </row>
    <row r="338" customFormat="false" ht="126.75" hidden="false" customHeight="true" outlineLevel="0" collapsed="false">
      <c r="A338" s="33" t="n">
        <v>333</v>
      </c>
      <c r="B338" s="34" t="n">
        <f aca="false">सारांश!$B$4+A338-1</f>
        <v>46673</v>
      </c>
      <c r="C338" s="33" t="str">
        <f aca="false">CHOOSE(WEEKDAY(B338,2),"सोमवार","मंगलवार","बुधवार","गुरुवार","शुक्रवार","शनिवार","रविवार")</f>
        <v>बुधवार</v>
      </c>
      <c r="D338" s="33" t="n">
        <f aca="false">IF(A338=1,0,INT((A338-2)/7)+1)</f>
        <v>48</v>
      </c>
      <c r="E338" s="33" t="n">
        <f aca="false">(YEAR(B338)-YEAR(सारांश!$B$4))*12+MONTH(B338)-MONTH(सारांश!$B$4)+IF(DAY(B338)&gt;=DAY(सारांश!$B$4),1,0)</f>
        <v>11</v>
      </c>
      <c r="F338" s="35" t="s">
        <v>18</v>
      </c>
      <c r="G338" s="14" t="s">
        <v>635</v>
      </c>
      <c r="H338" s="32" t="s">
        <v>1003</v>
      </c>
      <c r="I338" s="32" t="s">
        <v>658</v>
      </c>
      <c r="J338" s="48" t="s">
        <v>659</v>
      </c>
      <c r="K338" s="48" t="s">
        <v>639</v>
      </c>
      <c r="L338" s="14" t="s">
        <v>898</v>
      </c>
      <c r="M338" s="32" t="s">
        <v>1004</v>
      </c>
      <c r="N338" s="32" t="s">
        <v>279</v>
      </c>
      <c r="O338" s="32" t="s">
        <v>744</v>
      </c>
      <c r="P338" s="32" t="s">
        <v>745</v>
      </c>
      <c r="Q338" s="14" t="n">
        <v>7.5</v>
      </c>
      <c r="R338" s="32" t="s">
        <v>641</v>
      </c>
      <c r="S338" s="32" t="s">
        <v>900</v>
      </c>
      <c r="T338" s="49" t="s">
        <v>258</v>
      </c>
      <c r="U338" s="49" t="s">
        <v>259</v>
      </c>
      <c r="V338" s="49" t="s">
        <v>259</v>
      </c>
      <c r="W338" s="14" t="s">
        <v>260</v>
      </c>
      <c r="X338" s="14"/>
      <c r="Y338" s="48" t="s">
        <v>273</v>
      </c>
    </row>
    <row r="339" customFormat="false" ht="126.75" hidden="false" customHeight="true" outlineLevel="0" collapsed="false">
      <c r="A339" s="33" t="n">
        <v>334</v>
      </c>
      <c r="B339" s="34" t="n">
        <f aca="false">सारांश!$B$4+A339-1</f>
        <v>46674</v>
      </c>
      <c r="C339" s="33" t="str">
        <f aca="false">CHOOSE(WEEKDAY(B339,2),"सोमवार","मंगलवार","बुधवार","गुरुवार","शुक्रवार","शनिवार","रविवार")</f>
        <v>गुरुवार</v>
      </c>
      <c r="D339" s="33" t="n">
        <f aca="false">IF(A339=1,0,INT((A339-2)/7)+1)</f>
        <v>48</v>
      </c>
      <c r="E339" s="33" t="n">
        <f aca="false">(YEAR(B339)-YEAR(सारांश!$B$4))*12+MONTH(B339)-MONTH(सारांश!$B$4)+IF(DAY(B339)&gt;=DAY(सारांश!$B$4),1,0)</f>
        <v>11</v>
      </c>
      <c r="F339" s="35" t="s">
        <v>18</v>
      </c>
      <c r="G339" s="14" t="s">
        <v>635</v>
      </c>
      <c r="H339" s="32" t="s">
        <v>1005</v>
      </c>
      <c r="I339" s="32" t="s">
        <v>658</v>
      </c>
      <c r="J339" s="48" t="s">
        <v>659</v>
      </c>
      <c r="K339" s="48" t="s">
        <v>639</v>
      </c>
      <c r="L339" s="14" t="s">
        <v>898</v>
      </c>
      <c r="M339" s="32" t="s">
        <v>1006</v>
      </c>
      <c r="N339" s="32" t="s">
        <v>284</v>
      </c>
      <c r="O339" s="32" t="s">
        <v>744</v>
      </c>
      <c r="P339" s="32" t="s">
        <v>745</v>
      </c>
      <c r="Q339" s="14" t="n">
        <v>7.5</v>
      </c>
      <c r="R339" s="32" t="s">
        <v>641</v>
      </c>
      <c r="S339" s="32" t="s">
        <v>900</v>
      </c>
      <c r="T339" s="49" t="s">
        <v>258</v>
      </c>
      <c r="U339" s="49" t="s">
        <v>259</v>
      </c>
      <c r="V339" s="49" t="s">
        <v>259</v>
      </c>
      <c r="W339" s="14" t="s">
        <v>260</v>
      </c>
      <c r="X339" s="14"/>
      <c r="Y339" s="48" t="s">
        <v>273</v>
      </c>
    </row>
    <row r="340" customFormat="false" ht="126.75" hidden="false" customHeight="true" outlineLevel="0" collapsed="false">
      <c r="A340" s="33" t="n">
        <v>335</v>
      </c>
      <c r="B340" s="34" t="n">
        <f aca="false">सारांश!$B$4+A340-1</f>
        <v>46675</v>
      </c>
      <c r="C340" s="33" t="str">
        <f aca="false">CHOOSE(WEEKDAY(B340,2),"सोमवार","मंगलवार","बुधवार","गुरुवार","शुक्रवार","शनिवार","रविवार")</f>
        <v>शुक्रवार</v>
      </c>
      <c r="D340" s="33" t="n">
        <f aca="false">IF(A340=1,0,INT((A340-2)/7)+1)</f>
        <v>48</v>
      </c>
      <c r="E340" s="33" t="n">
        <f aca="false">(YEAR(B340)-YEAR(सारांश!$B$4))*12+MONTH(B340)-MONTH(सारांश!$B$4)+IF(DAY(B340)&gt;=DAY(सारांश!$B$4),1,0)</f>
        <v>12</v>
      </c>
      <c r="F340" s="35" t="s">
        <v>18</v>
      </c>
      <c r="G340" s="14" t="s">
        <v>635</v>
      </c>
      <c r="H340" s="32" t="s">
        <v>1007</v>
      </c>
      <c r="I340" s="32" t="s">
        <v>658</v>
      </c>
      <c r="J340" s="48" t="s">
        <v>659</v>
      </c>
      <c r="K340" s="48" t="s">
        <v>639</v>
      </c>
      <c r="L340" s="14" t="s">
        <v>898</v>
      </c>
      <c r="M340" s="32" t="s">
        <v>1008</v>
      </c>
      <c r="N340" s="32" t="s">
        <v>287</v>
      </c>
      <c r="O340" s="32" t="s">
        <v>744</v>
      </c>
      <c r="P340" s="32" t="s">
        <v>745</v>
      </c>
      <c r="Q340" s="14" t="n">
        <v>7.5</v>
      </c>
      <c r="R340" s="32" t="s">
        <v>641</v>
      </c>
      <c r="S340" s="32" t="s">
        <v>900</v>
      </c>
      <c r="T340" s="49" t="s">
        <v>258</v>
      </c>
      <c r="U340" s="49" t="s">
        <v>259</v>
      </c>
      <c r="V340" s="49" t="s">
        <v>259</v>
      </c>
      <c r="W340" s="14" t="s">
        <v>260</v>
      </c>
      <c r="X340" s="14"/>
      <c r="Y340" s="48" t="s">
        <v>273</v>
      </c>
    </row>
    <row r="341" customFormat="false" ht="126.75" hidden="false" customHeight="true" outlineLevel="0" collapsed="false">
      <c r="A341" s="33" t="n">
        <v>336</v>
      </c>
      <c r="B341" s="34" t="n">
        <f aca="false">सारांश!$B$4+A341-1</f>
        <v>46676</v>
      </c>
      <c r="C341" s="33" t="str">
        <f aca="false">CHOOSE(WEEKDAY(B341,2),"सोमवार","मंगलवार","बुधवार","गुरुवार","शुक्रवार","शनिवार","रविवार")</f>
        <v>शनिवार</v>
      </c>
      <c r="D341" s="33" t="n">
        <f aca="false">IF(A341=1,0,INT((A341-2)/7)+1)</f>
        <v>48</v>
      </c>
      <c r="E341" s="33" t="n">
        <f aca="false">(YEAR(B341)-YEAR(सारांश!$B$4))*12+MONTH(B341)-MONTH(सारांश!$B$4)+IF(DAY(B341)&gt;=DAY(सारांश!$B$4),1,0)</f>
        <v>12</v>
      </c>
      <c r="F341" s="35" t="s">
        <v>18</v>
      </c>
      <c r="G341" s="14" t="s">
        <v>635</v>
      </c>
      <c r="H341" s="32" t="s">
        <v>1009</v>
      </c>
      <c r="I341" s="32" t="s">
        <v>658</v>
      </c>
      <c r="J341" s="48" t="s">
        <v>659</v>
      </c>
      <c r="K341" s="48" t="s">
        <v>639</v>
      </c>
      <c r="L341" s="14" t="s">
        <v>898</v>
      </c>
      <c r="M341" s="32" t="s">
        <v>1010</v>
      </c>
      <c r="N341" s="32" t="s">
        <v>290</v>
      </c>
      <c r="O341" s="32" t="s">
        <v>744</v>
      </c>
      <c r="P341" s="32" t="s">
        <v>745</v>
      </c>
      <c r="Q341" s="14" t="n">
        <v>7.5</v>
      </c>
      <c r="R341" s="32" t="s">
        <v>641</v>
      </c>
      <c r="S341" s="32" t="s">
        <v>900</v>
      </c>
      <c r="T341" s="49" t="s">
        <v>258</v>
      </c>
      <c r="U341" s="49" t="s">
        <v>259</v>
      </c>
      <c r="V341" s="49" t="s">
        <v>259</v>
      </c>
      <c r="W341" s="14" t="s">
        <v>260</v>
      </c>
      <c r="X341" s="14"/>
      <c r="Y341" s="48" t="s">
        <v>273</v>
      </c>
    </row>
    <row r="342" customFormat="false" ht="75.75" hidden="false" customHeight="true" outlineLevel="0" collapsed="false">
      <c r="A342" s="50" t="n">
        <v>337</v>
      </c>
      <c r="B342" s="51" t="n">
        <f aca="false">सारांश!$B$4+A342-1</f>
        <v>46677</v>
      </c>
      <c r="C342" s="50" t="str">
        <f aca="false">CHOOSE(WEEKDAY(B342,2),"सोमवार","मंगलवार","बुधवार","गुरुवार","शुक्रवार","शनिवार","रविवार")</f>
        <v>रविवार</v>
      </c>
      <c r="D342" s="50" t="n">
        <f aca="false">IF(A342=1,0,INT((A342-2)/7)+1)</f>
        <v>48</v>
      </c>
      <c r="E342" s="50" t="n">
        <f aca="false">(YEAR(B342)-YEAR(सारांश!$B$4))*12+MONTH(B342)-MONTH(सारांश!$B$4)+IF(DAY(B342)&gt;=DAY(सारांश!$B$4),1,0)</f>
        <v>12</v>
      </c>
      <c r="F342" s="52" t="s">
        <v>18</v>
      </c>
      <c r="G342" s="50" t="s">
        <v>291</v>
      </c>
      <c r="H342" s="52" t="s">
        <v>135</v>
      </c>
      <c r="I342" s="52" t="s">
        <v>669</v>
      </c>
      <c r="J342" s="53" t="s">
        <v>293</v>
      </c>
      <c r="K342" s="53" t="s">
        <v>294</v>
      </c>
      <c r="L342" s="50" t="s">
        <v>295</v>
      </c>
      <c r="M342" s="52" t="s">
        <v>296</v>
      </c>
      <c r="N342" s="52" t="s">
        <v>297</v>
      </c>
      <c r="O342" s="52" t="s">
        <v>756</v>
      </c>
      <c r="P342" s="52" t="s">
        <v>299</v>
      </c>
      <c r="Q342" s="50" t="n">
        <v>6</v>
      </c>
      <c r="R342" s="52" t="s">
        <v>300</v>
      </c>
      <c r="S342" s="52" t="s">
        <v>257</v>
      </c>
      <c r="T342" s="54" t="s">
        <v>258</v>
      </c>
      <c r="U342" s="54" t="s">
        <v>259</v>
      </c>
      <c r="V342" s="54" t="s">
        <v>259</v>
      </c>
      <c r="W342" s="50" t="s">
        <v>260</v>
      </c>
      <c r="X342" s="50"/>
    </row>
    <row r="343" customFormat="false" ht="126.75" hidden="false" customHeight="true" outlineLevel="0" collapsed="false">
      <c r="A343" s="33" t="n">
        <v>338</v>
      </c>
      <c r="B343" s="34" t="n">
        <f aca="false">सारांश!$B$4+A343-1</f>
        <v>46678</v>
      </c>
      <c r="C343" s="33" t="str">
        <f aca="false">CHOOSE(WEEKDAY(B343,2),"सोमवार","मंगलवार","बुधवार","गुरुवार","शुक्रवार","शनिवार","रविवार")</f>
        <v>सोमवार</v>
      </c>
      <c r="D343" s="33" t="n">
        <f aca="false">IF(A343=1,0,INT((A343-2)/7)+1)</f>
        <v>49</v>
      </c>
      <c r="E343" s="33" t="n">
        <f aca="false">(YEAR(B343)-YEAR(सारांश!$B$4))*12+MONTH(B343)-MONTH(सारांश!$B$4)+IF(DAY(B343)&gt;=DAY(सारांश!$B$4),1,0)</f>
        <v>12</v>
      </c>
      <c r="F343" s="35" t="s">
        <v>18</v>
      </c>
      <c r="G343" s="14" t="s">
        <v>635</v>
      </c>
      <c r="H343" s="32" t="s">
        <v>1011</v>
      </c>
      <c r="I343" s="32" t="s">
        <v>671</v>
      </c>
      <c r="J343" s="48" t="s">
        <v>672</v>
      </c>
      <c r="K343" s="48" t="s">
        <v>639</v>
      </c>
      <c r="L343" s="14" t="s">
        <v>898</v>
      </c>
      <c r="M343" s="32" t="s">
        <v>1012</v>
      </c>
      <c r="N343" s="32" t="s">
        <v>268</v>
      </c>
      <c r="O343" s="32" t="s">
        <v>744</v>
      </c>
      <c r="P343" s="32" t="s">
        <v>745</v>
      </c>
      <c r="Q343" s="14" t="n">
        <v>7.5</v>
      </c>
      <c r="R343" s="32" t="s">
        <v>641</v>
      </c>
      <c r="S343" s="32" t="s">
        <v>900</v>
      </c>
      <c r="T343" s="49" t="s">
        <v>258</v>
      </c>
      <c r="U343" s="49" t="s">
        <v>259</v>
      </c>
      <c r="V343" s="49" t="s">
        <v>259</v>
      </c>
      <c r="W343" s="14" t="s">
        <v>260</v>
      </c>
      <c r="X343" s="14"/>
      <c r="Y343" s="48" t="s">
        <v>273</v>
      </c>
    </row>
    <row r="344" customFormat="false" ht="126.75" hidden="false" customHeight="true" outlineLevel="0" collapsed="false">
      <c r="A344" s="33" t="n">
        <v>339</v>
      </c>
      <c r="B344" s="34" t="n">
        <f aca="false">सारांश!$B$4+A344-1</f>
        <v>46679</v>
      </c>
      <c r="C344" s="33" t="str">
        <f aca="false">CHOOSE(WEEKDAY(B344,2),"सोमवार","मंगलवार","बुधवार","गुरुवार","शुक्रवार","शनिवार","रविवार")</f>
        <v>मंगलवार</v>
      </c>
      <c r="D344" s="33" t="n">
        <f aca="false">IF(A344=1,0,INT((A344-2)/7)+1)</f>
        <v>49</v>
      </c>
      <c r="E344" s="33" t="n">
        <f aca="false">(YEAR(B344)-YEAR(सारांश!$B$4))*12+MONTH(B344)-MONTH(सारांश!$B$4)+IF(DAY(B344)&gt;=DAY(सारांश!$B$4),1,0)</f>
        <v>12</v>
      </c>
      <c r="F344" s="35" t="s">
        <v>18</v>
      </c>
      <c r="G344" s="14" t="s">
        <v>635</v>
      </c>
      <c r="H344" s="32" t="s">
        <v>1013</v>
      </c>
      <c r="I344" s="32" t="s">
        <v>671</v>
      </c>
      <c r="J344" s="48" t="s">
        <v>672</v>
      </c>
      <c r="K344" s="48" t="s">
        <v>639</v>
      </c>
      <c r="L344" s="14" t="s">
        <v>898</v>
      </c>
      <c r="M344" s="32" t="s">
        <v>1014</v>
      </c>
      <c r="N344" s="32" t="s">
        <v>276</v>
      </c>
      <c r="O344" s="32" t="s">
        <v>744</v>
      </c>
      <c r="P344" s="32" t="s">
        <v>745</v>
      </c>
      <c r="Q344" s="14" t="n">
        <v>7.5</v>
      </c>
      <c r="R344" s="32" t="s">
        <v>641</v>
      </c>
      <c r="S344" s="32" t="s">
        <v>900</v>
      </c>
      <c r="T344" s="49" t="s">
        <v>258</v>
      </c>
      <c r="U344" s="49" t="s">
        <v>259</v>
      </c>
      <c r="V344" s="49" t="s">
        <v>259</v>
      </c>
      <c r="W344" s="14" t="s">
        <v>260</v>
      </c>
      <c r="X344" s="14"/>
      <c r="Y344" s="48" t="s">
        <v>273</v>
      </c>
    </row>
    <row r="345" customFormat="false" ht="126.75" hidden="false" customHeight="true" outlineLevel="0" collapsed="false">
      <c r="A345" s="33" t="n">
        <v>340</v>
      </c>
      <c r="B345" s="34" t="n">
        <f aca="false">सारांश!$B$4+A345-1</f>
        <v>46680</v>
      </c>
      <c r="C345" s="33" t="str">
        <f aca="false">CHOOSE(WEEKDAY(B345,2),"सोमवार","मंगलवार","बुधवार","गुरुवार","शुक्रवार","शनिवार","रविवार")</f>
        <v>बुधवार</v>
      </c>
      <c r="D345" s="33" t="n">
        <f aca="false">IF(A345=1,0,INT((A345-2)/7)+1)</f>
        <v>49</v>
      </c>
      <c r="E345" s="33" t="n">
        <f aca="false">(YEAR(B345)-YEAR(सारांश!$B$4))*12+MONTH(B345)-MONTH(सारांश!$B$4)+IF(DAY(B345)&gt;=DAY(सारांश!$B$4),1,0)</f>
        <v>12</v>
      </c>
      <c r="F345" s="35" t="s">
        <v>18</v>
      </c>
      <c r="G345" s="14" t="s">
        <v>635</v>
      </c>
      <c r="H345" s="32" t="s">
        <v>1015</v>
      </c>
      <c r="I345" s="32" t="s">
        <v>671</v>
      </c>
      <c r="J345" s="48" t="s">
        <v>672</v>
      </c>
      <c r="K345" s="48" t="s">
        <v>639</v>
      </c>
      <c r="L345" s="14" t="s">
        <v>898</v>
      </c>
      <c r="M345" s="32" t="s">
        <v>1016</v>
      </c>
      <c r="N345" s="32" t="s">
        <v>279</v>
      </c>
      <c r="O345" s="32" t="s">
        <v>744</v>
      </c>
      <c r="P345" s="32" t="s">
        <v>745</v>
      </c>
      <c r="Q345" s="14" t="n">
        <v>7.5</v>
      </c>
      <c r="R345" s="32" t="s">
        <v>641</v>
      </c>
      <c r="S345" s="32" t="s">
        <v>900</v>
      </c>
      <c r="T345" s="49" t="s">
        <v>258</v>
      </c>
      <c r="U345" s="49" t="s">
        <v>259</v>
      </c>
      <c r="V345" s="49" t="s">
        <v>259</v>
      </c>
      <c r="W345" s="14" t="s">
        <v>260</v>
      </c>
      <c r="X345" s="14"/>
      <c r="Y345" s="48" t="s">
        <v>273</v>
      </c>
    </row>
    <row r="346" customFormat="false" ht="109.5" hidden="false" customHeight="true" outlineLevel="0" collapsed="false">
      <c r="A346" s="33" t="n">
        <v>341</v>
      </c>
      <c r="B346" s="34" t="n">
        <f aca="false">सारांश!$B$4+A346-1</f>
        <v>46681</v>
      </c>
      <c r="C346" s="33" t="str">
        <f aca="false">CHOOSE(WEEKDAY(B346,2),"सोमवार","मंगलवार","बुधवार","गुरुवार","शुक्रवार","शनिवार","रविवार")</f>
        <v>गुरुवार</v>
      </c>
      <c r="D346" s="33" t="n">
        <f aca="false">IF(A346=1,0,INT((A346-2)/7)+1)</f>
        <v>49</v>
      </c>
      <c r="E346" s="33" t="n">
        <f aca="false">(YEAR(B346)-YEAR(सारांश!$B$4))*12+MONTH(B346)-MONTH(सारांश!$B$4)+IF(DAY(B346)&gt;=DAY(सारांश!$B$4),1,0)</f>
        <v>12</v>
      </c>
      <c r="F346" s="35" t="s">
        <v>18</v>
      </c>
      <c r="G346" s="14" t="s">
        <v>635</v>
      </c>
      <c r="H346" s="32" t="s">
        <v>1017</v>
      </c>
      <c r="I346" s="32" t="s">
        <v>679</v>
      </c>
      <c r="J346" s="48" t="s">
        <v>680</v>
      </c>
      <c r="K346" s="48" t="s">
        <v>639</v>
      </c>
      <c r="L346" s="14" t="s">
        <v>898</v>
      </c>
      <c r="M346" s="32" t="s">
        <v>1018</v>
      </c>
      <c r="N346" s="32" t="s">
        <v>284</v>
      </c>
      <c r="O346" s="32" t="s">
        <v>744</v>
      </c>
      <c r="P346" s="32" t="s">
        <v>745</v>
      </c>
      <c r="Q346" s="14" t="n">
        <v>7.5</v>
      </c>
      <c r="R346" s="32" t="s">
        <v>641</v>
      </c>
      <c r="S346" s="32" t="s">
        <v>900</v>
      </c>
      <c r="T346" s="49" t="s">
        <v>258</v>
      </c>
      <c r="U346" s="49" t="s">
        <v>259</v>
      </c>
      <c r="V346" s="49" t="s">
        <v>259</v>
      </c>
      <c r="W346" s="14" t="s">
        <v>260</v>
      </c>
      <c r="X346" s="14"/>
      <c r="Y346" s="48" t="s">
        <v>273</v>
      </c>
    </row>
    <row r="347" customFormat="false" ht="109.5" hidden="false" customHeight="true" outlineLevel="0" collapsed="false">
      <c r="A347" s="33" t="n">
        <v>342</v>
      </c>
      <c r="B347" s="34" t="n">
        <f aca="false">सारांश!$B$4+A347-1</f>
        <v>46682</v>
      </c>
      <c r="C347" s="33" t="str">
        <f aca="false">CHOOSE(WEEKDAY(B347,2),"सोमवार","मंगलवार","बुधवार","गुरुवार","शुक्रवार","शनिवार","रविवार")</f>
        <v>शुक्रवार</v>
      </c>
      <c r="D347" s="33" t="n">
        <f aca="false">IF(A347=1,0,INT((A347-2)/7)+1)</f>
        <v>49</v>
      </c>
      <c r="E347" s="33" t="n">
        <f aca="false">(YEAR(B347)-YEAR(सारांश!$B$4))*12+MONTH(B347)-MONTH(सारांश!$B$4)+IF(DAY(B347)&gt;=DAY(सारांश!$B$4),1,0)</f>
        <v>12</v>
      </c>
      <c r="F347" s="35" t="s">
        <v>18</v>
      </c>
      <c r="G347" s="14" t="s">
        <v>635</v>
      </c>
      <c r="H347" s="32" t="s">
        <v>1019</v>
      </c>
      <c r="I347" s="32" t="s">
        <v>679</v>
      </c>
      <c r="J347" s="48" t="s">
        <v>680</v>
      </c>
      <c r="K347" s="48" t="s">
        <v>639</v>
      </c>
      <c r="L347" s="14" t="s">
        <v>898</v>
      </c>
      <c r="M347" s="32" t="s">
        <v>1020</v>
      </c>
      <c r="N347" s="32" t="s">
        <v>287</v>
      </c>
      <c r="O347" s="32" t="s">
        <v>744</v>
      </c>
      <c r="P347" s="32" t="s">
        <v>745</v>
      </c>
      <c r="Q347" s="14" t="n">
        <v>7.5</v>
      </c>
      <c r="R347" s="32" t="s">
        <v>641</v>
      </c>
      <c r="S347" s="32" t="s">
        <v>900</v>
      </c>
      <c r="T347" s="49" t="s">
        <v>258</v>
      </c>
      <c r="U347" s="49" t="s">
        <v>259</v>
      </c>
      <c r="V347" s="49" t="s">
        <v>259</v>
      </c>
      <c r="W347" s="14" t="s">
        <v>260</v>
      </c>
      <c r="X347" s="14"/>
      <c r="Y347" s="48" t="s">
        <v>273</v>
      </c>
    </row>
    <row r="348" customFormat="false" ht="109.5" hidden="false" customHeight="true" outlineLevel="0" collapsed="false">
      <c r="A348" s="33" t="n">
        <v>343</v>
      </c>
      <c r="B348" s="34" t="n">
        <f aca="false">सारांश!$B$4+A348-1</f>
        <v>46683</v>
      </c>
      <c r="C348" s="33" t="str">
        <f aca="false">CHOOSE(WEEKDAY(B348,2),"सोमवार","मंगलवार","बुधवार","गुरुवार","शुक्रवार","शनिवार","रविवार")</f>
        <v>शनिवार</v>
      </c>
      <c r="D348" s="33" t="n">
        <f aca="false">IF(A348=1,0,INT((A348-2)/7)+1)</f>
        <v>49</v>
      </c>
      <c r="E348" s="33" t="n">
        <f aca="false">(YEAR(B348)-YEAR(सारांश!$B$4))*12+MONTH(B348)-MONTH(सारांश!$B$4)+IF(DAY(B348)&gt;=DAY(सारांश!$B$4),1,0)</f>
        <v>12</v>
      </c>
      <c r="F348" s="35" t="s">
        <v>18</v>
      </c>
      <c r="G348" s="14" t="s">
        <v>635</v>
      </c>
      <c r="H348" s="32" t="s">
        <v>1021</v>
      </c>
      <c r="I348" s="32" t="s">
        <v>679</v>
      </c>
      <c r="J348" s="48" t="s">
        <v>680</v>
      </c>
      <c r="K348" s="48" t="s">
        <v>639</v>
      </c>
      <c r="L348" s="14" t="s">
        <v>898</v>
      </c>
      <c r="M348" s="32" t="s">
        <v>1022</v>
      </c>
      <c r="N348" s="32" t="s">
        <v>290</v>
      </c>
      <c r="O348" s="32" t="s">
        <v>744</v>
      </c>
      <c r="P348" s="32" t="s">
        <v>745</v>
      </c>
      <c r="Q348" s="14" t="n">
        <v>7.5</v>
      </c>
      <c r="R348" s="32" t="s">
        <v>641</v>
      </c>
      <c r="S348" s="32" t="s">
        <v>900</v>
      </c>
      <c r="T348" s="49" t="s">
        <v>258</v>
      </c>
      <c r="U348" s="49" t="s">
        <v>259</v>
      </c>
      <c r="V348" s="49" t="s">
        <v>259</v>
      </c>
      <c r="W348" s="14" t="s">
        <v>260</v>
      </c>
      <c r="X348" s="14"/>
      <c r="Y348" s="48" t="s">
        <v>273</v>
      </c>
    </row>
    <row r="349" customFormat="false" ht="75.75" hidden="false" customHeight="true" outlineLevel="0" collapsed="false">
      <c r="A349" s="50" t="n">
        <v>344</v>
      </c>
      <c r="B349" s="51" t="n">
        <f aca="false">सारांश!$B$4+A349-1</f>
        <v>46684</v>
      </c>
      <c r="C349" s="50" t="str">
        <f aca="false">CHOOSE(WEEKDAY(B349,2),"सोमवार","मंगलवार","बुधवार","गुरुवार","शुक्रवार","शनिवार","रविवार")</f>
        <v>रविवार</v>
      </c>
      <c r="D349" s="50" t="n">
        <f aca="false">IF(A349=1,0,INT((A349-2)/7)+1)</f>
        <v>49</v>
      </c>
      <c r="E349" s="50" t="n">
        <f aca="false">(YEAR(B349)-YEAR(सारांश!$B$4))*12+MONTH(B349)-MONTH(सारांश!$B$4)+IF(DAY(B349)&gt;=DAY(सारांश!$B$4),1,0)</f>
        <v>12</v>
      </c>
      <c r="F349" s="52" t="s">
        <v>18</v>
      </c>
      <c r="G349" s="50" t="s">
        <v>291</v>
      </c>
      <c r="H349" s="52" t="s">
        <v>127</v>
      </c>
      <c r="I349" s="52" t="s">
        <v>686</v>
      </c>
      <c r="J349" s="53" t="s">
        <v>293</v>
      </c>
      <c r="K349" s="53" t="s">
        <v>294</v>
      </c>
      <c r="L349" s="50" t="s">
        <v>295</v>
      </c>
      <c r="M349" s="52" t="s">
        <v>296</v>
      </c>
      <c r="N349" s="52" t="s">
        <v>297</v>
      </c>
      <c r="O349" s="52" t="s">
        <v>756</v>
      </c>
      <c r="P349" s="52" t="s">
        <v>299</v>
      </c>
      <c r="Q349" s="50" t="n">
        <v>6</v>
      </c>
      <c r="R349" s="52" t="s">
        <v>300</v>
      </c>
      <c r="S349" s="52" t="s">
        <v>257</v>
      </c>
      <c r="T349" s="54" t="s">
        <v>258</v>
      </c>
      <c r="U349" s="54" t="s">
        <v>259</v>
      </c>
      <c r="V349" s="54" t="s">
        <v>259</v>
      </c>
      <c r="W349" s="50" t="s">
        <v>260</v>
      </c>
      <c r="X349" s="50"/>
    </row>
    <row r="350" customFormat="false" ht="109.5" hidden="false" customHeight="true" outlineLevel="0" collapsed="false">
      <c r="A350" s="33" t="n">
        <v>345</v>
      </c>
      <c r="B350" s="34" t="n">
        <f aca="false">सारांश!$B$4+A350-1</f>
        <v>46685</v>
      </c>
      <c r="C350" s="33" t="str">
        <f aca="false">CHOOSE(WEEKDAY(B350,2),"सोमवार","मंगलवार","बुधवार","गुरुवार","शुक्रवार","शनिवार","रविवार")</f>
        <v>सोमवार</v>
      </c>
      <c r="D350" s="33" t="n">
        <f aca="false">IF(A350=1,0,INT((A350-2)/7)+1)</f>
        <v>50</v>
      </c>
      <c r="E350" s="33" t="n">
        <f aca="false">(YEAR(B350)-YEAR(सारांश!$B$4))*12+MONTH(B350)-MONTH(सारांश!$B$4)+IF(DAY(B350)&gt;=DAY(सारांश!$B$4),1,0)</f>
        <v>12</v>
      </c>
      <c r="F350" s="35" t="s">
        <v>18</v>
      </c>
      <c r="G350" s="14" t="s">
        <v>635</v>
      </c>
      <c r="H350" s="32" t="s">
        <v>1023</v>
      </c>
      <c r="I350" s="32" t="s">
        <v>688</v>
      </c>
      <c r="J350" s="48" t="s">
        <v>689</v>
      </c>
      <c r="K350" s="48" t="s">
        <v>639</v>
      </c>
      <c r="L350" s="14" t="s">
        <v>898</v>
      </c>
      <c r="M350" s="32" t="s">
        <v>1024</v>
      </c>
      <c r="N350" s="32" t="s">
        <v>268</v>
      </c>
      <c r="O350" s="32" t="s">
        <v>744</v>
      </c>
      <c r="P350" s="32" t="s">
        <v>745</v>
      </c>
      <c r="Q350" s="14" t="n">
        <v>7.5</v>
      </c>
      <c r="R350" s="32" t="s">
        <v>641</v>
      </c>
      <c r="S350" s="32" t="s">
        <v>900</v>
      </c>
      <c r="T350" s="49" t="s">
        <v>258</v>
      </c>
      <c r="U350" s="49" t="s">
        <v>259</v>
      </c>
      <c r="V350" s="49" t="s">
        <v>259</v>
      </c>
      <c r="W350" s="14" t="s">
        <v>260</v>
      </c>
      <c r="X350" s="14"/>
      <c r="Y350" s="48" t="s">
        <v>273</v>
      </c>
    </row>
    <row r="351" customFormat="false" ht="109.5" hidden="false" customHeight="true" outlineLevel="0" collapsed="false">
      <c r="A351" s="33" t="n">
        <v>346</v>
      </c>
      <c r="B351" s="34" t="n">
        <f aca="false">सारांश!$B$4+A351-1</f>
        <v>46686</v>
      </c>
      <c r="C351" s="33" t="str">
        <f aca="false">CHOOSE(WEEKDAY(B351,2),"सोमवार","मंगलवार","बुधवार","गुरुवार","शुक्रवार","शनिवार","रविवार")</f>
        <v>मंगलवार</v>
      </c>
      <c r="D351" s="33" t="n">
        <f aca="false">IF(A351=1,0,INT((A351-2)/7)+1)</f>
        <v>50</v>
      </c>
      <c r="E351" s="33" t="n">
        <f aca="false">(YEAR(B351)-YEAR(सारांश!$B$4))*12+MONTH(B351)-MONTH(सारांश!$B$4)+IF(DAY(B351)&gt;=DAY(सारांश!$B$4),1,0)</f>
        <v>12</v>
      </c>
      <c r="F351" s="35" t="s">
        <v>18</v>
      </c>
      <c r="G351" s="14" t="s">
        <v>635</v>
      </c>
      <c r="H351" s="32" t="s">
        <v>1025</v>
      </c>
      <c r="I351" s="32" t="s">
        <v>688</v>
      </c>
      <c r="J351" s="48" t="s">
        <v>689</v>
      </c>
      <c r="K351" s="48" t="s">
        <v>639</v>
      </c>
      <c r="L351" s="14" t="s">
        <v>898</v>
      </c>
      <c r="M351" s="32" t="s">
        <v>1026</v>
      </c>
      <c r="N351" s="32" t="s">
        <v>276</v>
      </c>
      <c r="O351" s="32" t="s">
        <v>744</v>
      </c>
      <c r="P351" s="32" t="s">
        <v>745</v>
      </c>
      <c r="Q351" s="14" t="n">
        <v>7.5</v>
      </c>
      <c r="R351" s="32" t="s">
        <v>641</v>
      </c>
      <c r="S351" s="32" t="s">
        <v>900</v>
      </c>
      <c r="T351" s="49" t="s">
        <v>258</v>
      </c>
      <c r="U351" s="49" t="s">
        <v>259</v>
      </c>
      <c r="V351" s="49" t="s">
        <v>259</v>
      </c>
      <c r="W351" s="14" t="s">
        <v>260</v>
      </c>
      <c r="X351" s="14"/>
      <c r="Y351" s="48" t="s">
        <v>273</v>
      </c>
    </row>
    <row r="352" customFormat="false" ht="109.5" hidden="false" customHeight="true" outlineLevel="0" collapsed="false">
      <c r="A352" s="33" t="n">
        <v>347</v>
      </c>
      <c r="B352" s="34" t="n">
        <f aca="false">सारांश!$B$4+A352-1</f>
        <v>46687</v>
      </c>
      <c r="C352" s="33" t="str">
        <f aca="false">CHOOSE(WEEKDAY(B352,2),"सोमवार","मंगलवार","बुधवार","गुरुवार","शुक्रवार","शनिवार","रविवार")</f>
        <v>बुधवार</v>
      </c>
      <c r="D352" s="33" t="n">
        <f aca="false">IF(A352=1,0,INT((A352-2)/7)+1)</f>
        <v>50</v>
      </c>
      <c r="E352" s="33" t="n">
        <f aca="false">(YEAR(B352)-YEAR(सारांश!$B$4))*12+MONTH(B352)-MONTH(सारांश!$B$4)+IF(DAY(B352)&gt;=DAY(सारांश!$B$4),1,0)</f>
        <v>12</v>
      </c>
      <c r="F352" s="35" t="s">
        <v>18</v>
      </c>
      <c r="G352" s="14" t="s">
        <v>635</v>
      </c>
      <c r="H352" s="32" t="s">
        <v>1027</v>
      </c>
      <c r="I352" s="32" t="s">
        <v>688</v>
      </c>
      <c r="J352" s="48" t="s">
        <v>689</v>
      </c>
      <c r="K352" s="48" t="s">
        <v>639</v>
      </c>
      <c r="L352" s="14" t="s">
        <v>898</v>
      </c>
      <c r="M352" s="32" t="s">
        <v>1028</v>
      </c>
      <c r="N352" s="32" t="s">
        <v>279</v>
      </c>
      <c r="O352" s="32" t="s">
        <v>744</v>
      </c>
      <c r="P352" s="32" t="s">
        <v>745</v>
      </c>
      <c r="Q352" s="14" t="n">
        <v>7.5</v>
      </c>
      <c r="R352" s="32" t="s">
        <v>641</v>
      </c>
      <c r="S352" s="32" t="s">
        <v>900</v>
      </c>
      <c r="T352" s="49" t="s">
        <v>258</v>
      </c>
      <c r="U352" s="49" t="s">
        <v>259</v>
      </c>
      <c r="V352" s="49" t="s">
        <v>259</v>
      </c>
      <c r="W352" s="14" t="s">
        <v>260</v>
      </c>
      <c r="X352" s="14"/>
      <c r="Y352" s="48" t="s">
        <v>273</v>
      </c>
    </row>
    <row r="353" customFormat="false" ht="126.75" hidden="false" customHeight="true" outlineLevel="0" collapsed="false">
      <c r="A353" s="33" t="n">
        <v>348</v>
      </c>
      <c r="B353" s="34" t="n">
        <f aca="false">सारांश!$B$4+A353-1</f>
        <v>46688</v>
      </c>
      <c r="C353" s="33" t="str">
        <f aca="false">CHOOSE(WEEKDAY(B353,2),"सोमवार","मंगलवार","बुधवार","गुरुवार","शुक्रवार","शनिवार","रविवार")</f>
        <v>गुरुवार</v>
      </c>
      <c r="D353" s="33" t="n">
        <f aca="false">IF(A353=1,0,INT((A353-2)/7)+1)</f>
        <v>50</v>
      </c>
      <c r="E353" s="33" t="n">
        <f aca="false">(YEAR(B353)-YEAR(सारांश!$B$4))*12+MONTH(B353)-MONTH(सारांश!$B$4)+IF(DAY(B353)&gt;=DAY(सारांश!$B$4),1,0)</f>
        <v>12</v>
      </c>
      <c r="F353" s="35" t="s">
        <v>18</v>
      </c>
      <c r="G353" s="14" t="s">
        <v>635</v>
      </c>
      <c r="H353" s="32" t="s">
        <v>1029</v>
      </c>
      <c r="I353" s="32" t="s">
        <v>698</v>
      </c>
      <c r="J353" s="48" t="s">
        <v>699</v>
      </c>
      <c r="K353" s="48" t="s">
        <v>639</v>
      </c>
      <c r="L353" s="14" t="s">
        <v>898</v>
      </c>
      <c r="M353" s="32" t="s">
        <v>1030</v>
      </c>
      <c r="N353" s="32" t="s">
        <v>284</v>
      </c>
      <c r="O353" s="32" t="s">
        <v>744</v>
      </c>
      <c r="P353" s="32" t="s">
        <v>745</v>
      </c>
      <c r="Q353" s="14" t="n">
        <v>7.5</v>
      </c>
      <c r="R353" s="32" t="s">
        <v>641</v>
      </c>
      <c r="S353" s="32" t="s">
        <v>900</v>
      </c>
      <c r="T353" s="49" t="s">
        <v>258</v>
      </c>
      <c r="U353" s="49" t="s">
        <v>259</v>
      </c>
      <c r="V353" s="49" t="s">
        <v>259</v>
      </c>
      <c r="W353" s="14" t="s">
        <v>260</v>
      </c>
      <c r="X353" s="14"/>
      <c r="Y353" s="48" t="s">
        <v>273</v>
      </c>
    </row>
    <row r="354" customFormat="false" ht="126.75" hidden="false" customHeight="true" outlineLevel="0" collapsed="false">
      <c r="A354" s="33" t="n">
        <v>349</v>
      </c>
      <c r="B354" s="34" t="n">
        <f aca="false">सारांश!$B$4+A354-1</f>
        <v>46689</v>
      </c>
      <c r="C354" s="33" t="str">
        <f aca="false">CHOOSE(WEEKDAY(B354,2),"सोमवार","मंगलवार","बुधवार","गुरुवार","शुक्रवार","शनिवार","रविवार")</f>
        <v>शुक्रवार</v>
      </c>
      <c r="D354" s="33" t="n">
        <f aca="false">IF(A354=1,0,INT((A354-2)/7)+1)</f>
        <v>50</v>
      </c>
      <c r="E354" s="33" t="n">
        <f aca="false">(YEAR(B354)-YEAR(सारांश!$B$4))*12+MONTH(B354)-MONTH(सारांश!$B$4)+IF(DAY(B354)&gt;=DAY(सारांश!$B$4),1,0)</f>
        <v>12</v>
      </c>
      <c r="F354" s="35" t="s">
        <v>18</v>
      </c>
      <c r="G354" s="14" t="s">
        <v>635</v>
      </c>
      <c r="H354" s="32" t="s">
        <v>1031</v>
      </c>
      <c r="I354" s="32" t="s">
        <v>698</v>
      </c>
      <c r="J354" s="48" t="s">
        <v>699</v>
      </c>
      <c r="K354" s="48" t="s">
        <v>639</v>
      </c>
      <c r="L354" s="14" t="s">
        <v>898</v>
      </c>
      <c r="M354" s="32" t="s">
        <v>1032</v>
      </c>
      <c r="N354" s="32" t="s">
        <v>287</v>
      </c>
      <c r="O354" s="32" t="s">
        <v>744</v>
      </c>
      <c r="P354" s="32" t="s">
        <v>745</v>
      </c>
      <c r="Q354" s="14" t="n">
        <v>7.5</v>
      </c>
      <c r="R354" s="32" t="s">
        <v>641</v>
      </c>
      <c r="S354" s="32" t="s">
        <v>900</v>
      </c>
      <c r="T354" s="49" t="s">
        <v>258</v>
      </c>
      <c r="U354" s="49" t="s">
        <v>259</v>
      </c>
      <c r="V354" s="49" t="s">
        <v>259</v>
      </c>
      <c r="W354" s="14" t="s">
        <v>260</v>
      </c>
      <c r="X354" s="14"/>
      <c r="Y354" s="48" t="s">
        <v>273</v>
      </c>
    </row>
    <row r="355" customFormat="false" ht="126.75" hidden="false" customHeight="true" outlineLevel="0" collapsed="false">
      <c r="A355" s="33" t="n">
        <v>350</v>
      </c>
      <c r="B355" s="34" t="n">
        <f aca="false">सारांश!$B$4+A355-1</f>
        <v>46690</v>
      </c>
      <c r="C355" s="33" t="str">
        <f aca="false">CHOOSE(WEEKDAY(B355,2),"सोमवार","मंगलवार","बुधवार","गुरुवार","शुक्रवार","शनिवार","रविवार")</f>
        <v>शनिवार</v>
      </c>
      <c r="D355" s="33" t="n">
        <f aca="false">IF(A355=1,0,INT((A355-2)/7)+1)</f>
        <v>50</v>
      </c>
      <c r="E355" s="33" t="n">
        <f aca="false">(YEAR(B355)-YEAR(सारांश!$B$4))*12+MONTH(B355)-MONTH(सारांश!$B$4)+IF(DAY(B355)&gt;=DAY(सारांश!$B$4),1,0)</f>
        <v>12</v>
      </c>
      <c r="F355" s="35" t="s">
        <v>18</v>
      </c>
      <c r="G355" s="14" t="s">
        <v>635</v>
      </c>
      <c r="H355" s="32" t="s">
        <v>1033</v>
      </c>
      <c r="I355" s="32" t="s">
        <v>698</v>
      </c>
      <c r="J355" s="48" t="s">
        <v>699</v>
      </c>
      <c r="K355" s="48" t="s">
        <v>639</v>
      </c>
      <c r="L355" s="14" t="s">
        <v>898</v>
      </c>
      <c r="M355" s="32" t="s">
        <v>1034</v>
      </c>
      <c r="N355" s="32" t="s">
        <v>290</v>
      </c>
      <c r="O355" s="32" t="s">
        <v>744</v>
      </c>
      <c r="P355" s="32" t="s">
        <v>745</v>
      </c>
      <c r="Q355" s="14" t="n">
        <v>7.5</v>
      </c>
      <c r="R355" s="32" t="s">
        <v>641</v>
      </c>
      <c r="S355" s="32" t="s">
        <v>900</v>
      </c>
      <c r="T355" s="49" t="s">
        <v>258</v>
      </c>
      <c r="U355" s="49" t="s">
        <v>259</v>
      </c>
      <c r="V355" s="49" t="s">
        <v>259</v>
      </c>
      <c r="W355" s="14" t="s">
        <v>260</v>
      </c>
      <c r="X355" s="14"/>
      <c r="Y355" s="48" t="s">
        <v>273</v>
      </c>
    </row>
    <row r="356" customFormat="false" ht="75.75" hidden="false" customHeight="true" outlineLevel="0" collapsed="false">
      <c r="A356" s="50" t="n">
        <v>351</v>
      </c>
      <c r="B356" s="51" t="n">
        <f aca="false">सारांश!$B$4+A356-1</f>
        <v>46691</v>
      </c>
      <c r="C356" s="50" t="str">
        <f aca="false">CHOOSE(WEEKDAY(B356,2),"सोमवार","मंगलवार","बुधवार","गुरुवार","शुक्रवार","शनिवार","रविवार")</f>
        <v>रविवार</v>
      </c>
      <c r="D356" s="50" t="n">
        <f aca="false">IF(A356=1,0,INT((A356-2)/7)+1)</f>
        <v>50</v>
      </c>
      <c r="E356" s="50" t="n">
        <f aca="false">(YEAR(B356)-YEAR(सारांश!$B$4))*12+MONTH(B356)-MONTH(सारांश!$B$4)+IF(DAY(B356)&gt;=DAY(सारांश!$B$4),1,0)</f>
        <v>12</v>
      </c>
      <c r="F356" s="52" t="s">
        <v>18</v>
      </c>
      <c r="G356" s="50" t="s">
        <v>291</v>
      </c>
      <c r="H356" s="52" t="s">
        <v>127</v>
      </c>
      <c r="I356" s="52" t="s">
        <v>705</v>
      </c>
      <c r="J356" s="53" t="s">
        <v>293</v>
      </c>
      <c r="K356" s="53" t="s">
        <v>294</v>
      </c>
      <c r="L356" s="50" t="s">
        <v>295</v>
      </c>
      <c r="M356" s="52" t="s">
        <v>296</v>
      </c>
      <c r="N356" s="52" t="s">
        <v>297</v>
      </c>
      <c r="O356" s="52" t="s">
        <v>756</v>
      </c>
      <c r="P356" s="52" t="s">
        <v>299</v>
      </c>
      <c r="Q356" s="50" t="n">
        <v>6</v>
      </c>
      <c r="R356" s="52" t="s">
        <v>300</v>
      </c>
      <c r="S356" s="52" t="s">
        <v>257</v>
      </c>
      <c r="T356" s="54" t="s">
        <v>258</v>
      </c>
      <c r="U356" s="54" t="s">
        <v>259</v>
      </c>
      <c r="V356" s="54" t="s">
        <v>259</v>
      </c>
      <c r="W356" s="50" t="s">
        <v>260</v>
      </c>
      <c r="X356" s="50"/>
    </row>
    <row r="357" customFormat="false" ht="126.75" hidden="false" customHeight="true" outlineLevel="0" collapsed="false">
      <c r="A357" s="33" t="n">
        <v>352</v>
      </c>
      <c r="B357" s="34" t="n">
        <f aca="false">सारांश!$B$4+A357-1</f>
        <v>46692</v>
      </c>
      <c r="C357" s="33" t="str">
        <f aca="false">CHOOSE(WEEKDAY(B357,2),"सोमवार","मंगलवार","बुधवार","गुरुवार","शुक्रवार","शनिवार","रविवार")</f>
        <v>सोमवार</v>
      </c>
      <c r="D357" s="33" t="n">
        <f aca="false">IF(A357=1,0,INT((A357-2)/7)+1)</f>
        <v>51</v>
      </c>
      <c r="E357" s="33" t="n">
        <f aca="false">(YEAR(B357)-YEAR(सारांश!$B$4))*12+MONTH(B357)-MONTH(सारांश!$B$4)+IF(DAY(B357)&gt;=DAY(सारांश!$B$4),1,0)</f>
        <v>12</v>
      </c>
      <c r="F357" s="35" t="s">
        <v>18</v>
      </c>
      <c r="G357" s="14" t="s">
        <v>635</v>
      </c>
      <c r="H357" s="32" t="s">
        <v>1035</v>
      </c>
      <c r="I357" s="32" t="s">
        <v>707</v>
      </c>
      <c r="J357" s="48" t="s">
        <v>708</v>
      </c>
      <c r="K357" s="48" t="s">
        <v>639</v>
      </c>
      <c r="L357" s="14" t="s">
        <v>898</v>
      </c>
      <c r="M357" s="32" t="s">
        <v>1036</v>
      </c>
      <c r="N357" s="32" t="s">
        <v>268</v>
      </c>
      <c r="O357" s="32" t="s">
        <v>744</v>
      </c>
      <c r="P357" s="32" t="s">
        <v>745</v>
      </c>
      <c r="Q357" s="14" t="n">
        <v>7.5</v>
      </c>
      <c r="R357" s="32" t="s">
        <v>641</v>
      </c>
      <c r="S357" s="32" t="s">
        <v>900</v>
      </c>
      <c r="T357" s="49" t="s">
        <v>258</v>
      </c>
      <c r="U357" s="49" t="s">
        <v>259</v>
      </c>
      <c r="V357" s="49" t="s">
        <v>259</v>
      </c>
      <c r="W357" s="14" t="s">
        <v>260</v>
      </c>
      <c r="X357" s="14"/>
      <c r="Y357" s="48" t="s">
        <v>273</v>
      </c>
    </row>
    <row r="358" customFormat="false" ht="126.75" hidden="false" customHeight="true" outlineLevel="0" collapsed="false">
      <c r="A358" s="33" t="n">
        <v>353</v>
      </c>
      <c r="B358" s="34" t="n">
        <f aca="false">सारांश!$B$4+A358-1</f>
        <v>46693</v>
      </c>
      <c r="C358" s="33" t="str">
        <f aca="false">CHOOSE(WEEKDAY(B358,2),"सोमवार","मंगलवार","बुधवार","गुरुवार","शुक्रवार","शनिवार","रविवार")</f>
        <v>मंगलवार</v>
      </c>
      <c r="D358" s="33" t="n">
        <f aca="false">IF(A358=1,0,INT((A358-2)/7)+1)</f>
        <v>51</v>
      </c>
      <c r="E358" s="33" t="n">
        <f aca="false">(YEAR(B358)-YEAR(सारांश!$B$4))*12+MONTH(B358)-MONTH(सारांश!$B$4)+IF(DAY(B358)&gt;=DAY(सारांश!$B$4),1,0)</f>
        <v>12</v>
      </c>
      <c r="F358" s="35" t="s">
        <v>18</v>
      </c>
      <c r="G358" s="14" t="s">
        <v>635</v>
      </c>
      <c r="H358" s="32" t="s">
        <v>1037</v>
      </c>
      <c r="I358" s="32" t="s">
        <v>707</v>
      </c>
      <c r="J358" s="48" t="s">
        <v>708</v>
      </c>
      <c r="K358" s="48" t="s">
        <v>639</v>
      </c>
      <c r="L358" s="14" t="s">
        <v>898</v>
      </c>
      <c r="M358" s="32" t="s">
        <v>1038</v>
      </c>
      <c r="N358" s="32" t="s">
        <v>276</v>
      </c>
      <c r="O358" s="32" t="s">
        <v>744</v>
      </c>
      <c r="P358" s="32" t="s">
        <v>745</v>
      </c>
      <c r="Q358" s="14" t="n">
        <v>7.5</v>
      </c>
      <c r="R358" s="32" t="s">
        <v>641</v>
      </c>
      <c r="S358" s="32" t="s">
        <v>900</v>
      </c>
      <c r="T358" s="49" t="s">
        <v>258</v>
      </c>
      <c r="U358" s="49" t="s">
        <v>259</v>
      </c>
      <c r="V358" s="49" t="s">
        <v>259</v>
      </c>
      <c r="W358" s="14" t="s">
        <v>260</v>
      </c>
      <c r="X358" s="14"/>
      <c r="Y358" s="48" t="s">
        <v>273</v>
      </c>
    </row>
    <row r="359" customFormat="false" ht="126.75" hidden="false" customHeight="true" outlineLevel="0" collapsed="false">
      <c r="A359" s="33" t="n">
        <v>354</v>
      </c>
      <c r="B359" s="34" t="n">
        <f aca="false">सारांश!$B$4+A359-1</f>
        <v>46694</v>
      </c>
      <c r="C359" s="33" t="str">
        <f aca="false">CHOOSE(WEEKDAY(B359,2),"सोमवार","मंगलवार","बुधवार","गुरुवार","शुक्रवार","शनिवार","रविवार")</f>
        <v>बुधवार</v>
      </c>
      <c r="D359" s="33" t="n">
        <f aca="false">IF(A359=1,0,INT((A359-2)/7)+1)</f>
        <v>51</v>
      </c>
      <c r="E359" s="33" t="n">
        <f aca="false">(YEAR(B359)-YEAR(सारांश!$B$4))*12+MONTH(B359)-MONTH(सारांश!$B$4)+IF(DAY(B359)&gt;=DAY(सारांश!$B$4),1,0)</f>
        <v>12</v>
      </c>
      <c r="F359" s="35" t="s">
        <v>18</v>
      </c>
      <c r="G359" s="14" t="s">
        <v>635</v>
      </c>
      <c r="H359" s="32" t="s">
        <v>1039</v>
      </c>
      <c r="I359" s="32" t="s">
        <v>707</v>
      </c>
      <c r="J359" s="48" t="s">
        <v>708</v>
      </c>
      <c r="K359" s="48" t="s">
        <v>639</v>
      </c>
      <c r="L359" s="14" t="s">
        <v>898</v>
      </c>
      <c r="M359" s="32" t="s">
        <v>1040</v>
      </c>
      <c r="N359" s="32" t="s">
        <v>279</v>
      </c>
      <c r="O359" s="32" t="s">
        <v>744</v>
      </c>
      <c r="P359" s="32" t="s">
        <v>745</v>
      </c>
      <c r="Q359" s="14" t="n">
        <v>7.5</v>
      </c>
      <c r="R359" s="32" t="s">
        <v>641</v>
      </c>
      <c r="S359" s="32" t="s">
        <v>900</v>
      </c>
      <c r="T359" s="49" t="s">
        <v>258</v>
      </c>
      <c r="U359" s="49" t="s">
        <v>259</v>
      </c>
      <c r="V359" s="49" t="s">
        <v>259</v>
      </c>
      <c r="W359" s="14" t="s">
        <v>260</v>
      </c>
      <c r="X359" s="14"/>
      <c r="Y359" s="48" t="s">
        <v>273</v>
      </c>
    </row>
    <row r="360" customFormat="false" ht="126.75" hidden="false" customHeight="true" outlineLevel="0" collapsed="false">
      <c r="A360" s="33" t="n">
        <v>355</v>
      </c>
      <c r="B360" s="34" t="n">
        <f aca="false">सारांश!$B$4+A360-1</f>
        <v>46695</v>
      </c>
      <c r="C360" s="33" t="str">
        <f aca="false">CHOOSE(WEEKDAY(B360,2),"सोमवार","मंगलवार","बुधवार","गुरुवार","शुक्रवार","शनिवार","रविवार")</f>
        <v>गुरुवार</v>
      </c>
      <c r="D360" s="33" t="n">
        <f aca="false">IF(A360=1,0,INT((A360-2)/7)+1)</f>
        <v>51</v>
      </c>
      <c r="E360" s="33" t="n">
        <f aca="false">(YEAR(B360)-YEAR(सारांश!$B$4))*12+MONTH(B360)-MONTH(सारांश!$B$4)+IF(DAY(B360)&gt;=DAY(सारांश!$B$4),1,0)</f>
        <v>12</v>
      </c>
      <c r="F360" s="35" t="s">
        <v>18</v>
      </c>
      <c r="G360" s="14" t="s">
        <v>714</v>
      </c>
      <c r="H360" s="32" t="s">
        <v>1041</v>
      </c>
      <c r="I360" s="32" t="s">
        <v>716</v>
      </c>
      <c r="J360" s="48" t="s">
        <v>717</v>
      </c>
      <c r="K360" s="48" t="s">
        <v>294</v>
      </c>
      <c r="L360" s="14" t="s">
        <v>898</v>
      </c>
      <c r="M360" s="32" t="s">
        <v>1042</v>
      </c>
      <c r="N360" s="32" t="s">
        <v>284</v>
      </c>
      <c r="O360" s="32" t="s">
        <v>744</v>
      </c>
      <c r="P360" s="32" t="s">
        <v>745</v>
      </c>
      <c r="Q360" s="14" t="n">
        <v>7.5</v>
      </c>
      <c r="R360" s="32" t="s">
        <v>719</v>
      </c>
      <c r="S360" s="32" t="s">
        <v>900</v>
      </c>
      <c r="T360" s="49" t="s">
        <v>258</v>
      </c>
      <c r="U360" s="49" t="s">
        <v>259</v>
      </c>
      <c r="V360" s="49" t="s">
        <v>259</v>
      </c>
      <c r="W360" s="14" t="s">
        <v>260</v>
      </c>
      <c r="X360" s="14"/>
      <c r="Y360" s="48" t="s">
        <v>273</v>
      </c>
    </row>
    <row r="361" customFormat="false" ht="126.75" hidden="false" customHeight="true" outlineLevel="0" collapsed="false">
      <c r="A361" s="33" t="n">
        <v>356</v>
      </c>
      <c r="B361" s="34" t="n">
        <f aca="false">सारांश!$B$4+A361-1</f>
        <v>46696</v>
      </c>
      <c r="C361" s="33" t="str">
        <f aca="false">CHOOSE(WEEKDAY(B361,2),"सोमवार","मंगलवार","बुधवार","गुरुवार","शुक्रवार","शनिवार","रविवार")</f>
        <v>शुक्रवार</v>
      </c>
      <c r="D361" s="33" t="n">
        <f aca="false">IF(A361=1,0,INT((A361-2)/7)+1)</f>
        <v>51</v>
      </c>
      <c r="E361" s="33" t="n">
        <f aca="false">(YEAR(B361)-YEAR(सारांश!$B$4))*12+MONTH(B361)-MONTH(सारांश!$B$4)+IF(DAY(B361)&gt;=DAY(सारांश!$B$4),1,0)</f>
        <v>12</v>
      </c>
      <c r="F361" s="35" t="s">
        <v>18</v>
      </c>
      <c r="G361" s="14" t="s">
        <v>714</v>
      </c>
      <c r="H361" s="32" t="s">
        <v>1043</v>
      </c>
      <c r="I361" s="32" t="s">
        <v>716</v>
      </c>
      <c r="J361" s="48" t="s">
        <v>717</v>
      </c>
      <c r="K361" s="48" t="s">
        <v>294</v>
      </c>
      <c r="L361" s="14" t="s">
        <v>898</v>
      </c>
      <c r="M361" s="32" t="s">
        <v>1044</v>
      </c>
      <c r="N361" s="32" t="s">
        <v>287</v>
      </c>
      <c r="O361" s="32" t="s">
        <v>744</v>
      </c>
      <c r="P361" s="32" t="s">
        <v>745</v>
      </c>
      <c r="Q361" s="14" t="n">
        <v>7.5</v>
      </c>
      <c r="R361" s="32" t="s">
        <v>719</v>
      </c>
      <c r="S361" s="32" t="s">
        <v>900</v>
      </c>
      <c r="T361" s="49" t="s">
        <v>258</v>
      </c>
      <c r="U361" s="49" t="s">
        <v>259</v>
      </c>
      <c r="V361" s="49" t="s">
        <v>259</v>
      </c>
      <c r="W361" s="14" t="s">
        <v>260</v>
      </c>
      <c r="X361" s="14"/>
      <c r="Y361" s="48" t="s">
        <v>273</v>
      </c>
    </row>
    <row r="362" customFormat="false" ht="126.75" hidden="false" customHeight="true" outlineLevel="0" collapsed="false">
      <c r="A362" s="33" t="n">
        <v>357</v>
      </c>
      <c r="B362" s="34" t="n">
        <f aca="false">सारांश!$B$4+A362-1</f>
        <v>46697</v>
      </c>
      <c r="C362" s="33" t="str">
        <f aca="false">CHOOSE(WEEKDAY(B362,2),"सोमवार","मंगलवार","बुधवार","गुरुवार","शुक्रवार","शनिवार","रविवार")</f>
        <v>शनिवार</v>
      </c>
      <c r="D362" s="33" t="n">
        <f aca="false">IF(A362=1,0,INT((A362-2)/7)+1)</f>
        <v>51</v>
      </c>
      <c r="E362" s="33" t="n">
        <f aca="false">(YEAR(B362)-YEAR(सारांश!$B$4))*12+MONTH(B362)-MONTH(सारांश!$B$4)+IF(DAY(B362)&gt;=DAY(सारांश!$B$4),1,0)</f>
        <v>12</v>
      </c>
      <c r="F362" s="35" t="s">
        <v>18</v>
      </c>
      <c r="G362" s="14" t="s">
        <v>714</v>
      </c>
      <c r="H362" s="32" t="s">
        <v>1045</v>
      </c>
      <c r="I362" s="32" t="s">
        <v>716</v>
      </c>
      <c r="J362" s="48" t="s">
        <v>717</v>
      </c>
      <c r="K362" s="48" t="s">
        <v>294</v>
      </c>
      <c r="L362" s="14" t="s">
        <v>898</v>
      </c>
      <c r="M362" s="32" t="s">
        <v>1046</v>
      </c>
      <c r="N362" s="32" t="s">
        <v>290</v>
      </c>
      <c r="O362" s="32" t="s">
        <v>744</v>
      </c>
      <c r="P362" s="32" t="s">
        <v>745</v>
      </c>
      <c r="Q362" s="14" t="n">
        <v>7.5</v>
      </c>
      <c r="R362" s="32" t="s">
        <v>719</v>
      </c>
      <c r="S362" s="32" t="s">
        <v>900</v>
      </c>
      <c r="T362" s="49" t="s">
        <v>258</v>
      </c>
      <c r="U362" s="49" t="s">
        <v>259</v>
      </c>
      <c r="V362" s="49" t="s">
        <v>259</v>
      </c>
      <c r="W362" s="14" t="s">
        <v>260</v>
      </c>
      <c r="X362" s="14"/>
      <c r="Y362" s="48" t="s">
        <v>273</v>
      </c>
    </row>
    <row r="363" customFormat="false" ht="75.75" hidden="false" customHeight="true" outlineLevel="0" collapsed="false">
      <c r="A363" s="50" t="n">
        <v>358</v>
      </c>
      <c r="B363" s="51" t="n">
        <f aca="false">सारांश!$B$4+A363-1</f>
        <v>46698</v>
      </c>
      <c r="C363" s="50" t="str">
        <f aca="false">CHOOSE(WEEKDAY(B363,2),"सोमवार","मंगलवार","बुधवार","गुरुवार","शुक्रवार","शनिवार","रविवार")</f>
        <v>रविवार</v>
      </c>
      <c r="D363" s="50" t="n">
        <f aca="false">IF(A363=1,0,INT((A363-2)/7)+1)</f>
        <v>51</v>
      </c>
      <c r="E363" s="50" t="n">
        <f aca="false">(YEAR(B363)-YEAR(सारांश!$B$4))*12+MONTH(B363)-MONTH(सारांश!$B$4)+IF(DAY(B363)&gt;=DAY(सारांश!$B$4),1,0)</f>
        <v>12</v>
      </c>
      <c r="F363" s="52" t="s">
        <v>18</v>
      </c>
      <c r="G363" s="50" t="s">
        <v>291</v>
      </c>
      <c r="H363" s="52" t="s">
        <v>127</v>
      </c>
      <c r="I363" s="52" t="s">
        <v>724</v>
      </c>
      <c r="J363" s="53" t="s">
        <v>293</v>
      </c>
      <c r="K363" s="53" t="s">
        <v>294</v>
      </c>
      <c r="L363" s="50" t="s">
        <v>295</v>
      </c>
      <c r="M363" s="52" t="s">
        <v>296</v>
      </c>
      <c r="N363" s="52" t="s">
        <v>297</v>
      </c>
      <c r="O363" s="52" t="s">
        <v>756</v>
      </c>
      <c r="P363" s="52" t="s">
        <v>299</v>
      </c>
      <c r="Q363" s="50" t="n">
        <v>6</v>
      </c>
      <c r="R363" s="52" t="s">
        <v>300</v>
      </c>
      <c r="S363" s="52" t="s">
        <v>257</v>
      </c>
      <c r="T363" s="54" t="s">
        <v>258</v>
      </c>
      <c r="U363" s="54" t="s">
        <v>259</v>
      </c>
      <c r="V363" s="54" t="s">
        <v>259</v>
      </c>
      <c r="W363" s="50" t="s">
        <v>260</v>
      </c>
      <c r="X363" s="50"/>
    </row>
    <row r="364" customFormat="false" ht="126.75" hidden="false" customHeight="true" outlineLevel="0" collapsed="false">
      <c r="A364" s="33" t="n">
        <v>359</v>
      </c>
      <c r="B364" s="34" t="n">
        <f aca="false">सारांश!$B$4+A364-1</f>
        <v>46699</v>
      </c>
      <c r="C364" s="33" t="str">
        <f aca="false">CHOOSE(WEEKDAY(B364,2),"सोमवार","मंगलवार","बुधवार","गुरुवार","शुक्रवार","शनिवार","रविवार")</f>
        <v>सोमवार</v>
      </c>
      <c r="D364" s="33" t="n">
        <f aca="false">IF(A364=1,0,INT((A364-2)/7)+1)</f>
        <v>52</v>
      </c>
      <c r="E364" s="33" t="n">
        <f aca="false">(YEAR(B364)-YEAR(सारांश!$B$4))*12+MONTH(B364)-MONTH(सारांश!$B$4)+IF(DAY(B364)&gt;=DAY(सारांश!$B$4),1,0)</f>
        <v>12</v>
      </c>
      <c r="F364" s="35" t="s">
        <v>18</v>
      </c>
      <c r="G364" s="14" t="s">
        <v>714</v>
      </c>
      <c r="H364" s="32" t="s">
        <v>1047</v>
      </c>
      <c r="I364" s="32" t="s">
        <v>726</v>
      </c>
      <c r="J364" s="48" t="s">
        <v>727</v>
      </c>
      <c r="K364" s="48" t="s">
        <v>294</v>
      </c>
      <c r="L364" s="14" t="s">
        <v>898</v>
      </c>
      <c r="M364" s="32" t="s">
        <v>1048</v>
      </c>
      <c r="N364" s="32" t="s">
        <v>268</v>
      </c>
      <c r="O364" s="32" t="s">
        <v>744</v>
      </c>
      <c r="P364" s="32" t="s">
        <v>745</v>
      </c>
      <c r="Q364" s="14" t="n">
        <v>7.5</v>
      </c>
      <c r="R364" s="32" t="s">
        <v>719</v>
      </c>
      <c r="S364" s="32" t="s">
        <v>900</v>
      </c>
      <c r="T364" s="49" t="s">
        <v>258</v>
      </c>
      <c r="U364" s="49" t="s">
        <v>259</v>
      </c>
      <c r="V364" s="49" t="s">
        <v>259</v>
      </c>
      <c r="W364" s="14" t="s">
        <v>260</v>
      </c>
      <c r="X364" s="14"/>
      <c r="Y364" s="48" t="s">
        <v>273</v>
      </c>
    </row>
    <row r="365" customFormat="false" ht="126.75" hidden="false" customHeight="true" outlineLevel="0" collapsed="false">
      <c r="A365" s="33" t="n">
        <v>360</v>
      </c>
      <c r="B365" s="34" t="n">
        <f aca="false">सारांश!$B$4+A365-1</f>
        <v>46700</v>
      </c>
      <c r="C365" s="33" t="str">
        <f aca="false">CHOOSE(WEEKDAY(B365,2),"सोमवार","मंगलवार","बुधवार","गुरुवार","शुक्रवार","शनिवार","रविवार")</f>
        <v>मंगलवार</v>
      </c>
      <c r="D365" s="33" t="n">
        <f aca="false">IF(A365=1,0,INT((A365-2)/7)+1)</f>
        <v>52</v>
      </c>
      <c r="E365" s="33" t="n">
        <f aca="false">(YEAR(B365)-YEAR(सारांश!$B$4))*12+MONTH(B365)-MONTH(सारांश!$B$4)+IF(DAY(B365)&gt;=DAY(सारांश!$B$4),1,0)</f>
        <v>12</v>
      </c>
      <c r="F365" s="35" t="s">
        <v>18</v>
      </c>
      <c r="G365" s="14" t="s">
        <v>714</v>
      </c>
      <c r="H365" s="32" t="s">
        <v>1049</v>
      </c>
      <c r="I365" s="32" t="s">
        <v>726</v>
      </c>
      <c r="J365" s="48" t="s">
        <v>727</v>
      </c>
      <c r="K365" s="48" t="s">
        <v>294</v>
      </c>
      <c r="L365" s="14" t="s">
        <v>898</v>
      </c>
      <c r="M365" s="32" t="s">
        <v>1050</v>
      </c>
      <c r="N365" s="32" t="s">
        <v>276</v>
      </c>
      <c r="O365" s="32" t="s">
        <v>744</v>
      </c>
      <c r="P365" s="32" t="s">
        <v>745</v>
      </c>
      <c r="Q365" s="14" t="n">
        <v>7.5</v>
      </c>
      <c r="R365" s="32" t="s">
        <v>719</v>
      </c>
      <c r="S365" s="32" t="s">
        <v>900</v>
      </c>
      <c r="T365" s="49" t="s">
        <v>258</v>
      </c>
      <c r="U365" s="49" t="s">
        <v>259</v>
      </c>
      <c r="V365" s="49" t="s">
        <v>259</v>
      </c>
      <c r="W365" s="14" t="s">
        <v>260</v>
      </c>
      <c r="X365" s="14"/>
      <c r="Y365" s="48" t="s">
        <v>273</v>
      </c>
    </row>
    <row r="366" customFormat="false" ht="126.75" hidden="false" customHeight="true" outlineLevel="0" collapsed="false">
      <c r="A366" s="33" t="n">
        <v>361</v>
      </c>
      <c r="B366" s="34" t="n">
        <f aca="false">सारांश!$B$4+A366-1</f>
        <v>46701</v>
      </c>
      <c r="C366" s="33" t="str">
        <f aca="false">CHOOSE(WEEKDAY(B366,2),"सोमवार","मंगलवार","बुधवार","गुरुवार","शुक्रवार","शनिवार","रविवार")</f>
        <v>बुधवार</v>
      </c>
      <c r="D366" s="33" t="n">
        <f aca="false">IF(A366=1,0,INT((A366-2)/7)+1)</f>
        <v>52</v>
      </c>
      <c r="E366" s="33" t="n">
        <f aca="false">(YEAR(B366)-YEAR(सारांश!$B$4))*12+MONTH(B366)-MONTH(सारांश!$B$4)+IF(DAY(B366)&gt;=DAY(सारांश!$B$4),1,0)</f>
        <v>12</v>
      </c>
      <c r="F366" s="35" t="s">
        <v>18</v>
      </c>
      <c r="G366" s="14" t="s">
        <v>714</v>
      </c>
      <c r="H366" s="32" t="s">
        <v>1051</v>
      </c>
      <c r="I366" s="32" t="s">
        <v>726</v>
      </c>
      <c r="J366" s="48" t="s">
        <v>727</v>
      </c>
      <c r="K366" s="48" t="s">
        <v>294</v>
      </c>
      <c r="L366" s="14" t="s">
        <v>898</v>
      </c>
      <c r="M366" s="32" t="s">
        <v>1052</v>
      </c>
      <c r="N366" s="32" t="s">
        <v>279</v>
      </c>
      <c r="O366" s="32" t="s">
        <v>744</v>
      </c>
      <c r="P366" s="32" t="s">
        <v>745</v>
      </c>
      <c r="Q366" s="14" t="n">
        <v>7.5</v>
      </c>
      <c r="R366" s="32" t="s">
        <v>719</v>
      </c>
      <c r="S366" s="32" t="s">
        <v>900</v>
      </c>
      <c r="T366" s="49" t="s">
        <v>258</v>
      </c>
      <c r="U366" s="49" t="s">
        <v>259</v>
      </c>
      <c r="V366" s="49" t="s">
        <v>259</v>
      </c>
      <c r="W366" s="14" t="s">
        <v>260</v>
      </c>
      <c r="X366" s="14"/>
      <c r="Y366" s="48" t="s">
        <v>273</v>
      </c>
    </row>
    <row r="367" customFormat="false" ht="126.75" hidden="false" customHeight="true" outlineLevel="0" collapsed="false">
      <c r="A367" s="33" t="n">
        <v>362</v>
      </c>
      <c r="B367" s="34" t="n">
        <f aca="false">सारांश!$B$4+A367-1</f>
        <v>46702</v>
      </c>
      <c r="C367" s="33" t="str">
        <f aca="false">CHOOSE(WEEKDAY(B367,2),"सोमवार","मंगलवार","बुधवार","गुरुवार","शुक्रवार","शनिवार","रविवार")</f>
        <v>गुरुवार</v>
      </c>
      <c r="D367" s="33" t="n">
        <f aca="false">IF(A367=1,0,INT((A367-2)/7)+1)</f>
        <v>52</v>
      </c>
      <c r="E367" s="33" t="n">
        <f aca="false">(YEAR(B367)-YEAR(सारांश!$B$4))*12+MONTH(B367)-MONTH(सारांश!$B$4)+IF(DAY(B367)&gt;=DAY(सारांश!$B$4),1,0)</f>
        <v>12</v>
      </c>
      <c r="F367" s="35" t="s">
        <v>18</v>
      </c>
      <c r="G367" s="14" t="s">
        <v>714</v>
      </c>
      <c r="H367" s="32" t="s">
        <v>1053</v>
      </c>
      <c r="I367" s="32" t="s">
        <v>734</v>
      </c>
      <c r="J367" s="48" t="s">
        <v>735</v>
      </c>
      <c r="K367" s="48" t="s">
        <v>294</v>
      </c>
      <c r="L367" s="14" t="s">
        <v>898</v>
      </c>
      <c r="M367" s="32" t="s">
        <v>1054</v>
      </c>
      <c r="N367" s="32" t="s">
        <v>284</v>
      </c>
      <c r="O367" s="32" t="s">
        <v>744</v>
      </c>
      <c r="P367" s="32" t="s">
        <v>745</v>
      </c>
      <c r="Q367" s="14" t="n">
        <v>7.5</v>
      </c>
      <c r="R367" s="32" t="s">
        <v>719</v>
      </c>
      <c r="S367" s="32" t="s">
        <v>900</v>
      </c>
      <c r="T367" s="49" t="s">
        <v>258</v>
      </c>
      <c r="U367" s="49" t="s">
        <v>259</v>
      </c>
      <c r="V367" s="49" t="s">
        <v>259</v>
      </c>
      <c r="W367" s="14" t="s">
        <v>260</v>
      </c>
      <c r="X367" s="14"/>
      <c r="Y367" s="48" t="s">
        <v>273</v>
      </c>
    </row>
    <row r="368" customFormat="false" ht="126.75" hidden="false" customHeight="true" outlineLevel="0" collapsed="false">
      <c r="A368" s="33" t="n">
        <v>363</v>
      </c>
      <c r="B368" s="34" t="n">
        <f aca="false">सारांश!$B$4+A368-1</f>
        <v>46703</v>
      </c>
      <c r="C368" s="33" t="str">
        <f aca="false">CHOOSE(WEEKDAY(B368,2),"सोमवार","मंगलवार","बुधवार","गुरुवार","शुक्रवार","शनिवार","रविवार")</f>
        <v>शुक्रवार</v>
      </c>
      <c r="D368" s="33" t="n">
        <f aca="false">IF(A368=1,0,INT((A368-2)/7)+1)</f>
        <v>52</v>
      </c>
      <c r="E368" s="33" t="n">
        <f aca="false">(YEAR(B368)-YEAR(सारांश!$B$4))*12+MONTH(B368)-MONTH(सारांश!$B$4)+IF(DAY(B368)&gt;=DAY(सारांश!$B$4),1,0)</f>
        <v>12</v>
      </c>
      <c r="F368" s="35" t="s">
        <v>18</v>
      </c>
      <c r="G368" s="14" t="s">
        <v>714</v>
      </c>
      <c r="H368" s="32" t="s">
        <v>1055</v>
      </c>
      <c r="I368" s="32" t="s">
        <v>734</v>
      </c>
      <c r="J368" s="48" t="s">
        <v>735</v>
      </c>
      <c r="K368" s="48" t="s">
        <v>294</v>
      </c>
      <c r="L368" s="14" t="s">
        <v>898</v>
      </c>
      <c r="M368" s="32" t="s">
        <v>1056</v>
      </c>
      <c r="N368" s="32" t="s">
        <v>287</v>
      </c>
      <c r="O368" s="32" t="s">
        <v>744</v>
      </c>
      <c r="P368" s="32" t="s">
        <v>745</v>
      </c>
      <c r="Q368" s="14" t="n">
        <v>7.5</v>
      </c>
      <c r="R368" s="32" t="s">
        <v>719</v>
      </c>
      <c r="S368" s="32" t="s">
        <v>900</v>
      </c>
      <c r="T368" s="49" t="s">
        <v>258</v>
      </c>
      <c r="U368" s="49" t="s">
        <v>259</v>
      </c>
      <c r="V368" s="49" t="s">
        <v>259</v>
      </c>
      <c r="W368" s="14" t="s">
        <v>260</v>
      </c>
      <c r="X368" s="14"/>
      <c r="Y368" s="48" t="s">
        <v>273</v>
      </c>
    </row>
    <row r="369" customFormat="false" ht="126.75" hidden="false" customHeight="true" outlineLevel="0" collapsed="false">
      <c r="A369" s="33" t="n">
        <v>364</v>
      </c>
      <c r="B369" s="34" t="n">
        <f aca="false">सारांश!$B$4+A369-1</f>
        <v>46704</v>
      </c>
      <c r="C369" s="33" t="str">
        <f aca="false">CHOOSE(WEEKDAY(B369,2),"सोमवार","मंगलवार","बुधवार","गुरुवार","शुक्रवार","शनिवार","रविवार")</f>
        <v>शनिवार</v>
      </c>
      <c r="D369" s="33" t="n">
        <f aca="false">IF(A369=1,0,INT((A369-2)/7)+1)</f>
        <v>52</v>
      </c>
      <c r="E369" s="33" t="n">
        <f aca="false">(YEAR(B369)-YEAR(सारांश!$B$4))*12+MONTH(B369)-MONTH(सारांश!$B$4)+IF(DAY(B369)&gt;=DAY(सारांश!$B$4),1,0)</f>
        <v>12</v>
      </c>
      <c r="F369" s="35" t="s">
        <v>18</v>
      </c>
      <c r="G369" s="14" t="s">
        <v>714</v>
      </c>
      <c r="H369" s="32" t="s">
        <v>1057</v>
      </c>
      <c r="I369" s="32" t="s">
        <v>734</v>
      </c>
      <c r="J369" s="48" t="s">
        <v>735</v>
      </c>
      <c r="K369" s="48" t="s">
        <v>294</v>
      </c>
      <c r="L369" s="14" t="s">
        <v>898</v>
      </c>
      <c r="M369" s="32" t="s">
        <v>1058</v>
      </c>
      <c r="N369" s="32" t="s">
        <v>290</v>
      </c>
      <c r="O369" s="32" t="s">
        <v>744</v>
      </c>
      <c r="P369" s="32" t="s">
        <v>745</v>
      </c>
      <c r="Q369" s="14" t="n">
        <v>7.5</v>
      </c>
      <c r="R369" s="32" t="s">
        <v>719</v>
      </c>
      <c r="S369" s="32" t="s">
        <v>900</v>
      </c>
      <c r="T369" s="49" t="s">
        <v>258</v>
      </c>
      <c r="U369" s="49" t="s">
        <v>259</v>
      </c>
      <c r="V369" s="49" t="s">
        <v>259</v>
      </c>
      <c r="W369" s="14" t="s">
        <v>260</v>
      </c>
      <c r="X369" s="14"/>
      <c r="Y369" s="48" t="s">
        <v>273</v>
      </c>
    </row>
    <row r="370" customFormat="false" ht="75.75" hidden="false" customHeight="true" outlineLevel="0" collapsed="false">
      <c r="A370" s="50" t="n">
        <v>365</v>
      </c>
      <c r="B370" s="51" t="n">
        <f aca="false">सारांश!$B$4+A370-1</f>
        <v>46705</v>
      </c>
      <c r="C370" s="50" t="str">
        <f aca="false">CHOOSE(WEEKDAY(B370,2),"सोमवार","मंगलवार","बुधवार","गुरुवार","शुक्रवार","शनिवार","रविवार")</f>
        <v>रविवार</v>
      </c>
      <c r="D370" s="50" t="n">
        <f aca="false">IF(A370=1,0,INT((A370-2)/7)+1)</f>
        <v>52</v>
      </c>
      <c r="E370" s="50" t="n">
        <f aca="false">(YEAR(B370)-YEAR(सारांश!$B$4))*12+MONTH(B370)-MONTH(सारांश!$B$4)+IF(DAY(B370)&gt;=DAY(सारांश!$B$4),1,0)</f>
        <v>12</v>
      </c>
      <c r="F370" s="52" t="s">
        <v>18</v>
      </c>
      <c r="G370" s="50" t="s">
        <v>291</v>
      </c>
      <c r="H370" s="52" t="s">
        <v>135</v>
      </c>
      <c r="I370" s="52" t="s">
        <v>741</v>
      </c>
      <c r="J370" s="53" t="s">
        <v>293</v>
      </c>
      <c r="K370" s="53" t="s">
        <v>294</v>
      </c>
      <c r="L370" s="50" t="s">
        <v>295</v>
      </c>
      <c r="M370" s="52" t="s">
        <v>296</v>
      </c>
      <c r="N370" s="52" t="s">
        <v>297</v>
      </c>
      <c r="O370" s="52" t="s">
        <v>756</v>
      </c>
      <c r="P370" s="52" t="s">
        <v>299</v>
      </c>
      <c r="Q370" s="50" t="n">
        <v>6</v>
      </c>
      <c r="R370" s="52" t="s">
        <v>300</v>
      </c>
      <c r="S370" s="52" t="s">
        <v>257</v>
      </c>
      <c r="T370" s="54" t="s">
        <v>258</v>
      </c>
      <c r="U370" s="54" t="s">
        <v>259</v>
      </c>
      <c r="V370" s="54" t="s">
        <v>259</v>
      </c>
      <c r="W370" s="50" t="s">
        <v>260</v>
      </c>
      <c r="X370" s="50"/>
    </row>
    <row r="371" customFormat="false" ht="126.75" hidden="false" customHeight="true" outlineLevel="0" collapsed="false">
      <c r="A371" s="36" t="n">
        <v>366</v>
      </c>
      <c r="B371" s="37" t="n">
        <f aca="false">सारांश!$B$4+A371-1</f>
        <v>46706</v>
      </c>
      <c r="C371" s="36" t="str">
        <f aca="false">CHOOSE(WEEKDAY(B371,2),"सोमवार","मंगलवार","बुधवार","गुरुवार","शुक्रवार","शनिवार","रविवार")</f>
        <v>सोमवार</v>
      </c>
      <c r="D371" s="36" t="n">
        <f aca="false">IF(A371=1,0,INT((A371-2)/7)+1)</f>
        <v>53</v>
      </c>
      <c r="E371" s="36" t="n">
        <f aca="false">(YEAR(B371)-YEAR(सारांश!$B$4))*12+MONTH(B371)-MONTH(सारांश!$B$4)+IF(DAY(B371)&gt;=DAY(सारांश!$B$4),1,0)</f>
        <v>13</v>
      </c>
      <c r="F371" s="38" t="s">
        <v>20</v>
      </c>
      <c r="G371" s="14" t="s">
        <v>261</v>
      </c>
      <c r="H371" s="32" t="s">
        <v>1059</v>
      </c>
      <c r="I371" s="32" t="s">
        <v>263</v>
      </c>
      <c r="J371" s="48" t="s">
        <v>264</v>
      </c>
      <c r="K371" s="48" t="s">
        <v>265</v>
      </c>
      <c r="L371" s="14" t="s">
        <v>266</v>
      </c>
      <c r="M371" s="32" t="s">
        <v>1060</v>
      </c>
      <c r="N371" s="32" t="s">
        <v>268</v>
      </c>
      <c r="O371" s="32" t="s">
        <v>1061</v>
      </c>
      <c r="P371" s="32" t="s">
        <v>1062</v>
      </c>
      <c r="Q371" s="14" t="n">
        <v>7.5</v>
      </c>
      <c r="R371" s="32" t="s">
        <v>271</v>
      </c>
      <c r="S371" s="32" t="s">
        <v>272</v>
      </c>
      <c r="T371" s="49" t="s">
        <v>258</v>
      </c>
      <c r="U371" s="49" t="s">
        <v>259</v>
      </c>
      <c r="V371" s="49" t="s">
        <v>259</v>
      </c>
      <c r="W371" s="14" t="s">
        <v>260</v>
      </c>
      <c r="X371" s="14"/>
    </row>
    <row r="372" customFormat="false" ht="126.75" hidden="false" customHeight="true" outlineLevel="0" collapsed="false">
      <c r="A372" s="36" t="n">
        <v>367</v>
      </c>
      <c r="B372" s="37" t="n">
        <f aca="false">सारांश!$B$4+A372-1</f>
        <v>46707</v>
      </c>
      <c r="C372" s="36" t="str">
        <f aca="false">CHOOSE(WEEKDAY(B372,2),"सोमवार","मंगलवार","बुधवार","गुरुवार","शुक्रवार","शनिवार","रविवार")</f>
        <v>मंगलवार</v>
      </c>
      <c r="D372" s="36" t="n">
        <f aca="false">IF(A372=1,0,INT((A372-2)/7)+1)</f>
        <v>53</v>
      </c>
      <c r="E372" s="36" t="n">
        <f aca="false">(YEAR(B372)-YEAR(सारांश!$B$4))*12+MONTH(B372)-MONTH(सारांश!$B$4)+IF(DAY(B372)&gt;=DAY(सारांश!$B$4),1,0)</f>
        <v>13</v>
      </c>
      <c r="F372" s="38" t="s">
        <v>20</v>
      </c>
      <c r="G372" s="14" t="s">
        <v>261</v>
      </c>
      <c r="H372" s="32" t="s">
        <v>1063</v>
      </c>
      <c r="I372" s="32" t="s">
        <v>263</v>
      </c>
      <c r="J372" s="48" t="s">
        <v>264</v>
      </c>
      <c r="K372" s="48" t="s">
        <v>265</v>
      </c>
      <c r="L372" s="14" t="s">
        <v>266</v>
      </c>
      <c r="M372" s="32" t="s">
        <v>1064</v>
      </c>
      <c r="N372" s="32" t="s">
        <v>276</v>
      </c>
      <c r="O372" s="32" t="s">
        <v>1061</v>
      </c>
      <c r="P372" s="32" t="s">
        <v>1062</v>
      </c>
      <c r="Q372" s="14" t="n">
        <v>7.5</v>
      </c>
      <c r="R372" s="32" t="s">
        <v>271</v>
      </c>
      <c r="S372" s="32" t="s">
        <v>272</v>
      </c>
      <c r="T372" s="49" t="s">
        <v>258</v>
      </c>
      <c r="U372" s="49" t="s">
        <v>259</v>
      </c>
      <c r="V372" s="49" t="s">
        <v>259</v>
      </c>
      <c r="W372" s="14" t="s">
        <v>260</v>
      </c>
      <c r="X372" s="14"/>
    </row>
    <row r="373" customFormat="false" ht="109.5" hidden="false" customHeight="true" outlineLevel="0" collapsed="false">
      <c r="A373" s="36" t="n">
        <v>368</v>
      </c>
      <c r="B373" s="37" t="n">
        <f aca="false">सारांश!$B$4+A373-1</f>
        <v>46708</v>
      </c>
      <c r="C373" s="36" t="str">
        <f aca="false">CHOOSE(WEEKDAY(B373,2),"सोमवार","मंगलवार","बुधवार","गुरुवार","शुक्रवार","शनिवार","रविवार")</f>
        <v>बुधवार</v>
      </c>
      <c r="D373" s="36" t="n">
        <f aca="false">IF(A373=1,0,INT((A373-2)/7)+1)</f>
        <v>53</v>
      </c>
      <c r="E373" s="36" t="n">
        <f aca="false">(YEAR(B373)-YEAR(सारांश!$B$4))*12+MONTH(B373)-MONTH(सारांश!$B$4)+IF(DAY(B373)&gt;=DAY(सारांश!$B$4),1,0)</f>
        <v>13</v>
      </c>
      <c r="F373" s="38" t="s">
        <v>20</v>
      </c>
      <c r="G373" s="14" t="s">
        <v>261</v>
      </c>
      <c r="H373" s="32" t="s">
        <v>1065</v>
      </c>
      <c r="I373" s="32" t="s">
        <v>281</v>
      </c>
      <c r="J373" s="48" t="s">
        <v>282</v>
      </c>
      <c r="K373" s="48" t="s">
        <v>265</v>
      </c>
      <c r="L373" s="14" t="s">
        <v>266</v>
      </c>
      <c r="M373" s="32" t="s">
        <v>1066</v>
      </c>
      <c r="N373" s="32" t="s">
        <v>279</v>
      </c>
      <c r="O373" s="32" t="s">
        <v>1061</v>
      </c>
      <c r="P373" s="32" t="s">
        <v>1062</v>
      </c>
      <c r="Q373" s="14" t="n">
        <v>7.5</v>
      </c>
      <c r="R373" s="32" t="s">
        <v>271</v>
      </c>
      <c r="S373" s="32" t="s">
        <v>272</v>
      </c>
      <c r="T373" s="49" t="s">
        <v>258</v>
      </c>
      <c r="U373" s="49" t="s">
        <v>259</v>
      </c>
      <c r="V373" s="49" t="s">
        <v>259</v>
      </c>
      <c r="W373" s="14" t="s">
        <v>260</v>
      </c>
      <c r="X373" s="14"/>
    </row>
    <row r="374" customFormat="false" ht="126.75" hidden="false" customHeight="true" outlineLevel="0" collapsed="false">
      <c r="A374" s="36" t="n">
        <v>369</v>
      </c>
      <c r="B374" s="37" t="n">
        <f aca="false">सारांश!$B$4+A374-1</f>
        <v>46709</v>
      </c>
      <c r="C374" s="36" t="str">
        <f aca="false">CHOOSE(WEEKDAY(B374,2),"सोमवार","मंगलवार","बुधवार","गुरुवार","शुक्रवार","शनिवार","रविवार")</f>
        <v>गुरुवार</v>
      </c>
      <c r="D374" s="36" t="n">
        <f aca="false">IF(A374=1,0,INT((A374-2)/7)+1)</f>
        <v>53</v>
      </c>
      <c r="E374" s="36" t="n">
        <f aca="false">(YEAR(B374)-YEAR(सारांश!$B$4))*12+MONTH(B374)-MONTH(सारांश!$B$4)+IF(DAY(B374)&gt;=DAY(सारांश!$B$4),1,0)</f>
        <v>13</v>
      </c>
      <c r="F374" s="38" t="s">
        <v>20</v>
      </c>
      <c r="G374" s="14" t="s">
        <v>261</v>
      </c>
      <c r="H374" s="32" t="s">
        <v>1067</v>
      </c>
      <c r="I374" s="32" t="s">
        <v>302</v>
      </c>
      <c r="J374" s="48" t="s">
        <v>303</v>
      </c>
      <c r="K374" s="48" t="s">
        <v>265</v>
      </c>
      <c r="L374" s="14" t="s">
        <v>266</v>
      </c>
      <c r="M374" s="32" t="s">
        <v>1068</v>
      </c>
      <c r="N374" s="32" t="s">
        <v>284</v>
      </c>
      <c r="O374" s="32" t="s">
        <v>1061</v>
      </c>
      <c r="P374" s="32" t="s">
        <v>1062</v>
      </c>
      <c r="Q374" s="14" t="n">
        <v>7.5</v>
      </c>
      <c r="R374" s="32" t="s">
        <v>271</v>
      </c>
      <c r="S374" s="32" t="s">
        <v>272</v>
      </c>
      <c r="T374" s="49" t="s">
        <v>258</v>
      </c>
      <c r="U374" s="49" t="s">
        <v>259</v>
      </c>
      <c r="V374" s="49" t="s">
        <v>259</v>
      </c>
      <c r="W374" s="14" t="s">
        <v>260</v>
      </c>
      <c r="X374" s="14"/>
    </row>
    <row r="375" customFormat="false" ht="109.5" hidden="false" customHeight="true" outlineLevel="0" collapsed="false">
      <c r="A375" s="36" t="n">
        <v>370</v>
      </c>
      <c r="B375" s="37" t="n">
        <f aca="false">सारांश!$B$4+A375-1</f>
        <v>46710</v>
      </c>
      <c r="C375" s="36" t="str">
        <f aca="false">CHOOSE(WEEKDAY(B375,2),"सोमवार","मंगलवार","बुधवार","गुरुवार","शुक्रवार","शनिवार","रविवार")</f>
        <v>शुक्रवार</v>
      </c>
      <c r="D375" s="36" t="n">
        <f aca="false">IF(A375=1,0,INT((A375-2)/7)+1)</f>
        <v>53</v>
      </c>
      <c r="E375" s="36" t="n">
        <f aca="false">(YEAR(B375)-YEAR(सारांश!$B$4))*12+MONTH(B375)-MONTH(सारांश!$B$4)+IF(DAY(B375)&gt;=DAY(सारांश!$B$4),1,0)</f>
        <v>13</v>
      </c>
      <c r="F375" s="38" t="s">
        <v>20</v>
      </c>
      <c r="G375" s="14" t="s">
        <v>261</v>
      </c>
      <c r="H375" s="32" t="s">
        <v>1069</v>
      </c>
      <c r="I375" s="32" t="s">
        <v>308</v>
      </c>
      <c r="J375" s="48" t="s">
        <v>309</v>
      </c>
      <c r="K375" s="48" t="s">
        <v>265</v>
      </c>
      <c r="L375" s="14" t="s">
        <v>266</v>
      </c>
      <c r="M375" s="32" t="s">
        <v>1070</v>
      </c>
      <c r="N375" s="32" t="s">
        <v>287</v>
      </c>
      <c r="O375" s="32" t="s">
        <v>1061</v>
      </c>
      <c r="P375" s="32" t="s">
        <v>1062</v>
      </c>
      <c r="Q375" s="14" t="n">
        <v>7.5</v>
      </c>
      <c r="R375" s="32" t="s">
        <v>271</v>
      </c>
      <c r="S375" s="32" t="s">
        <v>272</v>
      </c>
      <c r="T375" s="49" t="s">
        <v>258</v>
      </c>
      <c r="U375" s="49" t="s">
        <v>259</v>
      </c>
      <c r="V375" s="49" t="s">
        <v>259</v>
      </c>
      <c r="W375" s="14" t="s">
        <v>260</v>
      </c>
      <c r="X375" s="14"/>
    </row>
    <row r="376" customFormat="false" ht="109.5" hidden="false" customHeight="true" outlineLevel="0" collapsed="false">
      <c r="A376" s="36" t="n">
        <v>371</v>
      </c>
      <c r="B376" s="37" t="n">
        <f aca="false">सारांश!$B$4+A376-1</f>
        <v>46711</v>
      </c>
      <c r="C376" s="36" t="str">
        <f aca="false">CHOOSE(WEEKDAY(B376,2),"सोमवार","मंगलवार","बुधवार","गुरुवार","शुक्रवार","शनिवार","रविवार")</f>
        <v>शनिवार</v>
      </c>
      <c r="D376" s="36" t="n">
        <f aca="false">IF(A376=1,0,INT((A376-2)/7)+1)</f>
        <v>53</v>
      </c>
      <c r="E376" s="36" t="n">
        <f aca="false">(YEAR(B376)-YEAR(सारांश!$B$4))*12+MONTH(B376)-MONTH(सारांश!$B$4)+IF(DAY(B376)&gt;=DAY(सारांश!$B$4),1,0)</f>
        <v>13</v>
      </c>
      <c r="F376" s="38" t="s">
        <v>20</v>
      </c>
      <c r="G376" s="14" t="s">
        <v>261</v>
      </c>
      <c r="H376" s="32" t="s">
        <v>1071</v>
      </c>
      <c r="I376" s="32" t="s">
        <v>308</v>
      </c>
      <c r="J376" s="48" t="s">
        <v>309</v>
      </c>
      <c r="K376" s="48" t="s">
        <v>265</v>
      </c>
      <c r="L376" s="14" t="s">
        <v>266</v>
      </c>
      <c r="M376" s="32" t="s">
        <v>1072</v>
      </c>
      <c r="N376" s="32" t="s">
        <v>290</v>
      </c>
      <c r="O376" s="32" t="s">
        <v>1061</v>
      </c>
      <c r="P376" s="32" t="s">
        <v>1062</v>
      </c>
      <c r="Q376" s="14" t="n">
        <v>7.5</v>
      </c>
      <c r="R376" s="32" t="s">
        <v>271</v>
      </c>
      <c r="S376" s="32" t="s">
        <v>272</v>
      </c>
      <c r="T376" s="49" t="s">
        <v>258</v>
      </c>
      <c r="U376" s="49" t="s">
        <v>259</v>
      </c>
      <c r="V376" s="49" t="s">
        <v>259</v>
      </c>
      <c r="W376" s="14" t="s">
        <v>260</v>
      </c>
      <c r="X376" s="14"/>
    </row>
    <row r="377" customFormat="false" ht="93" hidden="false" customHeight="true" outlineLevel="0" collapsed="false">
      <c r="A377" s="50" t="n">
        <v>372</v>
      </c>
      <c r="B377" s="51" t="n">
        <f aca="false">सारांश!$B$4+A377-1</f>
        <v>46712</v>
      </c>
      <c r="C377" s="50" t="str">
        <f aca="false">CHOOSE(WEEKDAY(B377,2),"सोमवार","मंगलवार","बुधवार","गुरुवार","शुक्रवार","शनिवार","रविवार")</f>
        <v>रविवार</v>
      </c>
      <c r="D377" s="50" t="n">
        <f aca="false">IF(A377=1,0,INT((A377-2)/7)+1)</f>
        <v>53</v>
      </c>
      <c r="E377" s="50" t="n">
        <f aca="false">(YEAR(B377)-YEAR(सारांश!$B$4))*12+MONTH(B377)-MONTH(सारांश!$B$4)+IF(DAY(B377)&gt;=DAY(सारांश!$B$4),1,0)</f>
        <v>13</v>
      </c>
      <c r="F377" s="52" t="s">
        <v>20</v>
      </c>
      <c r="G377" s="50" t="s">
        <v>291</v>
      </c>
      <c r="H377" s="52" t="s">
        <v>127</v>
      </c>
      <c r="I377" s="52" t="s">
        <v>1073</v>
      </c>
      <c r="J377" s="53" t="s">
        <v>293</v>
      </c>
      <c r="K377" s="53" t="s">
        <v>294</v>
      </c>
      <c r="L377" s="50" t="s">
        <v>295</v>
      </c>
      <c r="M377" s="52" t="s">
        <v>296</v>
      </c>
      <c r="N377" s="52" t="s">
        <v>297</v>
      </c>
      <c r="O377" s="52" t="s">
        <v>1074</v>
      </c>
      <c r="P377" s="52" t="s">
        <v>299</v>
      </c>
      <c r="Q377" s="50" t="n">
        <v>6</v>
      </c>
      <c r="R377" s="52" t="s">
        <v>300</v>
      </c>
      <c r="S377" s="52" t="s">
        <v>257</v>
      </c>
      <c r="T377" s="54" t="s">
        <v>258</v>
      </c>
      <c r="U377" s="54" t="s">
        <v>259</v>
      </c>
      <c r="V377" s="54" t="s">
        <v>259</v>
      </c>
      <c r="W377" s="50" t="s">
        <v>260</v>
      </c>
      <c r="X377" s="50"/>
    </row>
    <row r="378" customFormat="false" ht="126.75" hidden="false" customHeight="true" outlineLevel="0" collapsed="false">
      <c r="A378" s="36" t="n">
        <v>373</v>
      </c>
      <c r="B378" s="37" t="n">
        <f aca="false">सारांश!$B$4+A378-1</f>
        <v>46713</v>
      </c>
      <c r="C378" s="36" t="str">
        <f aca="false">CHOOSE(WEEKDAY(B378,2),"सोमवार","मंगलवार","बुधवार","गुरुवार","शुक्रवार","शनिवार","रविवार")</f>
        <v>सोमवार</v>
      </c>
      <c r="D378" s="36" t="n">
        <f aca="false">IF(A378=1,0,INT((A378-2)/7)+1)</f>
        <v>54</v>
      </c>
      <c r="E378" s="36" t="n">
        <f aca="false">(YEAR(B378)-YEAR(सारांश!$B$4))*12+MONTH(B378)-MONTH(सारांश!$B$4)+IF(DAY(B378)&gt;=DAY(सारांश!$B$4),1,0)</f>
        <v>13</v>
      </c>
      <c r="F378" s="38" t="s">
        <v>20</v>
      </c>
      <c r="G378" s="14" t="s">
        <v>261</v>
      </c>
      <c r="H378" s="32" t="s">
        <v>1075</v>
      </c>
      <c r="I378" s="32" t="s">
        <v>316</v>
      </c>
      <c r="J378" s="48" t="s">
        <v>317</v>
      </c>
      <c r="K378" s="48" t="s">
        <v>265</v>
      </c>
      <c r="L378" s="14" t="s">
        <v>266</v>
      </c>
      <c r="M378" s="32" t="s">
        <v>1076</v>
      </c>
      <c r="N378" s="32" t="s">
        <v>268</v>
      </c>
      <c r="O378" s="32" t="s">
        <v>1061</v>
      </c>
      <c r="P378" s="32" t="s">
        <v>1062</v>
      </c>
      <c r="Q378" s="14" t="n">
        <v>7.5</v>
      </c>
      <c r="R378" s="32" t="s">
        <v>271</v>
      </c>
      <c r="S378" s="32" t="s">
        <v>272</v>
      </c>
      <c r="T378" s="49" t="s">
        <v>258</v>
      </c>
      <c r="U378" s="49" t="s">
        <v>259</v>
      </c>
      <c r="V378" s="49" t="s">
        <v>259</v>
      </c>
      <c r="W378" s="14" t="s">
        <v>260</v>
      </c>
      <c r="X378" s="14"/>
    </row>
    <row r="379" customFormat="false" ht="126.75" hidden="false" customHeight="true" outlineLevel="0" collapsed="false">
      <c r="A379" s="36" t="n">
        <v>374</v>
      </c>
      <c r="B379" s="37" t="n">
        <f aca="false">सारांश!$B$4+A379-1</f>
        <v>46714</v>
      </c>
      <c r="C379" s="36" t="str">
        <f aca="false">CHOOSE(WEEKDAY(B379,2),"सोमवार","मंगलवार","बुधवार","गुरुवार","शुक्रवार","शनिवार","रविवार")</f>
        <v>मंगलवार</v>
      </c>
      <c r="D379" s="36" t="n">
        <f aca="false">IF(A379=1,0,INT((A379-2)/7)+1)</f>
        <v>54</v>
      </c>
      <c r="E379" s="36" t="n">
        <f aca="false">(YEAR(B379)-YEAR(सारांश!$B$4))*12+MONTH(B379)-MONTH(सारांश!$B$4)+IF(DAY(B379)&gt;=DAY(सारांश!$B$4),1,0)</f>
        <v>13</v>
      </c>
      <c r="F379" s="38" t="s">
        <v>20</v>
      </c>
      <c r="G379" s="14" t="s">
        <v>261</v>
      </c>
      <c r="H379" s="32" t="s">
        <v>1077</v>
      </c>
      <c r="I379" s="32" t="s">
        <v>321</v>
      </c>
      <c r="J379" s="48" t="s">
        <v>322</v>
      </c>
      <c r="K379" s="48" t="s">
        <v>265</v>
      </c>
      <c r="L379" s="14" t="s">
        <v>266</v>
      </c>
      <c r="M379" s="32" t="s">
        <v>1078</v>
      </c>
      <c r="N379" s="32" t="s">
        <v>276</v>
      </c>
      <c r="O379" s="32" t="s">
        <v>1061</v>
      </c>
      <c r="P379" s="32" t="s">
        <v>1062</v>
      </c>
      <c r="Q379" s="14" t="n">
        <v>7.5</v>
      </c>
      <c r="R379" s="32" t="s">
        <v>271</v>
      </c>
      <c r="S379" s="32" t="s">
        <v>272</v>
      </c>
      <c r="T379" s="49" t="s">
        <v>258</v>
      </c>
      <c r="U379" s="49" t="s">
        <v>259</v>
      </c>
      <c r="V379" s="49" t="s">
        <v>259</v>
      </c>
      <c r="W379" s="14" t="s">
        <v>260</v>
      </c>
      <c r="X379" s="14"/>
    </row>
    <row r="380" customFormat="false" ht="126.75" hidden="false" customHeight="true" outlineLevel="0" collapsed="false">
      <c r="A380" s="36" t="n">
        <v>375</v>
      </c>
      <c r="B380" s="37" t="n">
        <f aca="false">सारांश!$B$4+A380-1</f>
        <v>46715</v>
      </c>
      <c r="C380" s="36" t="str">
        <f aca="false">CHOOSE(WEEKDAY(B380,2),"सोमवार","मंगलवार","बुधवार","गुरुवार","शुक्रवार","शनिवार","रविवार")</f>
        <v>बुधवार</v>
      </c>
      <c r="D380" s="36" t="n">
        <f aca="false">IF(A380=1,0,INT((A380-2)/7)+1)</f>
        <v>54</v>
      </c>
      <c r="E380" s="36" t="n">
        <f aca="false">(YEAR(B380)-YEAR(सारांश!$B$4))*12+MONTH(B380)-MONTH(सारांश!$B$4)+IF(DAY(B380)&gt;=DAY(सारांश!$B$4),1,0)</f>
        <v>13</v>
      </c>
      <c r="F380" s="38" t="s">
        <v>20</v>
      </c>
      <c r="G380" s="14" t="s">
        <v>261</v>
      </c>
      <c r="H380" s="32" t="s">
        <v>1079</v>
      </c>
      <c r="I380" s="32" t="s">
        <v>329</v>
      </c>
      <c r="J380" s="48" t="s">
        <v>330</v>
      </c>
      <c r="K380" s="48" t="s">
        <v>265</v>
      </c>
      <c r="L380" s="14" t="s">
        <v>266</v>
      </c>
      <c r="M380" s="32" t="s">
        <v>1080</v>
      </c>
      <c r="N380" s="32" t="s">
        <v>279</v>
      </c>
      <c r="O380" s="32" t="s">
        <v>1061</v>
      </c>
      <c r="P380" s="32" t="s">
        <v>1062</v>
      </c>
      <c r="Q380" s="14" t="n">
        <v>7.5</v>
      </c>
      <c r="R380" s="32" t="s">
        <v>271</v>
      </c>
      <c r="S380" s="32" t="s">
        <v>272</v>
      </c>
      <c r="T380" s="49" t="s">
        <v>258</v>
      </c>
      <c r="U380" s="49" t="s">
        <v>259</v>
      </c>
      <c r="V380" s="49" t="s">
        <v>259</v>
      </c>
      <c r="W380" s="14" t="s">
        <v>260</v>
      </c>
      <c r="X380" s="14"/>
    </row>
    <row r="381" customFormat="false" ht="109.5" hidden="false" customHeight="true" outlineLevel="0" collapsed="false">
      <c r="A381" s="36" t="n">
        <v>376</v>
      </c>
      <c r="B381" s="37" t="n">
        <f aca="false">सारांश!$B$4+A381-1</f>
        <v>46716</v>
      </c>
      <c r="C381" s="36" t="str">
        <f aca="false">CHOOSE(WEEKDAY(B381,2),"सोमवार","मंगलवार","बुधवार","गुरुवार","शुक्रवार","शनिवार","रविवार")</f>
        <v>गुरुवार</v>
      </c>
      <c r="D381" s="36" t="n">
        <f aca="false">IF(A381=1,0,INT((A381-2)/7)+1)</f>
        <v>54</v>
      </c>
      <c r="E381" s="36" t="n">
        <f aca="false">(YEAR(B381)-YEAR(सारांश!$B$4))*12+MONTH(B381)-MONTH(सारांश!$B$4)+IF(DAY(B381)&gt;=DAY(सारांश!$B$4),1,0)</f>
        <v>13</v>
      </c>
      <c r="F381" s="38" t="s">
        <v>20</v>
      </c>
      <c r="G381" s="14" t="s">
        <v>261</v>
      </c>
      <c r="H381" s="32" t="s">
        <v>1081</v>
      </c>
      <c r="I381" s="32" t="s">
        <v>335</v>
      </c>
      <c r="J381" s="48" t="s">
        <v>336</v>
      </c>
      <c r="K381" s="48" t="s">
        <v>265</v>
      </c>
      <c r="L381" s="14" t="s">
        <v>266</v>
      </c>
      <c r="M381" s="32" t="s">
        <v>1082</v>
      </c>
      <c r="N381" s="32" t="s">
        <v>284</v>
      </c>
      <c r="O381" s="32" t="s">
        <v>1061</v>
      </c>
      <c r="P381" s="32" t="s">
        <v>1062</v>
      </c>
      <c r="Q381" s="14" t="n">
        <v>7.5</v>
      </c>
      <c r="R381" s="32" t="s">
        <v>271</v>
      </c>
      <c r="S381" s="32" t="s">
        <v>272</v>
      </c>
      <c r="T381" s="49" t="s">
        <v>258</v>
      </c>
      <c r="U381" s="49" t="s">
        <v>259</v>
      </c>
      <c r="V381" s="49" t="s">
        <v>259</v>
      </c>
      <c r="W381" s="14" t="s">
        <v>260</v>
      </c>
      <c r="X381" s="14"/>
    </row>
    <row r="382" customFormat="false" ht="109.5" hidden="false" customHeight="true" outlineLevel="0" collapsed="false">
      <c r="A382" s="36" t="n">
        <v>377</v>
      </c>
      <c r="B382" s="37" t="n">
        <f aca="false">सारांश!$B$4+A382-1</f>
        <v>46717</v>
      </c>
      <c r="C382" s="36" t="str">
        <f aca="false">CHOOSE(WEEKDAY(B382,2),"सोमवार","मंगलवार","बुधवार","गुरुवार","शुक्रवार","शनिवार","रविवार")</f>
        <v>शुक्रवार</v>
      </c>
      <c r="D382" s="36" t="n">
        <f aca="false">IF(A382=1,0,INT((A382-2)/7)+1)</f>
        <v>54</v>
      </c>
      <c r="E382" s="36" t="n">
        <f aca="false">(YEAR(B382)-YEAR(सारांश!$B$4))*12+MONTH(B382)-MONTH(सारांश!$B$4)+IF(DAY(B382)&gt;=DAY(सारांश!$B$4),1,0)</f>
        <v>13</v>
      </c>
      <c r="F382" s="38" t="s">
        <v>20</v>
      </c>
      <c r="G382" s="14" t="s">
        <v>261</v>
      </c>
      <c r="H382" s="32" t="s">
        <v>1083</v>
      </c>
      <c r="I382" s="32" t="s">
        <v>335</v>
      </c>
      <c r="J382" s="48" t="s">
        <v>336</v>
      </c>
      <c r="K382" s="48" t="s">
        <v>265</v>
      </c>
      <c r="L382" s="14" t="s">
        <v>266</v>
      </c>
      <c r="M382" s="32" t="s">
        <v>1084</v>
      </c>
      <c r="N382" s="32" t="s">
        <v>287</v>
      </c>
      <c r="O382" s="32" t="s">
        <v>1061</v>
      </c>
      <c r="P382" s="32" t="s">
        <v>1062</v>
      </c>
      <c r="Q382" s="14" t="n">
        <v>7.5</v>
      </c>
      <c r="R382" s="32" t="s">
        <v>271</v>
      </c>
      <c r="S382" s="32" t="s">
        <v>272</v>
      </c>
      <c r="T382" s="49" t="s">
        <v>258</v>
      </c>
      <c r="U382" s="49" t="s">
        <v>259</v>
      </c>
      <c r="V382" s="49" t="s">
        <v>259</v>
      </c>
      <c r="W382" s="14" t="s">
        <v>260</v>
      </c>
      <c r="X382" s="14"/>
    </row>
    <row r="383" customFormat="false" ht="109.5" hidden="false" customHeight="true" outlineLevel="0" collapsed="false">
      <c r="A383" s="36" t="n">
        <v>378</v>
      </c>
      <c r="B383" s="37" t="n">
        <f aca="false">सारांश!$B$4+A383-1</f>
        <v>46718</v>
      </c>
      <c r="C383" s="36" t="str">
        <f aca="false">CHOOSE(WEEKDAY(B383,2),"सोमवार","मंगलवार","बुधवार","गुरुवार","शुक्रवार","शनिवार","रविवार")</f>
        <v>शनिवार</v>
      </c>
      <c r="D383" s="36" t="n">
        <f aca="false">IF(A383=1,0,INT((A383-2)/7)+1)</f>
        <v>54</v>
      </c>
      <c r="E383" s="36" t="n">
        <f aca="false">(YEAR(B383)-YEAR(सारांश!$B$4))*12+MONTH(B383)-MONTH(सारांश!$B$4)+IF(DAY(B383)&gt;=DAY(सारांश!$B$4),1,0)</f>
        <v>13</v>
      </c>
      <c r="F383" s="38" t="s">
        <v>20</v>
      </c>
      <c r="G383" s="14" t="s">
        <v>261</v>
      </c>
      <c r="H383" s="32" t="s">
        <v>1085</v>
      </c>
      <c r="I383" s="32" t="s">
        <v>344</v>
      </c>
      <c r="J383" s="48" t="s">
        <v>345</v>
      </c>
      <c r="K383" s="48" t="s">
        <v>265</v>
      </c>
      <c r="L383" s="14" t="s">
        <v>266</v>
      </c>
      <c r="M383" s="32" t="s">
        <v>1086</v>
      </c>
      <c r="N383" s="32" t="s">
        <v>290</v>
      </c>
      <c r="O383" s="32" t="s">
        <v>1061</v>
      </c>
      <c r="P383" s="32" t="s">
        <v>1062</v>
      </c>
      <c r="Q383" s="14" t="n">
        <v>7.5</v>
      </c>
      <c r="R383" s="32" t="s">
        <v>271</v>
      </c>
      <c r="S383" s="32" t="s">
        <v>272</v>
      </c>
      <c r="T383" s="49" t="s">
        <v>258</v>
      </c>
      <c r="U383" s="49" t="s">
        <v>259</v>
      </c>
      <c r="V383" s="49" t="s">
        <v>259</v>
      </c>
      <c r="W383" s="14" t="s">
        <v>260</v>
      </c>
      <c r="X383" s="14"/>
    </row>
    <row r="384" customFormat="false" ht="126.75" hidden="false" customHeight="true" outlineLevel="0" collapsed="false">
      <c r="A384" s="50" t="n">
        <v>379</v>
      </c>
      <c r="B384" s="51" t="n">
        <f aca="false">सारांश!$B$4+A384-1</f>
        <v>46719</v>
      </c>
      <c r="C384" s="50" t="str">
        <f aca="false">CHOOSE(WEEKDAY(B384,2),"सोमवार","मंगलवार","बुधवार","गुरुवार","शुक्रवार","शनिवार","रविवार")</f>
        <v>रविवार</v>
      </c>
      <c r="D384" s="50" t="n">
        <f aca="false">IF(A384=1,0,INT((A384-2)/7)+1)</f>
        <v>54</v>
      </c>
      <c r="E384" s="50" t="n">
        <f aca="false">(YEAR(B384)-YEAR(सारांश!$B$4))*12+MONTH(B384)-MONTH(सारांश!$B$4)+IF(DAY(B384)&gt;=DAY(सारांश!$B$4),1,0)</f>
        <v>13</v>
      </c>
      <c r="F384" s="52" t="s">
        <v>20</v>
      </c>
      <c r="G384" s="50" t="s">
        <v>291</v>
      </c>
      <c r="H384" s="52" t="s">
        <v>127</v>
      </c>
      <c r="I384" s="52" t="s">
        <v>1087</v>
      </c>
      <c r="J384" s="53" t="s">
        <v>293</v>
      </c>
      <c r="K384" s="53" t="s">
        <v>294</v>
      </c>
      <c r="L384" s="50" t="s">
        <v>295</v>
      </c>
      <c r="M384" s="52" t="s">
        <v>296</v>
      </c>
      <c r="N384" s="52" t="s">
        <v>297</v>
      </c>
      <c r="O384" s="52" t="s">
        <v>1074</v>
      </c>
      <c r="P384" s="52" t="s">
        <v>299</v>
      </c>
      <c r="Q384" s="50" t="n">
        <v>6</v>
      </c>
      <c r="R384" s="52" t="s">
        <v>300</v>
      </c>
      <c r="S384" s="52" t="s">
        <v>257</v>
      </c>
      <c r="T384" s="54" t="s">
        <v>258</v>
      </c>
      <c r="U384" s="54" t="s">
        <v>259</v>
      </c>
      <c r="V384" s="54" t="s">
        <v>259</v>
      </c>
      <c r="W384" s="50" t="s">
        <v>260</v>
      </c>
      <c r="X384" s="50"/>
    </row>
    <row r="385" customFormat="false" ht="109.5" hidden="false" customHeight="true" outlineLevel="0" collapsed="false">
      <c r="A385" s="36" t="n">
        <v>380</v>
      </c>
      <c r="B385" s="37" t="n">
        <f aca="false">सारांश!$B$4+A385-1</f>
        <v>46720</v>
      </c>
      <c r="C385" s="36" t="str">
        <f aca="false">CHOOSE(WEEKDAY(B385,2),"सोमवार","मंगलवार","बुधवार","गुरुवार","शुक्रवार","शनिवार","रविवार")</f>
        <v>सोमवार</v>
      </c>
      <c r="D385" s="36" t="n">
        <f aca="false">IF(A385=1,0,INT((A385-2)/7)+1)</f>
        <v>55</v>
      </c>
      <c r="E385" s="36" t="n">
        <f aca="false">(YEAR(B385)-YEAR(सारांश!$B$4))*12+MONTH(B385)-MONTH(सारांश!$B$4)+IF(DAY(B385)&gt;=DAY(सारांश!$B$4),1,0)</f>
        <v>13</v>
      </c>
      <c r="F385" s="38" t="s">
        <v>20</v>
      </c>
      <c r="G385" s="14" t="s">
        <v>261</v>
      </c>
      <c r="H385" s="32" t="s">
        <v>1088</v>
      </c>
      <c r="I385" s="32" t="s">
        <v>348</v>
      </c>
      <c r="J385" s="48" t="s">
        <v>349</v>
      </c>
      <c r="K385" s="48" t="s">
        <v>265</v>
      </c>
      <c r="L385" s="14" t="s">
        <v>266</v>
      </c>
      <c r="M385" s="32" t="s">
        <v>1089</v>
      </c>
      <c r="N385" s="32" t="s">
        <v>268</v>
      </c>
      <c r="O385" s="32" t="s">
        <v>1061</v>
      </c>
      <c r="P385" s="32" t="s">
        <v>1062</v>
      </c>
      <c r="Q385" s="14" t="n">
        <v>7.5</v>
      </c>
      <c r="R385" s="32" t="s">
        <v>271</v>
      </c>
      <c r="S385" s="32" t="s">
        <v>272</v>
      </c>
      <c r="T385" s="49" t="s">
        <v>258</v>
      </c>
      <c r="U385" s="49" t="s">
        <v>259</v>
      </c>
      <c r="V385" s="49" t="s">
        <v>259</v>
      </c>
      <c r="W385" s="14" t="s">
        <v>260</v>
      </c>
      <c r="X385" s="14"/>
    </row>
    <row r="386" customFormat="false" ht="109.5" hidden="false" customHeight="true" outlineLevel="0" collapsed="false">
      <c r="A386" s="36" t="n">
        <v>381</v>
      </c>
      <c r="B386" s="37" t="n">
        <f aca="false">सारांश!$B$4+A386-1</f>
        <v>46721</v>
      </c>
      <c r="C386" s="36" t="str">
        <f aca="false">CHOOSE(WEEKDAY(B386,2),"सोमवार","मंगलवार","बुधवार","गुरुवार","शुक्रवार","शनिवार","रविवार")</f>
        <v>मंगलवार</v>
      </c>
      <c r="D386" s="36" t="n">
        <f aca="false">IF(A386=1,0,INT((A386-2)/7)+1)</f>
        <v>55</v>
      </c>
      <c r="E386" s="36" t="n">
        <f aca="false">(YEAR(B386)-YEAR(सारांश!$B$4))*12+MONTH(B386)-MONTH(सारांश!$B$4)+IF(DAY(B386)&gt;=DAY(सारांश!$B$4),1,0)</f>
        <v>13</v>
      </c>
      <c r="F386" s="38" t="s">
        <v>20</v>
      </c>
      <c r="G386" s="14" t="s">
        <v>261</v>
      </c>
      <c r="H386" s="32" t="s">
        <v>1090</v>
      </c>
      <c r="I386" s="32" t="s">
        <v>348</v>
      </c>
      <c r="J386" s="48" t="s">
        <v>349</v>
      </c>
      <c r="K386" s="48" t="s">
        <v>265</v>
      </c>
      <c r="L386" s="14" t="s">
        <v>266</v>
      </c>
      <c r="M386" s="32" t="s">
        <v>1091</v>
      </c>
      <c r="N386" s="32" t="s">
        <v>276</v>
      </c>
      <c r="O386" s="32" t="s">
        <v>1061</v>
      </c>
      <c r="P386" s="32" t="s">
        <v>1062</v>
      </c>
      <c r="Q386" s="14" t="n">
        <v>7.5</v>
      </c>
      <c r="R386" s="32" t="s">
        <v>271</v>
      </c>
      <c r="S386" s="32" t="s">
        <v>272</v>
      </c>
      <c r="T386" s="49" t="s">
        <v>258</v>
      </c>
      <c r="U386" s="49" t="s">
        <v>259</v>
      </c>
      <c r="V386" s="49" t="s">
        <v>259</v>
      </c>
      <c r="W386" s="14" t="s">
        <v>260</v>
      </c>
      <c r="X386" s="14"/>
    </row>
    <row r="387" customFormat="false" ht="126.75" hidden="false" customHeight="true" outlineLevel="0" collapsed="false">
      <c r="A387" s="36" t="n">
        <v>382</v>
      </c>
      <c r="B387" s="37" t="n">
        <f aca="false">सारांश!$B$4+A387-1</f>
        <v>46722</v>
      </c>
      <c r="C387" s="36" t="str">
        <f aca="false">CHOOSE(WEEKDAY(B387,2),"सोमवार","मंगलवार","बुधवार","गुरुवार","शुक्रवार","शनिवार","रविवार")</f>
        <v>बुधवार</v>
      </c>
      <c r="D387" s="36" t="n">
        <f aca="false">IF(A387=1,0,INT((A387-2)/7)+1)</f>
        <v>55</v>
      </c>
      <c r="E387" s="36" t="n">
        <f aca="false">(YEAR(B387)-YEAR(सारांश!$B$4))*12+MONTH(B387)-MONTH(सारांश!$B$4)+IF(DAY(B387)&gt;=DAY(सारांश!$B$4),1,0)</f>
        <v>13</v>
      </c>
      <c r="F387" s="38" t="s">
        <v>20</v>
      </c>
      <c r="G387" s="14" t="s">
        <v>261</v>
      </c>
      <c r="H387" s="32" t="s">
        <v>1092</v>
      </c>
      <c r="I387" s="32" t="s">
        <v>361</v>
      </c>
      <c r="J387" s="48" t="s">
        <v>362</v>
      </c>
      <c r="K387" s="48" t="s">
        <v>265</v>
      </c>
      <c r="L387" s="14" t="s">
        <v>266</v>
      </c>
      <c r="M387" s="32" t="s">
        <v>1093</v>
      </c>
      <c r="N387" s="32" t="s">
        <v>279</v>
      </c>
      <c r="O387" s="32" t="s">
        <v>1061</v>
      </c>
      <c r="P387" s="32" t="s">
        <v>1062</v>
      </c>
      <c r="Q387" s="14" t="n">
        <v>7.5</v>
      </c>
      <c r="R387" s="32" t="s">
        <v>271</v>
      </c>
      <c r="S387" s="32" t="s">
        <v>272</v>
      </c>
      <c r="T387" s="49" t="s">
        <v>258</v>
      </c>
      <c r="U387" s="49" t="s">
        <v>259</v>
      </c>
      <c r="V387" s="49" t="s">
        <v>259</v>
      </c>
      <c r="W387" s="14" t="s">
        <v>260</v>
      </c>
      <c r="X387" s="14"/>
    </row>
    <row r="388" customFormat="false" ht="126.75" hidden="false" customHeight="true" outlineLevel="0" collapsed="false">
      <c r="A388" s="36" t="n">
        <v>383</v>
      </c>
      <c r="B388" s="37" t="n">
        <f aca="false">सारांश!$B$4+A388-1</f>
        <v>46723</v>
      </c>
      <c r="C388" s="36" t="str">
        <f aca="false">CHOOSE(WEEKDAY(B388,2),"सोमवार","मंगलवार","बुधवार","गुरुवार","शुक्रवार","शनिवार","रविवार")</f>
        <v>गुरुवार</v>
      </c>
      <c r="D388" s="36" t="n">
        <f aca="false">IF(A388=1,0,INT((A388-2)/7)+1)</f>
        <v>55</v>
      </c>
      <c r="E388" s="36" t="n">
        <f aca="false">(YEAR(B388)-YEAR(सारांश!$B$4))*12+MONTH(B388)-MONTH(सारांश!$B$4)+IF(DAY(B388)&gt;=DAY(सारांश!$B$4),1,0)</f>
        <v>13</v>
      </c>
      <c r="F388" s="38" t="s">
        <v>20</v>
      </c>
      <c r="G388" s="14" t="s">
        <v>261</v>
      </c>
      <c r="H388" s="32" t="s">
        <v>1094</v>
      </c>
      <c r="I388" s="32" t="s">
        <v>365</v>
      </c>
      <c r="J388" s="48" t="s">
        <v>366</v>
      </c>
      <c r="K388" s="48" t="s">
        <v>265</v>
      </c>
      <c r="L388" s="14" t="s">
        <v>266</v>
      </c>
      <c r="M388" s="32" t="s">
        <v>1095</v>
      </c>
      <c r="N388" s="32" t="s">
        <v>284</v>
      </c>
      <c r="O388" s="32" t="s">
        <v>1061</v>
      </c>
      <c r="P388" s="32" t="s">
        <v>1062</v>
      </c>
      <c r="Q388" s="14" t="n">
        <v>7.5</v>
      </c>
      <c r="R388" s="32" t="s">
        <v>271</v>
      </c>
      <c r="S388" s="32" t="s">
        <v>272</v>
      </c>
      <c r="T388" s="49" t="s">
        <v>258</v>
      </c>
      <c r="U388" s="49" t="s">
        <v>259</v>
      </c>
      <c r="V388" s="49" t="s">
        <v>259</v>
      </c>
      <c r="W388" s="14" t="s">
        <v>260</v>
      </c>
      <c r="X388" s="14"/>
    </row>
    <row r="389" customFormat="false" ht="109.5" hidden="false" customHeight="true" outlineLevel="0" collapsed="false">
      <c r="A389" s="36" t="n">
        <v>384</v>
      </c>
      <c r="B389" s="37" t="n">
        <f aca="false">सारांश!$B$4+A389-1</f>
        <v>46724</v>
      </c>
      <c r="C389" s="36" t="str">
        <f aca="false">CHOOSE(WEEKDAY(B389,2),"सोमवार","मंगलवार","बुधवार","गुरुवार","शुक्रवार","शनिवार","रविवार")</f>
        <v>शुक्रवार</v>
      </c>
      <c r="D389" s="36" t="n">
        <f aca="false">IF(A389=1,0,INT((A389-2)/7)+1)</f>
        <v>55</v>
      </c>
      <c r="E389" s="36" t="n">
        <f aca="false">(YEAR(B389)-YEAR(सारांश!$B$4))*12+MONTH(B389)-MONTH(सारांश!$B$4)+IF(DAY(B389)&gt;=DAY(सारांश!$B$4),1,0)</f>
        <v>13</v>
      </c>
      <c r="F389" s="38" t="s">
        <v>20</v>
      </c>
      <c r="G389" s="14" t="s">
        <v>261</v>
      </c>
      <c r="H389" s="32" t="s">
        <v>1096</v>
      </c>
      <c r="I389" s="32" t="s">
        <v>374</v>
      </c>
      <c r="J389" s="48" t="s">
        <v>375</v>
      </c>
      <c r="K389" s="48" t="s">
        <v>265</v>
      </c>
      <c r="L389" s="14" t="s">
        <v>266</v>
      </c>
      <c r="M389" s="32" t="s">
        <v>1097</v>
      </c>
      <c r="N389" s="32" t="s">
        <v>287</v>
      </c>
      <c r="O389" s="32" t="s">
        <v>1061</v>
      </c>
      <c r="P389" s="32" t="s">
        <v>1062</v>
      </c>
      <c r="Q389" s="14" t="n">
        <v>7.5</v>
      </c>
      <c r="R389" s="32" t="s">
        <v>271</v>
      </c>
      <c r="S389" s="32" t="s">
        <v>272</v>
      </c>
      <c r="T389" s="49" t="s">
        <v>258</v>
      </c>
      <c r="U389" s="49" t="s">
        <v>259</v>
      </c>
      <c r="V389" s="49" t="s">
        <v>259</v>
      </c>
      <c r="W389" s="14" t="s">
        <v>260</v>
      </c>
      <c r="X389" s="14"/>
    </row>
    <row r="390" customFormat="false" ht="126.75" hidden="false" customHeight="true" outlineLevel="0" collapsed="false">
      <c r="A390" s="36" t="n">
        <v>385</v>
      </c>
      <c r="B390" s="37" t="n">
        <f aca="false">सारांश!$B$4+A390-1</f>
        <v>46725</v>
      </c>
      <c r="C390" s="36" t="str">
        <f aca="false">CHOOSE(WEEKDAY(B390,2),"सोमवार","मंगलवार","बुधवार","गुरुवार","शुक्रवार","शनिवार","रविवार")</f>
        <v>शनिवार</v>
      </c>
      <c r="D390" s="36" t="n">
        <f aca="false">IF(A390=1,0,INT((A390-2)/7)+1)</f>
        <v>55</v>
      </c>
      <c r="E390" s="36" t="n">
        <f aca="false">(YEAR(B390)-YEAR(सारांश!$B$4))*12+MONTH(B390)-MONTH(सारांश!$B$4)+IF(DAY(B390)&gt;=DAY(सारांश!$B$4),1,0)</f>
        <v>13</v>
      </c>
      <c r="F390" s="38" t="s">
        <v>20</v>
      </c>
      <c r="G390" s="14" t="s">
        <v>261</v>
      </c>
      <c r="H390" s="32" t="s">
        <v>1098</v>
      </c>
      <c r="I390" s="32" t="s">
        <v>380</v>
      </c>
      <c r="J390" s="48" t="s">
        <v>381</v>
      </c>
      <c r="K390" s="48" t="s">
        <v>265</v>
      </c>
      <c r="L390" s="14" t="s">
        <v>266</v>
      </c>
      <c r="M390" s="32" t="s">
        <v>1099</v>
      </c>
      <c r="N390" s="32" t="s">
        <v>290</v>
      </c>
      <c r="O390" s="32" t="s">
        <v>1061</v>
      </c>
      <c r="P390" s="32" t="s">
        <v>1062</v>
      </c>
      <c r="Q390" s="14" t="n">
        <v>7.5</v>
      </c>
      <c r="R390" s="32" t="s">
        <v>271</v>
      </c>
      <c r="S390" s="32" t="s">
        <v>272</v>
      </c>
      <c r="T390" s="49" t="s">
        <v>258</v>
      </c>
      <c r="U390" s="49" t="s">
        <v>259</v>
      </c>
      <c r="V390" s="49" t="s">
        <v>259</v>
      </c>
      <c r="W390" s="14" t="s">
        <v>260</v>
      </c>
      <c r="X390" s="14"/>
    </row>
    <row r="391" customFormat="false" ht="109.5" hidden="false" customHeight="true" outlineLevel="0" collapsed="false">
      <c r="A391" s="50" t="n">
        <v>386</v>
      </c>
      <c r="B391" s="51" t="n">
        <f aca="false">सारांश!$B$4+A391-1</f>
        <v>46726</v>
      </c>
      <c r="C391" s="50" t="str">
        <f aca="false">CHOOSE(WEEKDAY(B391,2),"सोमवार","मंगलवार","बुधवार","गुरुवार","शुक्रवार","शनिवार","रविवार")</f>
        <v>रविवार</v>
      </c>
      <c r="D391" s="50" t="n">
        <f aca="false">IF(A391=1,0,INT((A391-2)/7)+1)</f>
        <v>55</v>
      </c>
      <c r="E391" s="50" t="n">
        <f aca="false">(YEAR(B391)-YEAR(सारांश!$B$4))*12+MONTH(B391)-MONTH(सारांश!$B$4)+IF(DAY(B391)&gt;=DAY(सारांश!$B$4),1,0)</f>
        <v>13</v>
      </c>
      <c r="F391" s="52" t="s">
        <v>20</v>
      </c>
      <c r="G391" s="50" t="s">
        <v>291</v>
      </c>
      <c r="H391" s="52" t="s">
        <v>127</v>
      </c>
      <c r="I391" s="52" t="s">
        <v>1100</v>
      </c>
      <c r="J391" s="53" t="s">
        <v>293</v>
      </c>
      <c r="K391" s="53" t="s">
        <v>294</v>
      </c>
      <c r="L391" s="50" t="s">
        <v>295</v>
      </c>
      <c r="M391" s="52" t="s">
        <v>296</v>
      </c>
      <c r="N391" s="52" t="s">
        <v>297</v>
      </c>
      <c r="O391" s="52" t="s">
        <v>1074</v>
      </c>
      <c r="P391" s="52" t="s">
        <v>299</v>
      </c>
      <c r="Q391" s="50" t="n">
        <v>6</v>
      </c>
      <c r="R391" s="52" t="s">
        <v>300</v>
      </c>
      <c r="S391" s="52" t="s">
        <v>257</v>
      </c>
      <c r="T391" s="54" t="s">
        <v>258</v>
      </c>
      <c r="U391" s="54" t="s">
        <v>259</v>
      </c>
      <c r="V391" s="54" t="s">
        <v>259</v>
      </c>
      <c r="W391" s="50" t="s">
        <v>260</v>
      </c>
      <c r="X391" s="50"/>
    </row>
    <row r="392" customFormat="false" ht="126.75" hidden="false" customHeight="true" outlineLevel="0" collapsed="false">
      <c r="A392" s="36" t="n">
        <v>387</v>
      </c>
      <c r="B392" s="37" t="n">
        <f aca="false">सारांश!$B$4+A392-1</f>
        <v>46727</v>
      </c>
      <c r="C392" s="36" t="str">
        <f aca="false">CHOOSE(WEEKDAY(B392,2),"सोमवार","मंगलवार","बुधवार","गुरुवार","शुक्रवार","शनिवार","रविवार")</f>
        <v>सोमवार</v>
      </c>
      <c r="D392" s="36" t="n">
        <f aca="false">IF(A392=1,0,INT((A392-2)/7)+1)</f>
        <v>56</v>
      </c>
      <c r="E392" s="36" t="n">
        <f aca="false">(YEAR(B392)-YEAR(सारांश!$B$4))*12+MONTH(B392)-MONTH(सारांश!$B$4)+IF(DAY(B392)&gt;=DAY(सारांश!$B$4),1,0)</f>
        <v>13</v>
      </c>
      <c r="F392" s="38" t="s">
        <v>20</v>
      </c>
      <c r="G392" s="14" t="s">
        <v>261</v>
      </c>
      <c r="H392" s="32" t="s">
        <v>1101</v>
      </c>
      <c r="I392" s="32" t="s">
        <v>384</v>
      </c>
      <c r="J392" s="48" t="s">
        <v>385</v>
      </c>
      <c r="K392" s="48" t="s">
        <v>265</v>
      </c>
      <c r="L392" s="14" t="s">
        <v>266</v>
      </c>
      <c r="M392" s="32" t="s">
        <v>1102</v>
      </c>
      <c r="N392" s="32" t="s">
        <v>268</v>
      </c>
      <c r="O392" s="32" t="s">
        <v>1061</v>
      </c>
      <c r="P392" s="32" t="s">
        <v>1062</v>
      </c>
      <c r="Q392" s="14" t="n">
        <v>7.5</v>
      </c>
      <c r="R392" s="32" t="s">
        <v>271</v>
      </c>
      <c r="S392" s="32" t="s">
        <v>272</v>
      </c>
      <c r="T392" s="49" t="s">
        <v>258</v>
      </c>
      <c r="U392" s="49" t="s">
        <v>259</v>
      </c>
      <c r="V392" s="49" t="s">
        <v>259</v>
      </c>
      <c r="W392" s="14" t="s">
        <v>260</v>
      </c>
      <c r="X392" s="14"/>
    </row>
    <row r="393" customFormat="false" ht="126.75" hidden="false" customHeight="true" outlineLevel="0" collapsed="false">
      <c r="A393" s="36" t="n">
        <v>388</v>
      </c>
      <c r="B393" s="37" t="n">
        <f aca="false">सारांश!$B$4+A393-1</f>
        <v>46728</v>
      </c>
      <c r="C393" s="36" t="str">
        <f aca="false">CHOOSE(WEEKDAY(B393,2),"सोमवार","मंगलवार","बुधवार","गुरुवार","शुक्रवार","शनिवार","रविवार")</f>
        <v>मंगलवार</v>
      </c>
      <c r="D393" s="36" t="n">
        <f aca="false">IF(A393=1,0,INT((A393-2)/7)+1)</f>
        <v>56</v>
      </c>
      <c r="E393" s="36" t="n">
        <f aca="false">(YEAR(B393)-YEAR(सारांश!$B$4))*12+MONTH(B393)-MONTH(सारांश!$B$4)+IF(DAY(B393)&gt;=DAY(सारांश!$B$4),1,0)</f>
        <v>13</v>
      </c>
      <c r="F393" s="38" t="s">
        <v>20</v>
      </c>
      <c r="G393" s="14" t="s">
        <v>261</v>
      </c>
      <c r="H393" s="32" t="s">
        <v>1103</v>
      </c>
      <c r="I393" s="32" t="s">
        <v>384</v>
      </c>
      <c r="J393" s="48" t="s">
        <v>385</v>
      </c>
      <c r="K393" s="48" t="s">
        <v>265</v>
      </c>
      <c r="L393" s="14" t="s">
        <v>266</v>
      </c>
      <c r="M393" s="32" t="s">
        <v>1104</v>
      </c>
      <c r="N393" s="32" t="s">
        <v>276</v>
      </c>
      <c r="O393" s="32" t="s">
        <v>1061</v>
      </c>
      <c r="P393" s="32" t="s">
        <v>1062</v>
      </c>
      <c r="Q393" s="14" t="n">
        <v>7.5</v>
      </c>
      <c r="R393" s="32" t="s">
        <v>271</v>
      </c>
      <c r="S393" s="32" t="s">
        <v>272</v>
      </c>
      <c r="T393" s="49" t="s">
        <v>258</v>
      </c>
      <c r="U393" s="49" t="s">
        <v>259</v>
      </c>
      <c r="V393" s="49" t="s">
        <v>259</v>
      </c>
      <c r="W393" s="14" t="s">
        <v>260</v>
      </c>
      <c r="X393" s="14"/>
    </row>
    <row r="394" customFormat="false" ht="126.75" hidden="false" customHeight="true" outlineLevel="0" collapsed="false">
      <c r="A394" s="36" t="n">
        <v>389</v>
      </c>
      <c r="B394" s="37" t="n">
        <f aca="false">सारांश!$B$4+A394-1</f>
        <v>46729</v>
      </c>
      <c r="C394" s="36" t="str">
        <f aca="false">CHOOSE(WEEKDAY(B394,2),"सोमवार","मंगलवार","बुधवार","गुरुवार","शुक्रवार","शनिवार","रविवार")</f>
        <v>बुधवार</v>
      </c>
      <c r="D394" s="36" t="n">
        <f aca="false">IF(A394=1,0,INT((A394-2)/7)+1)</f>
        <v>56</v>
      </c>
      <c r="E394" s="36" t="n">
        <f aca="false">(YEAR(B394)-YEAR(सारांश!$B$4))*12+MONTH(B394)-MONTH(सारांश!$B$4)+IF(DAY(B394)&gt;=DAY(सारांश!$B$4),1,0)</f>
        <v>13</v>
      </c>
      <c r="F394" s="38" t="s">
        <v>20</v>
      </c>
      <c r="G394" s="14" t="s">
        <v>261</v>
      </c>
      <c r="H394" s="32" t="s">
        <v>1105</v>
      </c>
      <c r="I394" s="32" t="s">
        <v>393</v>
      </c>
      <c r="J394" s="48" t="s">
        <v>394</v>
      </c>
      <c r="K394" s="48" t="s">
        <v>265</v>
      </c>
      <c r="L394" s="14" t="s">
        <v>266</v>
      </c>
      <c r="M394" s="32" t="s">
        <v>1106</v>
      </c>
      <c r="N394" s="32" t="s">
        <v>279</v>
      </c>
      <c r="O394" s="32" t="s">
        <v>1061</v>
      </c>
      <c r="P394" s="32" t="s">
        <v>1062</v>
      </c>
      <c r="Q394" s="14" t="n">
        <v>7.5</v>
      </c>
      <c r="R394" s="32" t="s">
        <v>271</v>
      </c>
      <c r="S394" s="32" t="s">
        <v>272</v>
      </c>
      <c r="T394" s="49" t="s">
        <v>258</v>
      </c>
      <c r="U394" s="49" t="s">
        <v>259</v>
      </c>
      <c r="V394" s="49" t="s">
        <v>259</v>
      </c>
      <c r="W394" s="14" t="s">
        <v>260</v>
      </c>
      <c r="X394" s="14"/>
    </row>
    <row r="395" customFormat="false" ht="126.75" hidden="false" customHeight="true" outlineLevel="0" collapsed="false">
      <c r="A395" s="36" t="n">
        <v>390</v>
      </c>
      <c r="B395" s="37" t="n">
        <f aca="false">सारांश!$B$4+A395-1</f>
        <v>46730</v>
      </c>
      <c r="C395" s="36" t="str">
        <f aca="false">CHOOSE(WEEKDAY(B395,2),"सोमवार","मंगलवार","बुधवार","गुरुवार","शुक्रवार","शनिवार","रविवार")</f>
        <v>गुरुवार</v>
      </c>
      <c r="D395" s="36" t="n">
        <f aca="false">IF(A395=1,0,INT((A395-2)/7)+1)</f>
        <v>56</v>
      </c>
      <c r="E395" s="36" t="n">
        <f aca="false">(YEAR(B395)-YEAR(सारांश!$B$4))*12+MONTH(B395)-MONTH(सारांश!$B$4)+IF(DAY(B395)&gt;=DAY(सारांश!$B$4),1,0)</f>
        <v>13</v>
      </c>
      <c r="F395" s="38" t="s">
        <v>20</v>
      </c>
      <c r="G395" s="14" t="s">
        <v>261</v>
      </c>
      <c r="H395" s="32" t="s">
        <v>1107</v>
      </c>
      <c r="I395" s="32" t="s">
        <v>393</v>
      </c>
      <c r="J395" s="48" t="s">
        <v>394</v>
      </c>
      <c r="K395" s="48" t="s">
        <v>265</v>
      </c>
      <c r="L395" s="14" t="s">
        <v>266</v>
      </c>
      <c r="M395" s="32" t="s">
        <v>1108</v>
      </c>
      <c r="N395" s="32" t="s">
        <v>284</v>
      </c>
      <c r="O395" s="32" t="s">
        <v>1061</v>
      </c>
      <c r="P395" s="32" t="s">
        <v>1062</v>
      </c>
      <c r="Q395" s="14" t="n">
        <v>7.5</v>
      </c>
      <c r="R395" s="32" t="s">
        <v>271</v>
      </c>
      <c r="S395" s="32" t="s">
        <v>272</v>
      </c>
      <c r="T395" s="49" t="s">
        <v>258</v>
      </c>
      <c r="U395" s="49" t="s">
        <v>259</v>
      </c>
      <c r="V395" s="49" t="s">
        <v>259</v>
      </c>
      <c r="W395" s="14" t="s">
        <v>260</v>
      </c>
      <c r="X395" s="14"/>
    </row>
    <row r="396" customFormat="false" ht="126.75" hidden="false" customHeight="true" outlineLevel="0" collapsed="false">
      <c r="A396" s="36" t="n">
        <v>391</v>
      </c>
      <c r="B396" s="37" t="n">
        <f aca="false">सारांश!$B$4+A396-1</f>
        <v>46731</v>
      </c>
      <c r="C396" s="36" t="str">
        <f aca="false">CHOOSE(WEEKDAY(B396,2),"सोमवार","मंगलवार","बुधवार","गुरुवार","शुक्रवार","शनिवार","रविवार")</f>
        <v>शुक्रवार</v>
      </c>
      <c r="D396" s="36" t="n">
        <f aca="false">IF(A396=1,0,INT((A396-2)/7)+1)</f>
        <v>56</v>
      </c>
      <c r="E396" s="36" t="n">
        <f aca="false">(YEAR(B396)-YEAR(सारांश!$B$4))*12+MONTH(B396)-MONTH(सारांश!$B$4)+IF(DAY(B396)&gt;=DAY(सारांश!$B$4),1,0)</f>
        <v>13</v>
      </c>
      <c r="F396" s="38" t="s">
        <v>20</v>
      </c>
      <c r="G396" s="14" t="s">
        <v>261</v>
      </c>
      <c r="H396" s="32" t="s">
        <v>1109</v>
      </c>
      <c r="I396" s="32" t="s">
        <v>405</v>
      </c>
      <c r="J396" s="48" t="s">
        <v>406</v>
      </c>
      <c r="K396" s="48" t="s">
        <v>265</v>
      </c>
      <c r="L396" s="14" t="s">
        <v>266</v>
      </c>
      <c r="M396" s="32" t="s">
        <v>1110</v>
      </c>
      <c r="N396" s="32" t="s">
        <v>287</v>
      </c>
      <c r="O396" s="32" t="s">
        <v>1061</v>
      </c>
      <c r="P396" s="32" t="s">
        <v>1062</v>
      </c>
      <c r="Q396" s="14" t="n">
        <v>7.5</v>
      </c>
      <c r="R396" s="32" t="s">
        <v>271</v>
      </c>
      <c r="S396" s="32" t="s">
        <v>272</v>
      </c>
      <c r="T396" s="49" t="s">
        <v>258</v>
      </c>
      <c r="U396" s="49" t="s">
        <v>259</v>
      </c>
      <c r="V396" s="49" t="s">
        <v>259</v>
      </c>
      <c r="W396" s="14" t="s">
        <v>260</v>
      </c>
      <c r="X396" s="14"/>
    </row>
    <row r="397" customFormat="false" ht="126.75" hidden="false" customHeight="true" outlineLevel="0" collapsed="false">
      <c r="A397" s="36" t="n">
        <v>392</v>
      </c>
      <c r="B397" s="37" t="n">
        <f aca="false">सारांश!$B$4+A397-1</f>
        <v>46732</v>
      </c>
      <c r="C397" s="36" t="str">
        <f aca="false">CHOOSE(WEEKDAY(B397,2),"सोमवार","मंगलवार","बुधवार","गुरुवार","शुक्रवार","शनिवार","रविवार")</f>
        <v>शनिवार</v>
      </c>
      <c r="D397" s="36" t="n">
        <f aca="false">IF(A397=1,0,INT((A397-2)/7)+1)</f>
        <v>56</v>
      </c>
      <c r="E397" s="36" t="n">
        <f aca="false">(YEAR(B397)-YEAR(सारांश!$B$4))*12+MONTH(B397)-MONTH(सारांश!$B$4)+IF(DAY(B397)&gt;=DAY(सारांश!$B$4),1,0)</f>
        <v>13</v>
      </c>
      <c r="F397" s="38" t="s">
        <v>20</v>
      </c>
      <c r="G397" s="14" t="s">
        <v>261</v>
      </c>
      <c r="H397" s="32" t="s">
        <v>1111</v>
      </c>
      <c r="I397" s="32" t="s">
        <v>405</v>
      </c>
      <c r="J397" s="48" t="s">
        <v>406</v>
      </c>
      <c r="K397" s="48" t="s">
        <v>265</v>
      </c>
      <c r="L397" s="14" t="s">
        <v>266</v>
      </c>
      <c r="M397" s="32" t="s">
        <v>1112</v>
      </c>
      <c r="N397" s="32" t="s">
        <v>290</v>
      </c>
      <c r="O397" s="32" t="s">
        <v>1061</v>
      </c>
      <c r="P397" s="32" t="s">
        <v>1062</v>
      </c>
      <c r="Q397" s="14" t="n">
        <v>7.5</v>
      </c>
      <c r="R397" s="32" t="s">
        <v>271</v>
      </c>
      <c r="S397" s="32" t="s">
        <v>272</v>
      </c>
      <c r="T397" s="49" t="s">
        <v>258</v>
      </c>
      <c r="U397" s="49" t="s">
        <v>259</v>
      </c>
      <c r="V397" s="49" t="s">
        <v>259</v>
      </c>
      <c r="W397" s="14" t="s">
        <v>260</v>
      </c>
      <c r="X397" s="14"/>
    </row>
    <row r="398" customFormat="false" ht="109.5" hidden="false" customHeight="true" outlineLevel="0" collapsed="false">
      <c r="A398" s="50" t="n">
        <v>393</v>
      </c>
      <c r="B398" s="51" t="n">
        <f aca="false">सारांश!$B$4+A398-1</f>
        <v>46733</v>
      </c>
      <c r="C398" s="50" t="str">
        <f aca="false">CHOOSE(WEEKDAY(B398,2),"सोमवार","मंगलवार","बुधवार","गुरुवार","शुक्रवार","शनिवार","रविवार")</f>
        <v>रविवार</v>
      </c>
      <c r="D398" s="50" t="n">
        <f aca="false">IF(A398=1,0,INT((A398-2)/7)+1)</f>
        <v>56</v>
      </c>
      <c r="E398" s="50" t="n">
        <f aca="false">(YEAR(B398)-YEAR(सारांश!$B$4))*12+MONTH(B398)-MONTH(सारांश!$B$4)+IF(DAY(B398)&gt;=DAY(सारांश!$B$4),1,0)</f>
        <v>13</v>
      </c>
      <c r="F398" s="52" t="s">
        <v>20</v>
      </c>
      <c r="G398" s="50" t="s">
        <v>291</v>
      </c>
      <c r="H398" s="52" t="s">
        <v>135</v>
      </c>
      <c r="I398" s="52" t="s">
        <v>1113</v>
      </c>
      <c r="J398" s="53" t="s">
        <v>293</v>
      </c>
      <c r="K398" s="53" t="s">
        <v>294</v>
      </c>
      <c r="L398" s="50" t="s">
        <v>295</v>
      </c>
      <c r="M398" s="52" t="s">
        <v>296</v>
      </c>
      <c r="N398" s="52" t="s">
        <v>297</v>
      </c>
      <c r="O398" s="52" t="s">
        <v>1074</v>
      </c>
      <c r="P398" s="52" t="s">
        <v>299</v>
      </c>
      <c r="Q398" s="50" t="n">
        <v>6</v>
      </c>
      <c r="R398" s="52" t="s">
        <v>300</v>
      </c>
      <c r="S398" s="52" t="s">
        <v>257</v>
      </c>
      <c r="T398" s="54" t="s">
        <v>258</v>
      </c>
      <c r="U398" s="54" t="s">
        <v>259</v>
      </c>
      <c r="V398" s="54" t="s">
        <v>259</v>
      </c>
      <c r="W398" s="50" t="s">
        <v>260</v>
      </c>
      <c r="X398" s="50"/>
    </row>
    <row r="399" customFormat="false" ht="126.75" hidden="false" customHeight="true" outlineLevel="0" collapsed="false">
      <c r="A399" s="36" t="n">
        <v>394</v>
      </c>
      <c r="B399" s="37" t="n">
        <f aca="false">सारांश!$B$4+A399-1</f>
        <v>46734</v>
      </c>
      <c r="C399" s="36" t="str">
        <f aca="false">CHOOSE(WEEKDAY(B399,2),"सोमवार","मंगलवार","बुधवार","गुरुवार","शुक्रवार","शनिवार","रविवार")</f>
        <v>सोमवार</v>
      </c>
      <c r="D399" s="36" t="n">
        <f aca="false">IF(A399=1,0,INT((A399-2)/7)+1)</f>
        <v>57</v>
      </c>
      <c r="E399" s="36" t="n">
        <f aca="false">(YEAR(B399)-YEAR(सारांश!$B$4))*12+MONTH(B399)-MONTH(सारांश!$B$4)+IF(DAY(B399)&gt;=DAY(सारांश!$B$4),1,0)</f>
        <v>13</v>
      </c>
      <c r="F399" s="38" t="s">
        <v>20</v>
      </c>
      <c r="G399" s="14" t="s">
        <v>261</v>
      </c>
      <c r="H399" s="32" t="s">
        <v>1114</v>
      </c>
      <c r="I399" s="32" t="s">
        <v>414</v>
      </c>
      <c r="J399" s="48" t="s">
        <v>415</v>
      </c>
      <c r="K399" s="48" t="s">
        <v>265</v>
      </c>
      <c r="L399" s="14" t="s">
        <v>266</v>
      </c>
      <c r="M399" s="32" t="s">
        <v>1115</v>
      </c>
      <c r="N399" s="32" t="s">
        <v>268</v>
      </c>
      <c r="O399" s="32" t="s">
        <v>1061</v>
      </c>
      <c r="P399" s="32" t="s">
        <v>1062</v>
      </c>
      <c r="Q399" s="14" t="n">
        <v>7.5</v>
      </c>
      <c r="R399" s="32" t="s">
        <v>271</v>
      </c>
      <c r="S399" s="32" t="s">
        <v>272</v>
      </c>
      <c r="T399" s="49" t="s">
        <v>258</v>
      </c>
      <c r="U399" s="49" t="s">
        <v>259</v>
      </c>
      <c r="V399" s="49" t="s">
        <v>259</v>
      </c>
      <c r="W399" s="14" t="s">
        <v>260</v>
      </c>
      <c r="X399" s="14"/>
    </row>
    <row r="400" customFormat="false" ht="126.75" hidden="false" customHeight="true" outlineLevel="0" collapsed="false">
      <c r="A400" s="36" t="n">
        <v>395</v>
      </c>
      <c r="B400" s="37" t="n">
        <f aca="false">सारांश!$B$4+A400-1</f>
        <v>46735</v>
      </c>
      <c r="C400" s="36" t="str">
        <f aca="false">CHOOSE(WEEKDAY(B400,2),"सोमवार","मंगलवार","बुधवार","गुरुवार","शुक्रवार","शनिवार","रविवार")</f>
        <v>मंगलवार</v>
      </c>
      <c r="D400" s="36" t="n">
        <f aca="false">IF(A400=1,0,INT((A400-2)/7)+1)</f>
        <v>57</v>
      </c>
      <c r="E400" s="36" t="n">
        <f aca="false">(YEAR(B400)-YEAR(सारांश!$B$4))*12+MONTH(B400)-MONTH(सारांश!$B$4)+IF(DAY(B400)&gt;=DAY(सारांश!$B$4),1,0)</f>
        <v>13</v>
      </c>
      <c r="F400" s="38" t="s">
        <v>20</v>
      </c>
      <c r="G400" s="14" t="s">
        <v>261</v>
      </c>
      <c r="H400" s="32" t="s">
        <v>1116</v>
      </c>
      <c r="I400" s="32" t="s">
        <v>418</v>
      </c>
      <c r="J400" s="48" t="s">
        <v>419</v>
      </c>
      <c r="K400" s="48" t="s">
        <v>265</v>
      </c>
      <c r="L400" s="14" t="s">
        <v>266</v>
      </c>
      <c r="M400" s="32" t="s">
        <v>1117</v>
      </c>
      <c r="N400" s="32" t="s">
        <v>276</v>
      </c>
      <c r="O400" s="32" t="s">
        <v>1061</v>
      </c>
      <c r="P400" s="32" t="s">
        <v>1062</v>
      </c>
      <c r="Q400" s="14" t="n">
        <v>7.5</v>
      </c>
      <c r="R400" s="32" t="s">
        <v>271</v>
      </c>
      <c r="S400" s="32" t="s">
        <v>272</v>
      </c>
      <c r="T400" s="49" t="s">
        <v>258</v>
      </c>
      <c r="U400" s="49" t="s">
        <v>259</v>
      </c>
      <c r="V400" s="49" t="s">
        <v>259</v>
      </c>
      <c r="W400" s="14" t="s">
        <v>260</v>
      </c>
      <c r="X400" s="14"/>
    </row>
    <row r="401" customFormat="false" ht="126.75" hidden="false" customHeight="true" outlineLevel="0" collapsed="false">
      <c r="A401" s="36" t="n">
        <v>396</v>
      </c>
      <c r="B401" s="37" t="n">
        <f aca="false">सारांश!$B$4+A401-1</f>
        <v>46736</v>
      </c>
      <c r="C401" s="36" t="str">
        <f aca="false">CHOOSE(WEEKDAY(B401,2),"सोमवार","मंगलवार","बुधवार","गुरुवार","शुक्रवार","शनिवार","रविवार")</f>
        <v>बुधवार</v>
      </c>
      <c r="D401" s="36" t="n">
        <f aca="false">IF(A401=1,0,INT((A401-2)/7)+1)</f>
        <v>57</v>
      </c>
      <c r="E401" s="36" t="n">
        <f aca="false">(YEAR(B401)-YEAR(सारांश!$B$4))*12+MONTH(B401)-MONTH(सारांश!$B$4)+IF(DAY(B401)&gt;=DAY(सारांश!$B$4),1,0)</f>
        <v>14</v>
      </c>
      <c r="F401" s="38" t="s">
        <v>20</v>
      </c>
      <c r="G401" s="14" t="s">
        <v>261</v>
      </c>
      <c r="H401" s="32" t="s">
        <v>1118</v>
      </c>
      <c r="I401" s="32" t="s">
        <v>427</v>
      </c>
      <c r="J401" s="48" t="s">
        <v>428</v>
      </c>
      <c r="K401" s="48" t="s">
        <v>265</v>
      </c>
      <c r="L401" s="14" t="s">
        <v>266</v>
      </c>
      <c r="M401" s="32" t="s">
        <v>1119</v>
      </c>
      <c r="N401" s="32" t="s">
        <v>279</v>
      </c>
      <c r="O401" s="32" t="s">
        <v>1061</v>
      </c>
      <c r="P401" s="32" t="s">
        <v>1062</v>
      </c>
      <c r="Q401" s="14" t="n">
        <v>7.5</v>
      </c>
      <c r="R401" s="32" t="s">
        <v>271</v>
      </c>
      <c r="S401" s="32" t="s">
        <v>272</v>
      </c>
      <c r="T401" s="49" t="s">
        <v>258</v>
      </c>
      <c r="U401" s="49" t="s">
        <v>259</v>
      </c>
      <c r="V401" s="49" t="s">
        <v>259</v>
      </c>
      <c r="W401" s="14" t="s">
        <v>260</v>
      </c>
      <c r="X401" s="14"/>
    </row>
    <row r="402" customFormat="false" ht="126.75" hidden="false" customHeight="true" outlineLevel="0" collapsed="false">
      <c r="A402" s="36" t="n">
        <v>397</v>
      </c>
      <c r="B402" s="37" t="n">
        <f aca="false">सारांश!$B$4+A402-1</f>
        <v>46737</v>
      </c>
      <c r="C402" s="36" t="str">
        <f aca="false">CHOOSE(WEEKDAY(B402,2),"सोमवार","मंगलवार","बुधवार","गुरुवार","शुक्रवार","शनिवार","रविवार")</f>
        <v>गुरुवार</v>
      </c>
      <c r="D402" s="36" t="n">
        <f aca="false">IF(A402=1,0,INT((A402-2)/7)+1)</f>
        <v>57</v>
      </c>
      <c r="E402" s="36" t="n">
        <f aca="false">(YEAR(B402)-YEAR(सारांश!$B$4))*12+MONTH(B402)-MONTH(सारांश!$B$4)+IF(DAY(B402)&gt;=DAY(सारांश!$B$4),1,0)</f>
        <v>14</v>
      </c>
      <c r="F402" s="38" t="s">
        <v>20</v>
      </c>
      <c r="G402" s="14" t="s">
        <v>261</v>
      </c>
      <c r="H402" s="32" t="s">
        <v>1120</v>
      </c>
      <c r="I402" s="32" t="s">
        <v>427</v>
      </c>
      <c r="J402" s="48" t="s">
        <v>428</v>
      </c>
      <c r="K402" s="48" t="s">
        <v>265</v>
      </c>
      <c r="L402" s="14" t="s">
        <v>433</v>
      </c>
      <c r="M402" s="32" t="s">
        <v>1121</v>
      </c>
      <c r="N402" s="32" t="s">
        <v>284</v>
      </c>
      <c r="O402" s="32" t="s">
        <v>1061</v>
      </c>
      <c r="P402" s="32" t="s">
        <v>1062</v>
      </c>
      <c r="Q402" s="14" t="n">
        <v>7.5</v>
      </c>
      <c r="R402" s="32" t="s">
        <v>271</v>
      </c>
      <c r="S402" s="32" t="s">
        <v>435</v>
      </c>
      <c r="T402" s="49" t="s">
        <v>258</v>
      </c>
      <c r="U402" s="49" t="s">
        <v>259</v>
      </c>
      <c r="V402" s="49" t="s">
        <v>259</v>
      </c>
      <c r="W402" s="14" t="s">
        <v>260</v>
      </c>
      <c r="X402" s="14"/>
    </row>
    <row r="403" customFormat="false" ht="126.75" hidden="false" customHeight="true" outlineLevel="0" collapsed="false">
      <c r="A403" s="36" t="n">
        <v>398</v>
      </c>
      <c r="B403" s="37" t="n">
        <f aca="false">सारांश!$B$4+A403-1</f>
        <v>46738</v>
      </c>
      <c r="C403" s="36" t="str">
        <f aca="false">CHOOSE(WEEKDAY(B403,2),"सोमवार","मंगलवार","बुधवार","गुरुवार","शुक्रवार","शनिवार","रविवार")</f>
        <v>शुक्रवार</v>
      </c>
      <c r="D403" s="36" t="n">
        <f aca="false">IF(A403=1,0,INT((A403-2)/7)+1)</f>
        <v>57</v>
      </c>
      <c r="E403" s="36" t="n">
        <f aca="false">(YEAR(B403)-YEAR(सारांश!$B$4))*12+MONTH(B403)-MONTH(सारांश!$B$4)+IF(DAY(B403)&gt;=DAY(सारांश!$B$4),1,0)</f>
        <v>14</v>
      </c>
      <c r="F403" s="38" t="s">
        <v>20</v>
      </c>
      <c r="G403" s="14" t="s">
        <v>436</v>
      </c>
      <c r="H403" s="32" t="s">
        <v>1122</v>
      </c>
      <c r="I403" s="32" t="s">
        <v>438</v>
      </c>
      <c r="J403" s="48" t="s">
        <v>439</v>
      </c>
      <c r="K403" s="48" t="s">
        <v>265</v>
      </c>
      <c r="L403" s="14" t="s">
        <v>433</v>
      </c>
      <c r="M403" s="32" t="s">
        <v>1123</v>
      </c>
      <c r="N403" s="32" t="s">
        <v>287</v>
      </c>
      <c r="O403" s="32" t="s">
        <v>1061</v>
      </c>
      <c r="P403" s="32" t="s">
        <v>1062</v>
      </c>
      <c r="Q403" s="14" t="n">
        <v>7.5</v>
      </c>
      <c r="R403" s="32" t="s">
        <v>441</v>
      </c>
      <c r="S403" s="32" t="s">
        <v>435</v>
      </c>
      <c r="T403" s="49" t="s">
        <v>258</v>
      </c>
      <c r="U403" s="49" t="s">
        <v>259</v>
      </c>
      <c r="V403" s="49" t="s">
        <v>259</v>
      </c>
      <c r="W403" s="14" t="s">
        <v>260</v>
      </c>
      <c r="X403" s="14"/>
    </row>
    <row r="404" customFormat="false" ht="126.75" hidden="false" customHeight="true" outlineLevel="0" collapsed="false">
      <c r="A404" s="36" t="n">
        <v>399</v>
      </c>
      <c r="B404" s="37" t="n">
        <f aca="false">सारांश!$B$4+A404-1</f>
        <v>46739</v>
      </c>
      <c r="C404" s="36" t="str">
        <f aca="false">CHOOSE(WEEKDAY(B404,2),"सोमवार","मंगलवार","बुधवार","गुरुवार","शुक्रवार","शनिवार","रविवार")</f>
        <v>शनिवार</v>
      </c>
      <c r="D404" s="36" t="n">
        <f aca="false">IF(A404=1,0,INT((A404-2)/7)+1)</f>
        <v>57</v>
      </c>
      <c r="E404" s="36" t="n">
        <f aca="false">(YEAR(B404)-YEAR(सारांश!$B$4))*12+MONTH(B404)-MONTH(सारांश!$B$4)+IF(DAY(B404)&gt;=DAY(सारांश!$B$4),1,0)</f>
        <v>14</v>
      </c>
      <c r="F404" s="38" t="s">
        <v>20</v>
      </c>
      <c r="G404" s="14" t="s">
        <v>436</v>
      </c>
      <c r="H404" s="32" t="s">
        <v>1124</v>
      </c>
      <c r="I404" s="32" t="s">
        <v>450</v>
      </c>
      <c r="J404" s="48" t="s">
        <v>451</v>
      </c>
      <c r="K404" s="48" t="s">
        <v>265</v>
      </c>
      <c r="L404" s="14" t="s">
        <v>433</v>
      </c>
      <c r="M404" s="32" t="s">
        <v>1125</v>
      </c>
      <c r="N404" s="32" t="s">
        <v>290</v>
      </c>
      <c r="O404" s="32" t="s">
        <v>1061</v>
      </c>
      <c r="P404" s="32" t="s">
        <v>1062</v>
      </c>
      <c r="Q404" s="14" t="n">
        <v>7.5</v>
      </c>
      <c r="R404" s="32" t="s">
        <v>441</v>
      </c>
      <c r="S404" s="32" t="s">
        <v>435</v>
      </c>
      <c r="T404" s="49" t="s">
        <v>258</v>
      </c>
      <c r="U404" s="49" t="s">
        <v>259</v>
      </c>
      <c r="V404" s="49" t="s">
        <v>259</v>
      </c>
      <c r="W404" s="14" t="s">
        <v>260</v>
      </c>
      <c r="X404" s="14"/>
    </row>
    <row r="405" customFormat="false" ht="126.75" hidden="false" customHeight="true" outlineLevel="0" collapsed="false">
      <c r="A405" s="50" t="n">
        <v>400</v>
      </c>
      <c r="B405" s="51" t="n">
        <f aca="false">सारांश!$B$4+A405-1</f>
        <v>46740</v>
      </c>
      <c r="C405" s="50" t="str">
        <f aca="false">CHOOSE(WEEKDAY(B405,2),"सोमवार","मंगलवार","बुधवार","गुरुवार","शुक्रवार","शनिवार","रविवार")</f>
        <v>रविवार</v>
      </c>
      <c r="D405" s="50" t="n">
        <f aca="false">IF(A405=1,0,INT((A405-2)/7)+1)</f>
        <v>57</v>
      </c>
      <c r="E405" s="50" t="n">
        <f aca="false">(YEAR(B405)-YEAR(सारांश!$B$4))*12+MONTH(B405)-MONTH(सारांश!$B$4)+IF(DAY(B405)&gt;=DAY(सारांश!$B$4),1,0)</f>
        <v>14</v>
      </c>
      <c r="F405" s="52" t="s">
        <v>20</v>
      </c>
      <c r="G405" s="50" t="s">
        <v>291</v>
      </c>
      <c r="H405" s="52" t="s">
        <v>127</v>
      </c>
      <c r="I405" s="52" t="s">
        <v>1126</v>
      </c>
      <c r="J405" s="53" t="s">
        <v>293</v>
      </c>
      <c r="K405" s="53" t="s">
        <v>294</v>
      </c>
      <c r="L405" s="50" t="s">
        <v>295</v>
      </c>
      <c r="M405" s="52" t="s">
        <v>296</v>
      </c>
      <c r="N405" s="52" t="s">
        <v>297</v>
      </c>
      <c r="O405" s="52" t="s">
        <v>1074</v>
      </c>
      <c r="P405" s="52" t="s">
        <v>299</v>
      </c>
      <c r="Q405" s="50" t="n">
        <v>6</v>
      </c>
      <c r="R405" s="52" t="s">
        <v>300</v>
      </c>
      <c r="S405" s="52" t="s">
        <v>257</v>
      </c>
      <c r="T405" s="54" t="s">
        <v>258</v>
      </c>
      <c r="U405" s="54" t="s">
        <v>259</v>
      </c>
      <c r="V405" s="54" t="s">
        <v>259</v>
      </c>
      <c r="W405" s="50" t="s">
        <v>260</v>
      </c>
      <c r="X405" s="50"/>
    </row>
    <row r="406" customFormat="false" ht="126.75" hidden="false" customHeight="true" outlineLevel="0" collapsed="false">
      <c r="A406" s="36" t="n">
        <v>401</v>
      </c>
      <c r="B406" s="37" t="n">
        <f aca="false">सारांश!$B$4+A406-1</f>
        <v>46741</v>
      </c>
      <c r="C406" s="36" t="str">
        <f aca="false">CHOOSE(WEEKDAY(B406,2),"सोमवार","मंगलवार","बुधवार","गुरुवार","शुक्रवार","शनिवार","रविवार")</f>
        <v>सोमवार</v>
      </c>
      <c r="D406" s="36" t="n">
        <f aca="false">IF(A406=1,0,INT((A406-2)/7)+1)</f>
        <v>58</v>
      </c>
      <c r="E406" s="36" t="n">
        <f aca="false">(YEAR(B406)-YEAR(सारांश!$B$4))*12+MONTH(B406)-MONTH(सारांश!$B$4)+IF(DAY(B406)&gt;=DAY(सारांश!$B$4),1,0)</f>
        <v>14</v>
      </c>
      <c r="F406" s="38" t="s">
        <v>20</v>
      </c>
      <c r="G406" s="14" t="s">
        <v>436</v>
      </c>
      <c r="H406" s="32" t="s">
        <v>1127</v>
      </c>
      <c r="I406" s="32" t="s">
        <v>450</v>
      </c>
      <c r="J406" s="48" t="s">
        <v>451</v>
      </c>
      <c r="K406" s="48" t="s">
        <v>265</v>
      </c>
      <c r="L406" s="14" t="s">
        <v>433</v>
      </c>
      <c r="M406" s="32" t="s">
        <v>1128</v>
      </c>
      <c r="N406" s="32" t="s">
        <v>268</v>
      </c>
      <c r="O406" s="32" t="s">
        <v>1061</v>
      </c>
      <c r="P406" s="32" t="s">
        <v>1062</v>
      </c>
      <c r="Q406" s="14" t="n">
        <v>7.5</v>
      </c>
      <c r="R406" s="32" t="s">
        <v>441</v>
      </c>
      <c r="S406" s="32" t="s">
        <v>435</v>
      </c>
      <c r="T406" s="49" t="s">
        <v>258</v>
      </c>
      <c r="U406" s="49" t="s">
        <v>259</v>
      </c>
      <c r="V406" s="49" t="s">
        <v>259</v>
      </c>
      <c r="W406" s="14" t="s">
        <v>260</v>
      </c>
      <c r="X406" s="14"/>
    </row>
    <row r="407" customFormat="false" ht="126.75" hidden="false" customHeight="true" outlineLevel="0" collapsed="false">
      <c r="A407" s="36" t="n">
        <v>402</v>
      </c>
      <c r="B407" s="37" t="n">
        <f aca="false">सारांश!$B$4+A407-1</f>
        <v>46742</v>
      </c>
      <c r="C407" s="36" t="str">
        <f aca="false">CHOOSE(WEEKDAY(B407,2),"सोमवार","मंगलवार","बुधवार","गुरुवार","शुक्रवार","शनिवार","रविवार")</f>
        <v>मंगलवार</v>
      </c>
      <c r="D407" s="36" t="n">
        <f aca="false">IF(A407=1,0,INT((A407-2)/7)+1)</f>
        <v>58</v>
      </c>
      <c r="E407" s="36" t="n">
        <f aca="false">(YEAR(B407)-YEAR(सारांश!$B$4))*12+MONTH(B407)-MONTH(सारांश!$B$4)+IF(DAY(B407)&gt;=DAY(सारांश!$B$4),1,0)</f>
        <v>14</v>
      </c>
      <c r="F407" s="38" t="s">
        <v>20</v>
      </c>
      <c r="G407" s="14" t="s">
        <v>436</v>
      </c>
      <c r="H407" s="32" t="s">
        <v>1129</v>
      </c>
      <c r="I407" s="32" t="s">
        <v>458</v>
      </c>
      <c r="J407" s="48" t="s">
        <v>459</v>
      </c>
      <c r="K407" s="48" t="s">
        <v>265</v>
      </c>
      <c r="L407" s="14" t="s">
        <v>433</v>
      </c>
      <c r="M407" s="32" t="s">
        <v>1130</v>
      </c>
      <c r="N407" s="32" t="s">
        <v>276</v>
      </c>
      <c r="O407" s="32" t="s">
        <v>1061</v>
      </c>
      <c r="P407" s="32" t="s">
        <v>1062</v>
      </c>
      <c r="Q407" s="14" t="n">
        <v>7.5</v>
      </c>
      <c r="R407" s="32" t="s">
        <v>441</v>
      </c>
      <c r="S407" s="32" t="s">
        <v>435</v>
      </c>
      <c r="T407" s="49" t="s">
        <v>258</v>
      </c>
      <c r="U407" s="49" t="s">
        <v>259</v>
      </c>
      <c r="V407" s="49" t="s">
        <v>259</v>
      </c>
      <c r="W407" s="14" t="s">
        <v>260</v>
      </c>
      <c r="X407" s="14"/>
    </row>
    <row r="408" customFormat="false" ht="126.75" hidden="false" customHeight="true" outlineLevel="0" collapsed="false">
      <c r="A408" s="36" t="n">
        <v>403</v>
      </c>
      <c r="B408" s="37" t="n">
        <f aca="false">सारांश!$B$4+A408-1</f>
        <v>46743</v>
      </c>
      <c r="C408" s="36" t="str">
        <f aca="false">CHOOSE(WEEKDAY(B408,2),"सोमवार","मंगलवार","बुधवार","गुरुवार","शुक्रवार","शनिवार","रविवार")</f>
        <v>बुधवार</v>
      </c>
      <c r="D408" s="36" t="n">
        <f aca="false">IF(A408=1,0,INT((A408-2)/7)+1)</f>
        <v>58</v>
      </c>
      <c r="E408" s="36" t="n">
        <f aca="false">(YEAR(B408)-YEAR(सारांश!$B$4))*12+MONTH(B408)-MONTH(सारांश!$B$4)+IF(DAY(B408)&gt;=DAY(सारांश!$B$4),1,0)</f>
        <v>14</v>
      </c>
      <c r="F408" s="38" t="s">
        <v>20</v>
      </c>
      <c r="G408" s="14" t="s">
        <v>436</v>
      </c>
      <c r="H408" s="32" t="s">
        <v>1131</v>
      </c>
      <c r="I408" s="32" t="s">
        <v>458</v>
      </c>
      <c r="J408" s="48" t="s">
        <v>459</v>
      </c>
      <c r="K408" s="48" t="s">
        <v>265</v>
      </c>
      <c r="L408" s="14" t="s">
        <v>433</v>
      </c>
      <c r="M408" s="32" t="s">
        <v>1132</v>
      </c>
      <c r="N408" s="32" t="s">
        <v>279</v>
      </c>
      <c r="O408" s="32" t="s">
        <v>1061</v>
      </c>
      <c r="P408" s="32" t="s">
        <v>1062</v>
      </c>
      <c r="Q408" s="14" t="n">
        <v>7.5</v>
      </c>
      <c r="R408" s="32" t="s">
        <v>441</v>
      </c>
      <c r="S408" s="32" t="s">
        <v>435</v>
      </c>
      <c r="T408" s="49" t="s">
        <v>258</v>
      </c>
      <c r="U408" s="49" t="s">
        <v>259</v>
      </c>
      <c r="V408" s="49" t="s">
        <v>259</v>
      </c>
      <c r="W408" s="14" t="s">
        <v>260</v>
      </c>
      <c r="X408" s="14"/>
    </row>
    <row r="409" customFormat="false" ht="109.5" hidden="false" customHeight="true" outlineLevel="0" collapsed="false">
      <c r="A409" s="36" t="n">
        <v>404</v>
      </c>
      <c r="B409" s="37" t="n">
        <f aca="false">सारांश!$B$4+A409-1</f>
        <v>46744</v>
      </c>
      <c r="C409" s="36" t="str">
        <f aca="false">CHOOSE(WEEKDAY(B409,2),"सोमवार","मंगलवार","बुधवार","गुरुवार","शुक्रवार","शनिवार","रविवार")</f>
        <v>गुरुवार</v>
      </c>
      <c r="D409" s="36" t="n">
        <f aca="false">IF(A409=1,0,INT((A409-2)/7)+1)</f>
        <v>58</v>
      </c>
      <c r="E409" s="36" t="n">
        <f aca="false">(YEAR(B409)-YEAR(सारांश!$B$4))*12+MONTH(B409)-MONTH(सारांश!$B$4)+IF(DAY(B409)&gt;=DAY(सारांश!$B$4),1,0)</f>
        <v>14</v>
      </c>
      <c r="F409" s="38" t="s">
        <v>20</v>
      </c>
      <c r="G409" s="14" t="s">
        <v>436</v>
      </c>
      <c r="H409" s="32" t="s">
        <v>1133</v>
      </c>
      <c r="I409" s="32" t="s">
        <v>469</v>
      </c>
      <c r="J409" s="48" t="s">
        <v>470</v>
      </c>
      <c r="K409" s="48" t="s">
        <v>265</v>
      </c>
      <c r="L409" s="14" t="s">
        <v>433</v>
      </c>
      <c r="M409" s="32" t="s">
        <v>1134</v>
      </c>
      <c r="N409" s="32" t="s">
        <v>284</v>
      </c>
      <c r="O409" s="32" t="s">
        <v>1061</v>
      </c>
      <c r="P409" s="32" t="s">
        <v>1062</v>
      </c>
      <c r="Q409" s="14" t="n">
        <v>7.5</v>
      </c>
      <c r="R409" s="32" t="s">
        <v>441</v>
      </c>
      <c r="S409" s="32" t="s">
        <v>435</v>
      </c>
      <c r="T409" s="49" t="s">
        <v>258</v>
      </c>
      <c r="U409" s="49" t="s">
        <v>259</v>
      </c>
      <c r="V409" s="49" t="s">
        <v>259</v>
      </c>
      <c r="W409" s="14" t="s">
        <v>260</v>
      </c>
      <c r="X409" s="14"/>
    </row>
    <row r="410" customFormat="false" ht="109.5" hidden="false" customHeight="true" outlineLevel="0" collapsed="false">
      <c r="A410" s="36" t="n">
        <v>405</v>
      </c>
      <c r="B410" s="37" t="n">
        <f aca="false">सारांश!$B$4+A410-1</f>
        <v>46745</v>
      </c>
      <c r="C410" s="36" t="str">
        <f aca="false">CHOOSE(WEEKDAY(B410,2),"सोमवार","मंगलवार","बुधवार","गुरुवार","शुक्रवार","शनिवार","रविवार")</f>
        <v>शुक्रवार</v>
      </c>
      <c r="D410" s="36" t="n">
        <f aca="false">IF(A410=1,0,INT((A410-2)/7)+1)</f>
        <v>58</v>
      </c>
      <c r="E410" s="36" t="n">
        <f aca="false">(YEAR(B410)-YEAR(सारांश!$B$4))*12+MONTH(B410)-MONTH(सारांश!$B$4)+IF(DAY(B410)&gt;=DAY(सारांश!$B$4),1,0)</f>
        <v>14</v>
      </c>
      <c r="F410" s="38" t="s">
        <v>20</v>
      </c>
      <c r="G410" s="14" t="s">
        <v>436</v>
      </c>
      <c r="H410" s="32" t="s">
        <v>1135</v>
      </c>
      <c r="I410" s="32" t="s">
        <v>475</v>
      </c>
      <c r="J410" s="48" t="s">
        <v>476</v>
      </c>
      <c r="K410" s="48" t="s">
        <v>265</v>
      </c>
      <c r="L410" s="14" t="s">
        <v>433</v>
      </c>
      <c r="M410" s="32" t="s">
        <v>1136</v>
      </c>
      <c r="N410" s="32" t="s">
        <v>287</v>
      </c>
      <c r="O410" s="32" t="s">
        <v>1061</v>
      </c>
      <c r="P410" s="32" t="s">
        <v>1062</v>
      </c>
      <c r="Q410" s="14" t="n">
        <v>7.5</v>
      </c>
      <c r="R410" s="32" t="s">
        <v>441</v>
      </c>
      <c r="S410" s="32" t="s">
        <v>435</v>
      </c>
      <c r="T410" s="49" t="s">
        <v>258</v>
      </c>
      <c r="U410" s="49" t="s">
        <v>259</v>
      </c>
      <c r="V410" s="49" t="s">
        <v>259</v>
      </c>
      <c r="W410" s="14" t="s">
        <v>260</v>
      </c>
      <c r="X410" s="14"/>
    </row>
    <row r="411" customFormat="false" ht="109.5" hidden="false" customHeight="true" outlineLevel="0" collapsed="false">
      <c r="A411" s="36" t="n">
        <v>406</v>
      </c>
      <c r="B411" s="37" t="n">
        <f aca="false">सारांश!$B$4+A411-1</f>
        <v>46746</v>
      </c>
      <c r="C411" s="36" t="str">
        <f aca="false">CHOOSE(WEEKDAY(B411,2),"सोमवार","मंगलवार","बुधवार","गुरुवार","शुक्रवार","शनिवार","रविवार")</f>
        <v>शनिवार</v>
      </c>
      <c r="D411" s="36" t="n">
        <f aca="false">IF(A411=1,0,INT((A411-2)/7)+1)</f>
        <v>58</v>
      </c>
      <c r="E411" s="36" t="n">
        <f aca="false">(YEAR(B411)-YEAR(सारांश!$B$4))*12+MONTH(B411)-MONTH(सारांश!$B$4)+IF(DAY(B411)&gt;=DAY(सारांश!$B$4),1,0)</f>
        <v>14</v>
      </c>
      <c r="F411" s="38" t="s">
        <v>20</v>
      </c>
      <c r="G411" s="14" t="s">
        <v>436</v>
      </c>
      <c r="H411" s="32" t="s">
        <v>1137</v>
      </c>
      <c r="I411" s="32" t="s">
        <v>475</v>
      </c>
      <c r="J411" s="48" t="s">
        <v>476</v>
      </c>
      <c r="K411" s="48" t="s">
        <v>265</v>
      </c>
      <c r="L411" s="14" t="s">
        <v>433</v>
      </c>
      <c r="M411" s="32" t="s">
        <v>1138</v>
      </c>
      <c r="N411" s="32" t="s">
        <v>290</v>
      </c>
      <c r="O411" s="32" t="s">
        <v>1061</v>
      </c>
      <c r="P411" s="32" t="s">
        <v>1062</v>
      </c>
      <c r="Q411" s="14" t="n">
        <v>7.5</v>
      </c>
      <c r="R411" s="32" t="s">
        <v>441</v>
      </c>
      <c r="S411" s="32" t="s">
        <v>435</v>
      </c>
      <c r="T411" s="49" t="s">
        <v>258</v>
      </c>
      <c r="U411" s="49" t="s">
        <v>259</v>
      </c>
      <c r="V411" s="49" t="s">
        <v>259</v>
      </c>
      <c r="W411" s="14" t="s">
        <v>260</v>
      </c>
      <c r="X411" s="14"/>
    </row>
    <row r="412" customFormat="false" ht="109.5" hidden="false" customHeight="true" outlineLevel="0" collapsed="false">
      <c r="A412" s="50" t="n">
        <v>407</v>
      </c>
      <c r="B412" s="51" t="n">
        <f aca="false">सारांश!$B$4+A412-1</f>
        <v>46747</v>
      </c>
      <c r="C412" s="50" t="str">
        <f aca="false">CHOOSE(WEEKDAY(B412,2),"सोमवार","मंगलवार","बुधवार","गुरुवार","शुक्रवार","शनिवार","रविवार")</f>
        <v>रविवार</v>
      </c>
      <c r="D412" s="50" t="n">
        <f aca="false">IF(A412=1,0,INT((A412-2)/7)+1)</f>
        <v>58</v>
      </c>
      <c r="E412" s="50" t="n">
        <f aca="false">(YEAR(B412)-YEAR(सारांश!$B$4))*12+MONTH(B412)-MONTH(सारांश!$B$4)+IF(DAY(B412)&gt;=DAY(सारांश!$B$4),1,0)</f>
        <v>14</v>
      </c>
      <c r="F412" s="52" t="s">
        <v>20</v>
      </c>
      <c r="G412" s="50" t="s">
        <v>291</v>
      </c>
      <c r="H412" s="52" t="s">
        <v>127</v>
      </c>
      <c r="I412" s="52" t="s">
        <v>1139</v>
      </c>
      <c r="J412" s="53" t="s">
        <v>293</v>
      </c>
      <c r="K412" s="53" t="s">
        <v>294</v>
      </c>
      <c r="L412" s="50" t="s">
        <v>295</v>
      </c>
      <c r="M412" s="52" t="s">
        <v>296</v>
      </c>
      <c r="N412" s="52" t="s">
        <v>297</v>
      </c>
      <c r="O412" s="52" t="s">
        <v>1074</v>
      </c>
      <c r="P412" s="52" t="s">
        <v>299</v>
      </c>
      <c r="Q412" s="50" t="n">
        <v>6</v>
      </c>
      <c r="R412" s="52" t="s">
        <v>300</v>
      </c>
      <c r="S412" s="52" t="s">
        <v>257</v>
      </c>
      <c r="T412" s="54" t="s">
        <v>258</v>
      </c>
      <c r="U412" s="54" t="s">
        <v>259</v>
      </c>
      <c r="V412" s="54" t="s">
        <v>259</v>
      </c>
      <c r="W412" s="50" t="s">
        <v>260</v>
      </c>
      <c r="X412" s="50"/>
    </row>
    <row r="413" customFormat="false" ht="109.5" hidden="false" customHeight="true" outlineLevel="0" collapsed="false">
      <c r="A413" s="36" t="n">
        <v>408</v>
      </c>
      <c r="B413" s="37" t="n">
        <f aca="false">सारांश!$B$4+A413-1</f>
        <v>46748</v>
      </c>
      <c r="C413" s="36" t="str">
        <f aca="false">CHOOSE(WEEKDAY(B413,2),"सोमवार","मंगलवार","बुधवार","गुरुवार","शुक्रवार","शनिवार","रविवार")</f>
        <v>सोमवार</v>
      </c>
      <c r="D413" s="36" t="n">
        <f aca="false">IF(A413=1,0,INT((A413-2)/7)+1)</f>
        <v>59</v>
      </c>
      <c r="E413" s="36" t="n">
        <f aca="false">(YEAR(B413)-YEAR(सारांश!$B$4))*12+MONTH(B413)-MONTH(सारांश!$B$4)+IF(DAY(B413)&gt;=DAY(सारांश!$B$4),1,0)</f>
        <v>14</v>
      </c>
      <c r="F413" s="38" t="s">
        <v>20</v>
      </c>
      <c r="G413" s="14" t="s">
        <v>436</v>
      </c>
      <c r="H413" s="32" t="s">
        <v>1140</v>
      </c>
      <c r="I413" s="32" t="s">
        <v>484</v>
      </c>
      <c r="J413" s="48" t="s">
        <v>485</v>
      </c>
      <c r="K413" s="48" t="s">
        <v>265</v>
      </c>
      <c r="L413" s="14" t="s">
        <v>433</v>
      </c>
      <c r="M413" s="32" t="s">
        <v>1141</v>
      </c>
      <c r="N413" s="32" t="s">
        <v>268</v>
      </c>
      <c r="O413" s="32" t="s">
        <v>1061</v>
      </c>
      <c r="P413" s="32" t="s">
        <v>1062</v>
      </c>
      <c r="Q413" s="14" t="n">
        <v>7.5</v>
      </c>
      <c r="R413" s="32" t="s">
        <v>441</v>
      </c>
      <c r="S413" s="32" t="s">
        <v>435</v>
      </c>
      <c r="T413" s="49" t="s">
        <v>258</v>
      </c>
      <c r="U413" s="49" t="s">
        <v>259</v>
      </c>
      <c r="V413" s="49" t="s">
        <v>259</v>
      </c>
      <c r="W413" s="14" t="s">
        <v>260</v>
      </c>
      <c r="X413" s="14"/>
    </row>
    <row r="414" customFormat="false" ht="109.5" hidden="false" customHeight="true" outlineLevel="0" collapsed="false">
      <c r="A414" s="36" t="n">
        <v>409</v>
      </c>
      <c r="B414" s="37" t="n">
        <f aca="false">सारांश!$B$4+A414-1</f>
        <v>46749</v>
      </c>
      <c r="C414" s="36" t="str">
        <f aca="false">CHOOSE(WEEKDAY(B414,2),"सोमवार","मंगलवार","बुधवार","गुरुवार","शुक्रवार","शनिवार","रविवार")</f>
        <v>मंगलवार</v>
      </c>
      <c r="D414" s="36" t="n">
        <f aca="false">IF(A414=1,0,INT((A414-2)/7)+1)</f>
        <v>59</v>
      </c>
      <c r="E414" s="36" t="n">
        <f aca="false">(YEAR(B414)-YEAR(सारांश!$B$4))*12+MONTH(B414)-MONTH(सारांश!$B$4)+IF(DAY(B414)&gt;=DAY(सारांश!$B$4),1,0)</f>
        <v>14</v>
      </c>
      <c r="F414" s="38" t="s">
        <v>20</v>
      </c>
      <c r="G414" s="14" t="s">
        <v>436</v>
      </c>
      <c r="H414" s="32" t="s">
        <v>1142</v>
      </c>
      <c r="I414" s="32" t="s">
        <v>484</v>
      </c>
      <c r="J414" s="48" t="s">
        <v>485</v>
      </c>
      <c r="K414" s="48" t="s">
        <v>265</v>
      </c>
      <c r="L414" s="14" t="s">
        <v>433</v>
      </c>
      <c r="M414" s="32" t="s">
        <v>1143</v>
      </c>
      <c r="N414" s="32" t="s">
        <v>276</v>
      </c>
      <c r="O414" s="32" t="s">
        <v>1061</v>
      </c>
      <c r="P414" s="32" t="s">
        <v>1062</v>
      </c>
      <c r="Q414" s="14" t="n">
        <v>7.5</v>
      </c>
      <c r="R414" s="32" t="s">
        <v>441</v>
      </c>
      <c r="S414" s="32" t="s">
        <v>435</v>
      </c>
      <c r="T414" s="49" t="s">
        <v>258</v>
      </c>
      <c r="U414" s="49" t="s">
        <v>259</v>
      </c>
      <c r="V414" s="49" t="s">
        <v>259</v>
      </c>
      <c r="W414" s="14" t="s">
        <v>260</v>
      </c>
      <c r="X414" s="14"/>
    </row>
    <row r="415" customFormat="false" ht="126.75" hidden="false" customHeight="true" outlineLevel="0" collapsed="false">
      <c r="A415" s="36" t="n">
        <v>410</v>
      </c>
      <c r="B415" s="37" t="n">
        <f aca="false">सारांश!$B$4+A415-1</f>
        <v>46750</v>
      </c>
      <c r="C415" s="36" t="str">
        <f aca="false">CHOOSE(WEEKDAY(B415,2),"सोमवार","मंगलवार","बुधवार","गुरुवार","शुक्रवार","शनिवार","रविवार")</f>
        <v>बुधवार</v>
      </c>
      <c r="D415" s="36" t="n">
        <f aca="false">IF(A415=1,0,INT((A415-2)/7)+1)</f>
        <v>59</v>
      </c>
      <c r="E415" s="36" t="n">
        <f aca="false">(YEAR(B415)-YEAR(सारांश!$B$4))*12+MONTH(B415)-MONTH(सारांश!$B$4)+IF(DAY(B415)&gt;=DAY(सारांश!$B$4),1,0)</f>
        <v>14</v>
      </c>
      <c r="F415" s="38" t="s">
        <v>20</v>
      </c>
      <c r="G415" s="14" t="s">
        <v>436</v>
      </c>
      <c r="H415" s="32" t="s">
        <v>1144</v>
      </c>
      <c r="I415" s="32" t="s">
        <v>492</v>
      </c>
      <c r="J415" s="48" t="s">
        <v>493</v>
      </c>
      <c r="K415" s="48" t="s">
        <v>265</v>
      </c>
      <c r="L415" s="14" t="s">
        <v>433</v>
      </c>
      <c r="M415" s="32" t="s">
        <v>1145</v>
      </c>
      <c r="N415" s="32" t="s">
        <v>279</v>
      </c>
      <c r="O415" s="32" t="s">
        <v>1061</v>
      </c>
      <c r="P415" s="32" t="s">
        <v>1062</v>
      </c>
      <c r="Q415" s="14" t="n">
        <v>7.5</v>
      </c>
      <c r="R415" s="32" t="s">
        <v>441</v>
      </c>
      <c r="S415" s="32" t="s">
        <v>435</v>
      </c>
      <c r="T415" s="49" t="s">
        <v>258</v>
      </c>
      <c r="U415" s="49" t="s">
        <v>259</v>
      </c>
      <c r="V415" s="49" t="s">
        <v>259</v>
      </c>
      <c r="W415" s="14" t="s">
        <v>260</v>
      </c>
      <c r="X415" s="14"/>
    </row>
    <row r="416" customFormat="false" ht="109.5" hidden="false" customHeight="true" outlineLevel="0" collapsed="false">
      <c r="A416" s="36" t="n">
        <v>411</v>
      </c>
      <c r="B416" s="37" t="n">
        <f aca="false">सारांश!$B$4+A416-1</f>
        <v>46751</v>
      </c>
      <c r="C416" s="36" t="str">
        <f aca="false">CHOOSE(WEEKDAY(B416,2),"सोमवार","मंगलवार","बुधवार","गुरुवार","शुक्रवार","शनिवार","रविवार")</f>
        <v>गुरुवार</v>
      </c>
      <c r="D416" s="36" t="n">
        <f aca="false">IF(A416=1,0,INT((A416-2)/7)+1)</f>
        <v>59</v>
      </c>
      <c r="E416" s="36" t="n">
        <f aca="false">(YEAR(B416)-YEAR(सारांश!$B$4))*12+MONTH(B416)-MONTH(सारांश!$B$4)+IF(DAY(B416)&gt;=DAY(सारांश!$B$4),1,0)</f>
        <v>14</v>
      </c>
      <c r="F416" s="38" t="s">
        <v>20</v>
      </c>
      <c r="G416" s="14" t="s">
        <v>436</v>
      </c>
      <c r="H416" s="32" t="s">
        <v>1146</v>
      </c>
      <c r="I416" s="32" t="s">
        <v>501</v>
      </c>
      <c r="J416" s="48" t="s">
        <v>502</v>
      </c>
      <c r="K416" s="48" t="s">
        <v>265</v>
      </c>
      <c r="L416" s="14" t="s">
        <v>433</v>
      </c>
      <c r="M416" s="32" t="s">
        <v>1147</v>
      </c>
      <c r="N416" s="32" t="s">
        <v>284</v>
      </c>
      <c r="O416" s="32" t="s">
        <v>1061</v>
      </c>
      <c r="P416" s="32" t="s">
        <v>1062</v>
      </c>
      <c r="Q416" s="14" t="n">
        <v>7.5</v>
      </c>
      <c r="R416" s="32" t="s">
        <v>441</v>
      </c>
      <c r="S416" s="32" t="s">
        <v>435</v>
      </c>
      <c r="T416" s="49" t="s">
        <v>258</v>
      </c>
      <c r="U416" s="49" t="s">
        <v>259</v>
      </c>
      <c r="V416" s="49" t="s">
        <v>259</v>
      </c>
      <c r="W416" s="14" t="s">
        <v>260</v>
      </c>
      <c r="X416" s="14"/>
    </row>
    <row r="417" customFormat="false" ht="109.5" hidden="false" customHeight="true" outlineLevel="0" collapsed="false">
      <c r="A417" s="36" t="n">
        <v>412</v>
      </c>
      <c r="B417" s="37" t="n">
        <f aca="false">सारांश!$B$4+A417-1</f>
        <v>46752</v>
      </c>
      <c r="C417" s="36" t="str">
        <f aca="false">CHOOSE(WEEKDAY(B417,2),"सोमवार","मंगलवार","बुधवार","गुरुवार","शुक्रवार","शनिवार","रविवार")</f>
        <v>शुक्रवार</v>
      </c>
      <c r="D417" s="36" t="n">
        <f aca="false">IF(A417=1,0,INT((A417-2)/7)+1)</f>
        <v>59</v>
      </c>
      <c r="E417" s="36" t="n">
        <f aca="false">(YEAR(B417)-YEAR(सारांश!$B$4))*12+MONTH(B417)-MONTH(सारांश!$B$4)+IF(DAY(B417)&gt;=DAY(सारांश!$B$4),1,0)</f>
        <v>14</v>
      </c>
      <c r="F417" s="38" t="s">
        <v>20</v>
      </c>
      <c r="G417" s="14" t="s">
        <v>436</v>
      </c>
      <c r="H417" s="32" t="s">
        <v>1148</v>
      </c>
      <c r="I417" s="32" t="s">
        <v>501</v>
      </c>
      <c r="J417" s="48" t="s">
        <v>502</v>
      </c>
      <c r="K417" s="48" t="s">
        <v>265</v>
      </c>
      <c r="L417" s="14" t="s">
        <v>433</v>
      </c>
      <c r="M417" s="32" t="s">
        <v>1149</v>
      </c>
      <c r="N417" s="32" t="s">
        <v>287</v>
      </c>
      <c r="O417" s="32" t="s">
        <v>1061</v>
      </c>
      <c r="P417" s="32" t="s">
        <v>1062</v>
      </c>
      <c r="Q417" s="14" t="n">
        <v>7.5</v>
      </c>
      <c r="R417" s="32" t="s">
        <v>441</v>
      </c>
      <c r="S417" s="32" t="s">
        <v>435</v>
      </c>
      <c r="T417" s="49" t="s">
        <v>258</v>
      </c>
      <c r="U417" s="49" t="s">
        <v>259</v>
      </c>
      <c r="V417" s="49" t="s">
        <v>259</v>
      </c>
      <c r="W417" s="14" t="s">
        <v>260</v>
      </c>
      <c r="X417" s="14"/>
    </row>
    <row r="418" customFormat="false" ht="109.5" hidden="false" customHeight="true" outlineLevel="0" collapsed="false">
      <c r="A418" s="36" t="n">
        <v>413</v>
      </c>
      <c r="B418" s="37" t="n">
        <f aca="false">सारांश!$B$4+A418-1</f>
        <v>46753</v>
      </c>
      <c r="C418" s="36" t="str">
        <f aca="false">CHOOSE(WEEKDAY(B418,2),"सोमवार","मंगलवार","बुधवार","गुरुवार","शुक्रवार","शनिवार","रविवार")</f>
        <v>शनिवार</v>
      </c>
      <c r="D418" s="36" t="n">
        <f aca="false">IF(A418=1,0,INT((A418-2)/7)+1)</f>
        <v>59</v>
      </c>
      <c r="E418" s="36" t="n">
        <f aca="false">(YEAR(B418)-YEAR(सारांश!$B$4))*12+MONTH(B418)-MONTH(सारांश!$B$4)+IF(DAY(B418)&gt;=DAY(सारांश!$B$4),1,0)</f>
        <v>14</v>
      </c>
      <c r="F418" s="38" t="s">
        <v>20</v>
      </c>
      <c r="G418" s="14" t="s">
        <v>436</v>
      </c>
      <c r="H418" s="32" t="s">
        <v>1150</v>
      </c>
      <c r="I418" s="32" t="s">
        <v>509</v>
      </c>
      <c r="J418" s="48" t="s">
        <v>510</v>
      </c>
      <c r="K418" s="48" t="s">
        <v>265</v>
      </c>
      <c r="L418" s="14" t="s">
        <v>433</v>
      </c>
      <c r="M418" s="32" t="s">
        <v>1151</v>
      </c>
      <c r="N418" s="32" t="s">
        <v>290</v>
      </c>
      <c r="O418" s="32" t="s">
        <v>1061</v>
      </c>
      <c r="P418" s="32" t="s">
        <v>1062</v>
      </c>
      <c r="Q418" s="14" t="n">
        <v>7.5</v>
      </c>
      <c r="R418" s="32" t="s">
        <v>441</v>
      </c>
      <c r="S418" s="32" t="s">
        <v>435</v>
      </c>
      <c r="T418" s="49" t="s">
        <v>258</v>
      </c>
      <c r="U418" s="49" t="s">
        <v>259</v>
      </c>
      <c r="V418" s="49" t="s">
        <v>259</v>
      </c>
      <c r="W418" s="14" t="s">
        <v>260</v>
      </c>
      <c r="X418" s="14"/>
    </row>
    <row r="419" customFormat="false" ht="93" hidden="false" customHeight="true" outlineLevel="0" collapsed="false">
      <c r="A419" s="50" t="n">
        <v>414</v>
      </c>
      <c r="B419" s="51" t="n">
        <f aca="false">सारांश!$B$4+A419-1</f>
        <v>46754</v>
      </c>
      <c r="C419" s="50" t="str">
        <f aca="false">CHOOSE(WEEKDAY(B419,2),"सोमवार","मंगलवार","बुधवार","गुरुवार","शुक्रवार","शनिवार","रविवार")</f>
        <v>रविवार</v>
      </c>
      <c r="D419" s="50" t="n">
        <f aca="false">IF(A419=1,0,INT((A419-2)/7)+1)</f>
        <v>59</v>
      </c>
      <c r="E419" s="50" t="n">
        <f aca="false">(YEAR(B419)-YEAR(सारांश!$B$4))*12+MONTH(B419)-MONTH(सारांश!$B$4)+IF(DAY(B419)&gt;=DAY(सारांश!$B$4),1,0)</f>
        <v>14</v>
      </c>
      <c r="F419" s="52" t="s">
        <v>20</v>
      </c>
      <c r="G419" s="50" t="s">
        <v>291</v>
      </c>
      <c r="H419" s="52" t="s">
        <v>127</v>
      </c>
      <c r="I419" s="52" t="s">
        <v>1152</v>
      </c>
      <c r="J419" s="53" t="s">
        <v>293</v>
      </c>
      <c r="K419" s="53" t="s">
        <v>294</v>
      </c>
      <c r="L419" s="50" t="s">
        <v>295</v>
      </c>
      <c r="M419" s="52" t="s">
        <v>296</v>
      </c>
      <c r="N419" s="52" t="s">
        <v>297</v>
      </c>
      <c r="O419" s="52" t="s">
        <v>1074</v>
      </c>
      <c r="P419" s="52" t="s">
        <v>299</v>
      </c>
      <c r="Q419" s="50" t="n">
        <v>6</v>
      </c>
      <c r="R419" s="52" t="s">
        <v>300</v>
      </c>
      <c r="S419" s="52" t="s">
        <v>257</v>
      </c>
      <c r="T419" s="54" t="s">
        <v>258</v>
      </c>
      <c r="U419" s="54" t="s">
        <v>259</v>
      </c>
      <c r="V419" s="54" t="s">
        <v>259</v>
      </c>
      <c r="W419" s="50" t="s">
        <v>260</v>
      </c>
      <c r="X419" s="50"/>
    </row>
    <row r="420" customFormat="false" ht="126.75" hidden="false" customHeight="true" outlineLevel="0" collapsed="false">
      <c r="A420" s="36" t="n">
        <v>415</v>
      </c>
      <c r="B420" s="37" t="n">
        <f aca="false">सारांश!$B$4+A420-1</f>
        <v>46755</v>
      </c>
      <c r="C420" s="36" t="str">
        <f aca="false">CHOOSE(WEEKDAY(B420,2),"सोमवार","मंगलवार","बुधवार","गुरुवार","शुक्रवार","शनिवार","रविवार")</f>
        <v>सोमवार</v>
      </c>
      <c r="D420" s="36" t="n">
        <f aca="false">IF(A420=1,0,INT((A420-2)/7)+1)</f>
        <v>60</v>
      </c>
      <c r="E420" s="36" t="n">
        <f aca="false">(YEAR(B420)-YEAR(सारांश!$B$4))*12+MONTH(B420)-MONTH(सारांश!$B$4)+IF(DAY(B420)&gt;=DAY(सारांश!$B$4),1,0)</f>
        <v>14</v>
      </c>
      <c r="F420" s="38" t="s">
        <v>20</v>
      </c>
      <c r="G420" s="14" t="s">
        <v>436</v>
      </c>
      <c r="H420" s="32" t="s">
        <v>1153</v>
      </c>
      <c r="I420" s="32" t="s">
        <v>518</v>
      </c>
      <c r="J420" s="48" t="s">
        <v>519</v>
      </c>
      <c r="K420" s="48" t="s">
        <v>265</v>
      </c>
      <c r="L420" s="14" t="s">
        <v>433</v>
      </c>
      <c r="M420" s="32" t="s">
        <v>1154</v>
      </c>
      <c r="N420" s="32" t="s">
        <v>268</v>
      </c>
      <c r="O420" s="32" t="s">
        <v>1061</v>
      </c>
      <c r="P420" s="32" t="s">
        <v>1062</v>
      </c>
      <c r="Q420" s="14" t="n">
        <v>7.5</v>
      </c>
      <c r="R420" s="32" t="s">
        <v>441</v>
      </c>
      <c r="S420" s="32" t="s">
        <v>435</v>
      </c>
      <c r="T420" s="49" t="s">
        <v>258</v>
      </c>
      <c r="U420" s="49" t="s">
        <v>259</v>
      </c>
      <c r="V420" s="49" t="s">
        <v>259</v>
      </c>
      <c r="W420" s="14" t="s">
        <v>260</v>
      </c>
      <c r="X420" s="14"/>
    </row>
    <row r="421" customFormat="false" ht="126.75" hidden="false" customHeight="true" outlineLevel="0" collapsed="false">
      <c r="A421" s="36" t="n">
        <v>416</v>
      </c>
      <c r="B421" s="37" t="n">
        <f aca="false">सारांश!$B$4+A421-1</f>
        <v>46756</v>
      </c>
      <c r="C421" s="36" t="str">
        <f aca="false">CHOOSE(WEEKDAY(B421,2),"सोमवार","मंगलवार","बुधवार","गुरुवार","शुक्रवार","शनिवार","रविवार")</f>
        <v>मंगलवार</v>
      </c>
      <c r="D421" s="36" t="n">
        <f aca="false">IF(A421=1,0,INT((A421-2)/7)+1)</f>
        <v>60</v>
      </c>
      <c r="E421" s="36" t="n">
        <f aca="false">(YEAR(B421)-YEAR(सारांश!$B$4))*12+MONTH(B421)-MONTH(सारांश!$B$4)+IF(DAY(B421)&gt;=DAY(सारांश!$B$4),1,0)</f>
        <v>14</v>
      </c>
      <c r="F421" s="38" t="s">
        <v>20</v>
      </c>
      <c r="G421" s="14" t="s">
        <v>436</v>
      </c>
      <c r="H421" s="32" t="s">
        <v>1155</v>
      </c>
      <c r="I421" s="32" t="s">
        <v>518</v>
      </c>
      <c r="J421" s="48" t="s">
        <v>519</v>
      </c>
      <c r="K421" s="48" t="s">
        <v>265</v>
      </c>
      <c r="L421" s="14" t="s">
        <v>433</v>
      </c>
      <c r="M421" s="32" t="s">
        <v>1156</v>
      </c>
      <c r="N421" s="32" t="s">
        <v>276</v>
      </c>
      <c r="O421" s="32" t="s">
        <v>1061</v>
      </c>
      <c r="P421" s="32" t="s">
        <v>1062</v>
      </c>
      <c r="Q421" s="14" t="n">
        <v>7.5</v>
      </c>
      <c r="R421" s="32" t="s">
        <v>441</v>
      </c>
      <c r="S421" s="32" t="s">
        <v>435</v>
      </c>
      <c r="T421" s="49" t="s">
        <v>258</v>
      </c>
      <c r="U421" s="49" t="s">
        <v>259</v>
      </c>
      <c r="V421" s="49" t="s">
        <v>259</v>
      </c>
      <c r="W421" s="14" t="s">
        <v>260</v>
      </c>
      <c r="X421" s="14"/>
    </row>
    <row r="422" customFormat="false" ht="109.5" hidden="false" customHeight="true" outlineLevel="0" collapsed="false">
      <c r="A422" s="36" t="n">
        <v>417</v>
      </c>
      <c r="B422" s="37" t="n">
        <f aca="false">सारांश!$B$4+A422-1</f>
        <v>46757</v>
      </c>
      <c r="C422" s="36" t="str">
        <f aca="false">CHOOSE(WEEKDAY(B422,2),"सोमवार","मंगलवार","बुधवार","गुरुवार","शुक्रवार","शनिवार","रविवार")</f>
        <v>बुधवार</v>
      </c>
      <c r="D422" s="36" t="n">
        <f aca="false">IF(A422=1,0,INT((A422-2)/7)+1)</f>
        <v>60</v>
      </c>
      <c r="E422" s="36" t="n">
        <f aca="false">(YEAR(B422)-YEAR(सारांश!$B$4))*12+MONTH(B422)-MONTH(सारांश!$B$4)+IF(DAY(B422)&gt;=DAY(सारांश!$B$4),1,0)</f>
        <v>14</v>
      </c>
      <c r="F422" s="38" t="s">
        <v>20</v>
      </c>
      <c r="G422" s="14" t="s">
        <v>436</v>
      </c>
      <c r="H422" s="32" t="s">
        <v>1157</v>
      </c>
      <c r="I422" s="32" t="s">
        <v>526</v>
      </c>
      <c r="J422" s="48" t="s">
        <v>527</v>
      </c>
      <c r="K422" s="48" t="s">
        <v>265</v>
      </c>
      <c r="L422" s="14" t="s">
        <v>433</v>
      </c>
      <c r="M422" s="32" t="s">
        <v>1158</v>
      </c>
      <c r="N422" s="32" t="s">
        <v>279</v>
      </c>
      <c r="O422" s="32" t="s">
        <v>1061</v>
      </c>
      <c r="P422" s="32" t="s">
        <v>1062</v>
      </c>
      <c r="Q422" s="14" t="n">
        <v>7.5</v>
      </c>
      <c r="R422" s="32" t="s">
        <v>441</v>
      </c>
      <c r="S422" s="32" t="s">
        <v>435</v>
      </c>
      <c r="T422" s="49" t="s">
        <v>258</v>
      </c>
      <c r="U422" s="49" t="s">
        <v>259</v>
      </c>
      <c r="V422" s="49" t="s">
        <v>259</v>
      </c>
      <c r="W422" s="14" t="s">
        <v>260</v>
      </c>
      <c r="X422" s="14"/>
    </row>
    <row r="423" customFormat="false" ht="109.5" hidden="false" customHeight="true" outlineLevel="0" collapsed="false">
      <c r="A423" s="36" t="n">
        <v>418</v>
      </c>
      <c r="B423" s="37" t="n">
        <f aca="false">सारांश!$B$4+A423-1</f>
        <v>46758</v>
      </c>
      <c r="C423" s="36" t="str">
        <f aca="false">CHOOSE(WEEKDAY(B423,2),"सोमवार","मंगलवार","बुधवार","गुरुवार","शुक्रवार","शनिवार","रविवार")</f>
        <v>गुरुवार</v>
      </c>
      <c r="D423" s="36" t="n">
        <f aca="false">IF(A423=1,0,INT((A423-2)/7)+1)</f>
        <v>60</v>
      </c>
      <c r="E423" s="36" t="n">
        <f aca="false">(YEAR(B423)-YEAR(सारांश!$B$4))*12+MONTH(B423)-MONTH(सारांश!$B$4)+IF(DAY(B423)&gt;=DAY(सारांश!$B$4),1,0)</f>
        <v>14</v>
      </c>
      <c r="F423" s="38" t="s">
        <v>20</v>
      </c>
      <c r="G423" s="14" t="s">
        <v>436</v>
      </c>
      <c r="H423" s="32" t="s">
        <v>1159</v>
      </c>
      <c r="I423" s="32" t="s">
        <v>526</v>
      </c>
      <c r="J423" s="48" t="s">
        <v>527</v>
      </c>
      <c r="K423" s="48" t="s">
        <v>265</v>
      </c>
      <c r="L423" s="14" t="s">
        <v>433</v>
      </c>
      <c r="M423" s="32" t="s">
        <v>1160</v>
      </c>
      <c r="N423" s="32" t="s">
        <v>284</v>
      </c>
      <c r="O423" s="32" t="s">
        <v>1061</v>
      </c>
      <c r="P423" s="32" t="s">
        <v>1062</v>
      </c>
      <c r="Q423" s="14" t="n">
        <v>7.5</v>
      </c>
      <c r="R423" s="32" t="s">
        <v>441</v>
      </c>
      <c r="S423" s="32" t="s">
        <v>435</v>
      </c>
      <c r="T423" s="49" t="s">
        <v>258</v>
      </c>
      <c r="U423" s="49" t="s">
        <v>259</v>
      </c>
      <c r="V423" s="49" t="s">
        <v>259</v>
      </c>
      <c r="W423" s="14" t="s">
        <v>260</v>
      </c>
      <c r="X423" s="14"/>
    </row>
    <row r="424" customFormat="false" ht="126.75" hidden="false" customHeight="true" outlineLevel="0" collapsed="false">
      <c r="A424" s="36" t="n">
        <v>419</v>
      </c>
      <c r="B424" s="37" t="n">
        <f aca="false">सारांश!$B$4+A424-1</f>
        <v>46759</v>
      </c>
      <c r="C424" s="36" t="str">
        <f aca="false">CHOOSE(WEEKDAY(B424,2),"सोमवार","मंगलवार","बुधवार","गुरुवार","शुक्रवार","शनिवार","रविवार")</f>
        <v>शुक्रवार</v>
      </c>
      <c r="D424" s="36" t="n">
        <f aca="false">IF(A424=1,0,INT((A424-2)/7)+1)</f>
        <v>60</v>
      </c>
      <c r="E424" s="36" t="n">
        <f aca="false">(YEAR(B424)-YEAR(सारांश!$B$4))*12+MONTH(B424)-MONTH(सारांश!$B$4)+IF(DAY(B424)&gt;=DAY(सारांश!$B$4),1,0)</f>
        <v>14</v>
      </c>
      <c r="F424" s="38" t="s">
        <v>20</v>
      </c>
      <c r="G424" s="14" t="s">
        <v>536</v>
      </c>
      <c r="H424" s="32" t="s">
        <v>1161</v>
      </c>
      <c r="I424" s="32" t="s">
        <v>538</v>
      </c>
      <c r="J424" s="48" t="s">
        <v>539</v>
      </c>
      <c r="K424" s="48" t="s">
        <v>540</v>
      </c>
      <c r="L424" s="14" t="s">
        <v>433</v>
      </c>
      <c r="M424" s="32" t="s">
        <v>1162</v>
      </c>
      <c r="N424" s="32" t="s">
        <v>287</v>
      </c>
      <c r="O424" s="32" t="s">
        <v>1061</v>
      </c>
      <c r="P424" s="32" t="s">
        <v>1062</v>
      </c>
      <c r="Q424" s="14" t="n">
        <v>7.5</v>
      </c>
      <c r="R424" s="32" t="s">
        <v>542</v>
      </c>
      <c r="S424" s="32" t="s">
        <v>435</v>
      </c>
      <c r="T424" s="49" t="s">
        <v>258</v>
      </c>
      <c r="U424" s="49" t="s">
        <v>259</v>
      </c>
      <c r="V424" s="49" t="s">
        <v>259</v>
      </c>
      <c r="W424" s="14" t="s">
        <v>260</v>
      </c>
      <c r="X424" s="14"/>
    </row>
    <row r="425" customFormat="false" ht="126.75" hidden="false" customHeight="true" outlineLevel="0" collapsed="false">
      <c r="A425" s="36" t="n">
        <v>420</v>
      </c>
      <c r="B425" s="37" t="n">
        <f aca="false">सारांश!$B$4+A425-1</f>
        <v>46760</v>
      </c>
      <c r="C425" s="36" t="str">
        <f aca="false">CHOOSE(WEEKDAY(B425,2),"सोमवार","मंगलवार","बुधवार","गुरुवार","शुक्रवार","शनिवार","रविवार")</f>
        <v>शनिवार</v>
      </c>
      <c r="D425" s="36" t="n">
        <f aca="false">IF(A425=1,0,INT((A425-2)/7)+1)</f>
        <v>60</v>
      </c>
      <c r="E425" s="36" t="n">
        <f aca="false">(YEAR(B425)-YEAR(सारांश!$B$4))*12+MONTH(B425)-MONTH(सारांश!$B$4)+IF(DAY(B425)&gt;=DAY(सारांश!$B$4),1,0)</f>
        <v>14</v>
      </c>
      <c r="F425" s="38" t="s">
        <v>20</v>
      </c>
      <c r="G425" s="14" t="s">
        <v>536</v>
      </c>
      <c r="H425" s="32" t="s">
        <v>1163</v>
      </c>
      <c r="I425" s="32" t="s">
        <v>538</v>
      </c>
      <c r="J425" s="48" t="s">
        <v>539</v>
      </c>
      <c r="K425" s="48" t="s">
        <v>540</v>
      </c>
      <c r="L425" s="14" t="s">
        <v>433</v>
      </c>
      <c r="M425" s="32" t="s">
        <v>1164</v>
      </c>
      <c r="N425" s="32" t="s">
        <v>290</v>
      </c>
      <c r="O425" s="32" t="s">
        <v>1061</v>
      </c>
      <c r="P425" s="32" t="s">
        <v>1062</v>
      </c>
      <c r="Q425" s="14" t="n">
        <v>7.5</v>
      </c>
      <c r="R425" s="32" t="s">
        <v>542</v>
      </c>
      <c r="S425" s="32" t="s">
        <v>435</v>
      </c>
      <c r="T425" s="49" t="s">
        <v>258</v>
      </c>
      <c r="U425" s="49" t="s">
        <v>259</v>
      </c>
      <c r="V425" s="49" t="s">
        <v>259</v>
      </c>
      <c r="W425" s="14" t="s">
        <v>260</v>
      </c>
      <c r="X425" s="14"/>
    </row>
    <row r="426" customFormat="false" ht="93" hidden="false" customHeight="true" outlineLevel="0" collapsed="false">
      <c r="A426" s="50" t="n">
        <v>421</v>
      </c>
      <c r="B426" s="51" t="n">
        <f aca="false">सारांश!$B$4+A426-1</f>
        <v>46761</v>
      </c>
      <c r="C426" s="50" t="str">
        <f aca="false">CHOOSE(WEEKDAY(B426,2),"सोमवार","मंगलवार","बुधवार","गुरुवार","शुक्रवार","शनिवार","रविवार")</f>
        <v>रविवार</v>
      </c>
      <c r="D426" s="50" t="n">
        <f aca="false">IF(A426=1,0,INT((A426-2)/7)+1)</f>
        <v>60</v>
      </c>
      <c r="E426" s="50" t="n">
        <f aca="false">(YEAR(B426)-YEAR(सारांश!$B$4))*12+MONTH(B426)-MONTH(सारांश!$B$4)+IF(DAY(B426)&gt;=DAY(सारांश!$B$4),1,0)</f>
        <v>14</v>
      </c>
      <c r="F426" s="52" t="s">
        <v>20</v>
      </c>
      <c r="G426" s="50" t="s">
        <v>291</v>
      </c>
      <c r="H426" s="52" t="s">
        <v>135</v>
      </c>
      <c r="I426" s="52" t="s">
        <v>1165</v>
      </c>
      <c r="J426" s="53" t="s">
        <v>293</v>
      </c>
      <c r="K426" s="53" t="s">
        <v>294</v>
      </c>
      <c r="L426" s="50" t="s">
        <v>295</v>
      </c>
      <c r="M426" s="52" t="s">
        <v>296</v>
      </c>
      <c r="N426" s="52" t="s">
        <v>297</v>
      </c>
      <c r="O426" s="52" t="s">
        <v>1074</v>
      </c>
      <c r="P426" s="52" t="s">
        <v>299</v>
      </c>
      <c r="Q426" s="50" t="n">
        <v>6</v>
      </c>
      <c r="R426" s="52" t="s">
        <v>300</v>
      </c>
      <c r="S426" s="52" t="s">
        <v>257</v>
      </c>
      <c r="T426" s="54" t="s">
        <v>258</v>
      </c>
      <c r="U426" s="54" t="s">
        <v>259</v>
      </c>
      <c r="V426" s="54" t="s">
        <v>259</v>
      </c>
      <c r="W426" s="50" t="s">
        <v>260</v>
      </c>
      <c r="X426" s="50"/>
    </row>
    <row r="427" customFormat="false" ht="126.75" hidden="false" customHeight="true" outlineLevel="0" collapsed="false">
      <c r="A427" s="36" t="n">
        <v>422</v>
      </c>
      <c r="B427" s="37" t="n">
        <f aca="false">सारांश!$B$4+A427-1</f>
        <v>46762</v>
      </c>
      <c r="C427" s="36" t="str">
        <f aca="false">CHOOSE(WEEKDAY(B427,2),"सोमवार","मंगलवार","बुधवार","गुरुवार","शुक्रवार","शनिवार","रविवार")</f>
        <v>सोमवार</v>
      </c>
      <c r="D427" s="36" t="n">
        <f aca="false">IF(A427=1,0,INT((A427-2)/7)+1)</f>
        <v>61</v>
      </c>
      <c r="E427" s="36" t="n">
        <f aca="false">(YEAR(B427)-YEAR(सारांश!$B$4))*12+MONTH(B427)-MONTH(सारांश!$B$4)+IF(DAY(B427)&gt;=DAY(सारांश!$B$4),1,0)</f>
        <v>14</v>
      </c>
      <c r="F427" s="38" t="s">
        <v>20</v>
      </c>
      <c r="G427" s="14" t="s">
        <v>536</v>
      </c>
      <c r="H427" s="32" t="s">
        <v>1166</v>
      </c>
      <c r="I427" s="32" t="s">
        <v>548</v>
      </c>
      <c r="J427" s="48" t="s">
        <v>549</v>
      </c>
      <c r="K427" s="48" t="s">
        <v>540</v>
      </c>
      <c r="L427" s="14" t="s">
        <v>433</v>
      </c>
      <c r="M427" s="32" t="s">
        <v>1167</v>
      </c>
      <c r="N427" s="32" t="s">
        <v>268</v>
      </c>
      <c r="O427" s="32" t="s">
        <v>1061</v>
      </c>
      <c r="P427" s="32" t="s">
        <v>1062</v>
      </c>
      <c r="Q427" s="14" t="n">
        <v>7.5</v>
      </c>
      <c r="R427" s="32" t="s">
        <v>542</v>
      </c>
      <c r="S427" s="32" t="s">
        <v>435</v>
      </c>
      <c r="T427" s="49" t="s">
        <v>258</v>
      </c>
      <c r="U427" s="49" t="s">
        <v>259</v>
      </c>
      <c r="V427" s="49" t="s">
        <v>259</v>
      </c>
      <c r="W427" s="14" t="s">
        <v>260</v>
      </c>
      <c r="X427" s="14"/>
    </row>
    <row r="428" customFormat="false" ht="126.75" hidden="false" customHeight="true" outlineLevel="0" collapsed="false">
      <c r="A428" s="36" t="n">
        <v>423</v>
      </c>
      <c r="B428" s="37" t="n">
        <f aca="false">सारांश!$B$4+A428-1</f>
        <v>46763</v>
      </c>
      <c r="C428" s="36" t="str">
        <f aca="false">CHOOSE(WEEKDAY(B428,2),"सोमवार","मंगलवार","बुधवार","गुरुवार","शुक्रवार","शनिवार","रविवार")</f>
        <v>मंगलवार</v>
      </c>
      <c r="D428" s="36" t="n">
        <f aca="false">IF(A428=1,0,INT((A428-2)/7)+1)</f>
        <v>61</v>
      </c>
      <c r="E428" s="36" t="n">
        <f aca="false">(YEAR(B428)-YEAR(सारांश!$B$4))*12+MONTH(B428)-MONTH(सारांश!$B$4)+IF(DAY(B428)&gt;=DAY(सारांश!$B$4),1,0)</f>
        <v>14</v>
      </c>
      <c r="F428" s="38" t="s">
        <v>20</v>
      </c>
      <c r="G428" s="14" t="s">
        <v>536</v>
      </c>
      <c r="H428" s="32" t="s">
        <v>1168</v>
      </c>
      <c r="I428" s="32" t="s">
        <v>548</v>
      </c>
      <c r="J428" s="48" t="s">
        <v>549</v>
      </c>
      <c r="K428" s="48" t="s">
        <v>540</v>
      </c>
      <c r="L428" s="14" t="s">
        <v>433</v>
      </c>
      <c r="M428" s="32" t="s">
        <v>1169</v>
      </c>
      <c r="N428" s="32" t="s">
        <v>276</v>
      </c>
      <c r="O428" s="32" t="s">
        <v>1061</v>
      </c>
      <c r="P428" s="32" t="s">
        <v>1062</v>
      </c>
      <c r="Q428" s="14" t="n">
        <v>7.5</v>
      </c>
      <c r="R428" s="32" t="s">
        <v>542</v>
      </c>
      <c r="S428" s="32" t="s">
        <v>435</v>
      </c>
      <c r="T428" s="49" t="s">
        <v>258</v>
      </c>
      <c r="U428" s="49" t="s">
        <v>259</v>
      </c>
      <c r="V428" s="49" t="s">
        <v>259</v>
      </c>
      <c r="W428" s="14" t="s">
        <v>260</v>
      </c>
      <c r="X428" s="14"/>
    </row>
    <row r="429" customFormat="false" ht="144" hidden="false" customHeight="true" outlineLevel="0" collapsed="false">
      <c r="A429" s="36" t="n">
        <v>424</v>
      </c>
      <c r="B429" s="37" t="n">
        <f aca="false">सारांश!$B$4+A429-1</f>
        <v>46764</v>
      </c>
      <c r="C429" s="36" t="str">
        <f aca="false">CHOOSE(WEEKDAY(B429,2),"सोमवार","मंगलवार","बुधवार","गुरुवार","शुक्रवार","शनिवार","रविवार")</f>
        <v>बुधवार</v>
      </c>
      <c r="D429" s="36" t="n">
        <f aca="false">IF(A429=1,0,INT((A429-2)/7)+1)</f>
        <v>61</v>
      </c>
      <c r="E429" s="36" t="n">
        <f aca="false">(YEAR(B429)-YEAR(सारांश!$B$4))*12+MONTH(B429)-MONTH(सारांश!$B$4)+IF(DAY(B429)&gt;=DAY(सारांश!$B$4),1,0)</f>
        <v>14</v>
      </c>
      <c r="F429" s="38" t="s">
        <v>20</v>
      </c>
      <c r="G429" s="14" t="s">
        <v>536</v>
      </c>
      <c r="H429" s="32" t="s">
        <v>1170</v>
      </c>
      <c r="I429" s="32" t="s">
        <v>557</v>
      </c>
      <c r="J429" s="48" t="s">
        <v>558</v>
      </c>
      <c r="K429" s="48" t="s">
        <v>540</v>
      </c>
      <c r="L429" s="14" t="s">
        <v>561</v>
      </c>
      <c r="M429" s="32" t="s">
        <v>1171</v>
      </c>
      <c r="N429" s="32" t="s">
        <v>279</v>
      </c>
      <c r="O429" s="32" t="s">
        <v>1061</v>
      </c>
      <c r="P429" s="32" t="s">
        <v>1062</v>
      </c>
      <c r="Q429" s="14" t="n">
        <v>7.5</v>
      </c>
      <c r="R429" s="32" t="s">
        <v>542</v>
      </c>
      <c r="S429" s="32" t="s">
        <v>563</v>
      </c>
      <c r="T429" s="49" t="s">
        <v>258</v>
      </c>
      <c r="U429" s="49" t="s">
        <v>259</v>
      </c>
      <c r="V429" s="49" t="s">
        <v>259</v>
      </c>
      <c r="W429" s="14" t="s">
        <v>260</v>
      </c>
      <c r="X429" s="14"/>
    </row>
    <row r="430" customFormat="false" ht="126.75" hidden="false" customHeight="true" outlineLevel="0" collapsed="false">
      <c r="A430" s="36" t="n">
        <v>425</v>
      </c>
      <c r="B430" s="37" t="n">
        <f aca="false">सारांश!$B$4+A430-1</f>
        <v>46765</v>
      </c>
      <c r="C430" s="36" t="str">
        <f aca="false">CHOOSE(WEEKDAY(B430,2),"सोमवार","मंगलवार","बुधवार","गुरुवार","शुक्रवार","शनिवार","रविवार")</f>
        <v>गुरुवार</v>
      </c>
      <c r="D430" s="36" t="n">
        <f aca="false">IF(A430=1,0,INT((A430-2)/7)+1)</f>
        <v>61</v>
      </c>
      <c r="E430" s="36" t="n">
        <f aca="false">(YEAR(B430)-YEAR(सारांश!$B$4))*12+MONTH(B430)-MONTH(सारांश!$B$4)+IF(DAY(B430)&gt;=DAY(सारांश!$B$4),1,0)</f>
        <v>14</v>
      </c>
      <c r="F430" s="38" t="s">
        <v>20</v>
      </c>
      <c r="G430" s="14" t="s">
        <v>536</v>
      </c>
      <c r="H430" s="32" t="s">
        <v>1172</v>
      </c>
      <c r="I430" s="32" t="s">
        <v>567</v>
      </c>
      <c r="J430" s="48" t="s">
        <v>568</v>
      </c>
      <c r="K430" s="48" t="s">
        <v>540</v>
      </c>
      <c r="L430" s="14" t="s">
        <v>561</v>
      </c>
      <c r="M430" s="32" t="s">
        <v>1173</v>
      </c>
      <c r="N430" s="32" t="s">
        <v>284</v>
      </c>
      <c r="O430" s="32" t="s">
        <v>1061</v>
      </c>
      <c r="P430" s="32" t="s">
        <v>1062</v>
      </c>
      <c r="Q430" s="14" t="n">
        <v>7.5</v>
      </c>
      <c r="R430" s="32" t="s">
        <v>542</v>
      </c>
      <c r="S430" s="32" t="s">
        <v>563</v>
      </c>
      <c r="T430" s="49" t="s">
        <v>258</v>
      </c>
      <c r="U430" s="49" t="s">
        <v>259</v>
      </c>
      <c r="V430" s="49" t="s">
        <v>259</v>
      </c>
      <c r="W430" s="14" t="s">
        <v>260</v>
      </c>
      <c r="X430" s="14"/>
    </row>
    <row r="431" customFormat="false" ht="126.75" hidden="false" customHeight="true" outlineLevel="0" collapsed="false">
      <c r="A431" s="36" t="n">
        <v>426</v>
      </c>
      <c r="B431" s="37" t="n">
        <f aca="false">सारांश!$B$4+A431-1</f>
        <v>46766</v>
      </c>
      <c r="C431" s="36" t="str">
        <f aca="false">CHOOSE(WEEKDAY(B431,2),"सोमवार","मंगलवार","बुधवार","गुरुवार","शुक्रवार","शनिवार","रविवार")</f>
        <v>शुक्रवार</v>
      </c>
      <c r="D431" s="36" t="n">
        <f aca="false">IF(A431=1,0,INT((A431-2)/7)+1)</f>
        <v>61</v>
      </c>
      <c r="E431" s="36" t="n">
        <f aca="false">(YEAR(B431)-YEAR(सारांश!$B$4))*12+MONTH(B431)-MONTH(सारांश!$B$4)+IF(DAY(B431)&gt;=DAY(सारांश!$B$4),1,0)</f>
        <v>14</v>
      </c>
      <c r="F431" s="38" t="s">
        <v>20</v>
      </c>
      <c r="G431" s="14" t="s">
        <v>536</v>
      </c>
      <c r="H431" s="32" t="s">
        <v>1174</v>
      </c>
      <c r="I431" s="32" t="s">
        <v>567</v>
      </c>
      <c r="J431" s="48" t="s">
        <v>568</v>
      </c>
      <c r="K431" s="48" t="s">
        <v>540</v>
      </c>
      <c r="L431" s="14" t="s">
        <v>561</v>
      </c>
      <c r="M431" s="32" t="s">
        <v>1175</v>
      </c>
      <c r="N431" s="32" t="s">
        <v>287</v>
      </c>
      <c r="O431" s="32" t="s">
        <v>1061</v>
      </c>
      <c r="P431" s="32" t="s">
        <v>1062</v>
      </c>
      <c r="Q431" s="14" t="n">
        <v>7.5</v>
      </c>
      <c r="R431" s="32" t="s">
        <v>542</v>
      </c>
      <c r="S431" s="32" t="s">
        <v>563</v>
      </c>
      <c r="T431" s="49" t="s">
        <v>258</v>
      </c>
      <c r="U431" s="49" t="s">
        <v>259</v>
      </c>
      <c r="V431" s="49" t="s">
        <v>259</v>
      </c>
      <c r="W431" s="14" t="s">
        <v>260</v>
      </c>
      <c r="X431" s="14"/>
    </row>
    <row r="432" customFormat="false" ht="109.5" hidden="false" customHeight="true" outlineLevel="0" collapsed="false">
      <c r="A432" s="36" t="n">
        <v>427</v>
      </c>
      <c r="B432" s="37" t="n">
        <f aca="false">सारांश!$B$4+A432-1</f>
        <v>46767</v>
      </c>
      <c r="C432" s="36" t="str">
        <f aca="false">CHOOSE(WEEKDAY(B432,2),"सोमवार","मंगलवार","बुधवार","गुरुवार","शुक्रवार","शनिवार","रविवार")</f>
        <v>शनिवार</v>
      </c>
      <c r="D432" s="36" t="n">
        <f aca="false">IF(A432=1,0,INT((A432-2)/7)+1)</f>
        <v>61</v>
      </c>
      <c r="E432" s="36" t="n">
        <f aca="false">(YEAR(B432)-YEAR(सारांश!$B$4))*12+MONTH(B432)-MONTH(सारांश!$B$4)+IF(DAY(B432)&gt;=DAY(सारांश!$B$4),1,0)</f>
        <v>15</v>
      </c>
      <c r="F432" s="38" t="s">
        <v>20</v>
      </c>
      <c r="G432" s="14" t="s">
        <v>536</v>
      </c>
      <c r="H432" s="32" t="s">
        <v>1176</v>
      </c>
      <c r="I432" s="32" t="s">
        <v>576</v>
      </c>
      <c r="J432" s="48" t="s">
        <v>577</v>
      </c>
      <c r="K432" s="48" t="s">
        <v>540</v>
      </c>
      <c r="L432" s="14" t="s">
        <v>561</v>
      </c>
      <c r="M432" s="32" t="s">
        <v>1177</v>
      </c>
      <c r="N432" s="32" t="s">
        <v>290</v>
      </c>
      <c r="O432" s="32" t="s">
        <v>1061</v>
      </c>
      <c r="P432" s="32" t="s">
        <v>1062</v>
      </c>
      <c r="Q432" s="14" t="n">
        <v>7.5</v>
      </c>
      <c r="R432" s="32" t="s">
        <v>542</v>
      </c>
      <c r="S432" s="32" t="s">
        <v>563</v>
      </c>
      <c r="T432" s="49" t="s">
        <v>258</v>
      </c>
      <c r="U432" s="49" t="s">
        <v>259</v>
      </c>
      <c r="V432" s="49" t="s">
        <v>259</v>
      </c>
      <c r="W432" s="14" t="s">
        <v>260</v>
      </c>
      <c r="X432" s="14"/>
    </row>
    <row r="433" customFormat="false" ht="93" hidden="false" customHeight="true" outlineLevel="0" collapsed="false">
      <c r="A433" s="50" t="n">
        <v>428</v>
      </c>
      <c r="B433" s="51" t="n">
        <f aca="false">सारांश!$B$4+A433-1</f>
        <v>46768</v>
      </c>
      <c r="C433" s="50" t="str">
        <f aca="false">CHOOSE(WEEKDAY(B433,2),"सोमवार","मंगलवार","बुधवार","गुरुवार","शुक्रवार","शनिवार","रविवार")</f>
        <v>रविवार</v>
      </c>
      <c r="D433" s="50" t="n">
        <f aca="false">IF(A433=1,0,INT((A433-2)/7)+1)</f>
        <v>61</v>
      </c>
      <c r="E433" s="50" t="n">
        <f aca="false">(YEAR(B433)-YEAR(सारांश!$B$4))*12+MONTH(B433)-MONTH(सारांश!$B$4)+IF(DAY(B433)&gt;=DAY(सारांश!$B$4),1,0)</f>
        <v>15</v>
      </c>
      <c r="F433" s="52" t="s">
        <v>20</v>
      </c>
      <c r="G433" s="50" t="s">
        <v>291</v>
      </c>
      <c r="H433" s="52" t="s">
        <v>127</v>
      </c>
      <c r="I433" s="52" t="s">
        <v>1178</v>
      </c>
      <c r="J433" s="53" t="s">
        <v>293</v>
      </c>
      <c r="K433" s="53" t="s">
        <v>294</v>
      </c>
      <c r="L433" s="50" t="s">
        <v>295</v>
      </c>
      <c r="M433" s="52" t="s">
        <v>296</v>
      </c>
      <c r="N433" s="52" t="s">
        <v>297</v>
      </c>
      <c r="O433" s="52" t="s">
        <v>1074</v>
      </c>
      <c r="P433" s="52" t="s">
        <v>299</v>
      </c>
      <c r="Q433" s="50" t="n">
        <v>6</v>
      </c>
      <c r="R433" s="52" t="s">
        <v>300</v>
      </c>
      <c r="S433" s="52" t="s">
        <v>257</v>
      </c>
      <c r="T433" s="54" t="s">
        <v>258</v>
      </c>
      <c r="U433" s="54" t="s">
        <v>259</v>
      </c>
      <c r="V433" s="54" t="s">
        <v>259</v>
      </c>
      <c r="W433" s="50" t="s">
        <v>260</v>
      </c>
      <c r="X433" s="50"/>
    </row>
    <row r="434" customFormat="false" ht="109.5" hidden="false" customHeight="true" outlineLevel="0" collapsed="false">
      <c r="A434" s="36" t="n">
        <v>429</v>
      </c>
      <c r="B434" s="37" t="n">
        <f aca="false">सारांश!$B$4+A434-1</f>
        <v>46769</v>
      </c>
      <c r="C434" s="36" t="str">
        <f aca="false">CHOOSE(WEEKDAY(B434,2),"सोमवार","मंगलवार","बुधवार","गुरुवार","शुक्रवार","शनिवार","रविवार")</f>
        <v>सोमवार</v>
      </c>
      <c r="D434" s="36" t="n">
        <f aca="false">IF(A434=1,0,INT((A434-2)/7)+1)</f>
        <v>62</v>
      </c>
      <c r="E434" s="36" t="n">
        <f aca="false">(YEAR(B434)-YEAR(सारांश!$B$4))*12+MONTH(B434)-MONTH(सारांश!$B$4)+IF(DAY(B434)&gt;=DAY(सारांश!$B$4),1,0)</f>
        <v>15</v>
      </c>
      <c r="F434" s="38" t="s">
        <v>20</v>
      </c>
      <c r="G434" s="14" t="s">
        <v>536</v>
      </c>
      <c r="H434" s="32" t="s">
        <v>1179</v>
      </c>
      <c r="I434" s="32" t="s">
        <v>576</v>
      </c>
      <c r="J434" s="48" t="s">
        <v>577</v>
      </c>
      <c r="K434" s="48" t="s">
        <v>540</v>
      </c>
      <c r="L434" s="14" t="s">
        <v>561</v>
      </c>
      <c r="M434" s="32" t="s">
        <v>1180</v>
      </c>
      <c r="N434" s="32" t="s">
        <v>268</v>
      </c>
      <c r="O434" s="32" t="s">
        <v>1061</v>
      </c>
      <c r="P434" s="32" t="s">
        <v>1062</v>
      </c>
      <c r="Q434" s="14" t="n">
        <v>7.5</v>
      </c>
      <c r="R434" s="32" t="s">
        <v>542</v>
      </c>
      <c r="S434" s="32" t="s">
        <v>563</v>
      </c>
      <c r="T434" s="49" t="s">
        <v>258</v>
      </c>
      <c r="U434" s="49" t="s">
        <v>259</v>
      </c>
      <c r="V434" s="49" t="s">
        <v>259</v>
      </c>
      <c r="W434" s="14" t="s">
        <v>260</v>
      </c>
      <c r="X434" s="14"/>
    </row>
    <row r="435" customFormat="false" ht="109.5" hidden="false" customHeight="true" outlineLevel="0" collapsed="false">
      <c r="A435" s="36" t="n">
        <v>430</v>
      </c>
      <c r="B435" s="37" t="n">
        <f aca="false">सारांश!$B$4+A435-1</f>
        <v>46770</v>
      </c>
      <c r="C435" s="36" t="str">
        <f aca="false">CHOOSE(WEEKDAY(B435,2),"सोमवार","मंगलवार","बुधवार","गुरुवार","शुक्रवार","शनिवार","रविवार")</f>
        <v>मंगलवार</v>
      </c>
      <c r="D435" s="36" t="n">
        <f aca="false">IF(A435=1,0,INT((A435-2)/7)+1)</f>
        <v>62</v>
      </c>
      <c r="E435" s="36" t="n">
        <f aca="false">(YEAR(B435)-YEAR(सारांश!$B$4))*12+MONTH(B435)-MONTH(सारांश!$B$4)+IF(DAY(B435)&gt;=DAY(सारांश!$B$4),1,0)</f>
        <v>15</v>
      </c>
      <c r="F435" s="38" t="s">
        <v>20</v>
      </c>
      <c r="G435" s="14" t="s">
        <v>536</v>
      </c>
      <c r="H435" s="32" t="s">
        <v>1181</v>
      </c>
      <c r="I435" s="32" t="s">
        <v>589</v>
      </c>
      <c r="J435" s="48" t="s">
        <v>590</v>
      </c>
      <c r="K435" s="48" t="s">
        <v>540</v>
      </c>
      <c r="L435" s="14" t="s">
        <v>561</v>
      </c>
      <c r="M435" s="32" t="s">
        <v>1182</v>
      </c>
      <c r="N435" s="32" t="s">
        <v>276</v>
      </c>
      <c r="O435" s="32" t="s">
        <v>1061</v>
      </c>
      <c r="P435" s="32" t="s">
        <v>1062</v>
      </c>
      <c r="Q435" s="14" t="n">
        <v>7.5</v>
      </c>
      <c r="R435" s="32" t="s">
        <v>542</v>
      </c>
      <c r="S435" s="32" t="s">
        <v>563</v>
      </c>
      <c r="T435" s="49" t="s">
        <v>258</v>
      </c>
      <c r="U435" s="49" t="s">
        <v>259</v>
      </c>
      <c r="V435" s="49" t="s">
        <v>259</v>
      </c>
      <c r="W435" s="14" t="s">
        <v>260</v>
      </c>
      <c r="X435" s="14"/>
    </row>
    <row r="436" customFormat="false" ht="109.5" hidden="false" customHeight="true" outlineLevel="0" collapsed="false">
      <c r="A436" s="36" t="n">
        <v>431</v>
      </c>
      <c r="B436" s="37" t="n">
        <f aca="false">सारांश!$B$4+A436-1</f>
        <v>46771</v>
      </c>
      <c r="C436" s="36" t="str">
        <f aca="false">CHOOSE(WEEKDAY(B436,2),"सोमवार","मंगलवार","बुधवार","गुरुवार","शुक्रवार","शनिवार","रविवार")</f>
        <v>बुधवार</v>
      </c>
      <c r="D436" s="36" t="n">
        <f aca="false">IF(A436=1,0,INT((A436-2)/7)+1)</f>
        <v>62</v>
      </c>
      <c r="E436" s="36" t="n">
        <f aca="false">(YEAR(B436)-YEAR(सारांश!$B$4))*12+MONTH(B436)-MONTH(सारांश!$B$4)+IF(DAY(B436)&gt;=DAY(सारांश!$B$4),1,0)</f>
        <v>15</v>
      </c>
      <c r="F436" s="38" t="s">
        <v>20</v>
      </c>
      <c r="G436" s="14" t="s">
        <v>536</v>
      </c>
      <c r="H436" s="32" t="s">
        <v>1183</v>
      </c>
      <c r="I436" s="32" t="s">
        <v>589</v>
      </c>
      <c r="J436" s="48" t="s">
        <v>590</v>
      </c>
      <c r="K436" s="48" t="s">
        <v>540</v>
      </c>
      <c r="L436" s="14" t="s">
        <v>561</v>
      </c>
      <c r="M436" s="32" t="s">
        <v>1184</v>
      </c>
      <c r="N436" s="32" t="s">
        <v>279</v>
      </c>
      <c r="O436" s="32" t="s">
        <v>1061</v>
      </c>
      <c r="P436" s="32" t="s">
        <v>1062</v>
      </c>
      <c r="Q436" s="14" t="n">
        <v>7.5</v>
      </c>
      <c r="R436" s="32" t="s">
        <v>542</v>
      </c>
      <c r="S436" s="32" t="s">
        <v>563</v>
      </c>
      <c r="T436" s="49" t="s">
        <v>258</v>
      </c>
      <c r="U436" s="49" t="s">
        <v>259</v>
      </c>
      <c r="V436" s="49" t="s">
        <v>259</v>
      </c>
      <c r="W436" s="14" t="s">
        <v>260</v>
      </c>
      <c r="X436" s="14"/>
    </row>
    <row r="437" customFormat="false" ht="126.75" hidden="false" customHeight="true" outlineLevel="0" collapsed="false">
      <c r="A437" s="36" t="n">
        <v>432</v>
      </c>
      <c r="B437" s="37" t="n">
        <f aca="false">सारांश!$B$4+A437-1</f>
        <v>46772</v>
      </c>
      <c r="C437" s="36" t="str">
        <f aca="false">CHOOSE(WEEKDAY(B437,2),"सोमवार","मंगलवार","बुधवार","गुरुवार","शुक्रवार","शनिवार","रविवार")</f>
        <v>गुरुवार</v>
      </c>
      <c r="D437" s="36" t="n">
        <f aca="false">IF(A437=1,0,INT((A437-2)/7)+1)</f>
        <v>62</v>
      </c>
      <c r="E437" s="36" t="n">
        <f aca="false">(YEAR(B437)-YEAR(सारांश!$B$4))*12+MONTH(B437)-MONTH(सारांश!$B$4)+IF(DAY(B437)&gt;=DAY(सारांश!$B$4),1,0)</f>
        <v>15</v>
      </c>
      <c r="F437" s="38" t="s">
        <v>20</v>
      </c>
      <c r="G437" s="14" t="s">
        <v>536</v>
      </c>
      <c r="H437" s="32" t="s">
        <v>1185</v>
      </c>
      <c r="I437" s="32" t="s">
        <v>597</v>
      </c>
      <c r="J437" s="48" t="s">
        <v>598</v>
      </c>
      <c r="K437" s="48" t="s">
        <v>540</v>
      </c>
      <c r="L437" s="14" t="s">
        <v>561</v>
      </c>
      <c r="M437" s="32" t="s">
        <v>1186</v>
      </c>
      <c r="N437" s="32" t="s">
        <v>284</v>
      </c>
      <c r="O437" s="32" t="s">
        <v>1061</v>
      </c>
      <c r="P437" s="32" t="s">
        <v>1062</v>
      </c>
      <c r="Q437" s="14" t="n">
        <v>7.5</v>
      </c>
      <c r="R437" s="32" t="s">
        <v>542</v>
      </c>
      <c r="S437" s="32" t="s">
        <v>563</v>
      </c>
      <c r="T437" s="49" t="s">
        <v>258</v>
      </c>
      <c r="U437" s="49" t="s">
        <v>259</v>
      </c>
      <c r="V437" s="49" t="s">
        <v>259</v>
      </c>
      <c r="W437" s="14" t="s">
        <v>260</v>
      </c>
      <c r="X437" s="14"/>
    </row>
    <row r="438" customFormat="false" ht="126.75" hidden="false" customHeight="true" outlineLevel="0" collapsed="false">
      <c r="A438" s="36" t="n">
        <v>433</v>
      </c>
      <c r="B438" s="37" t="n">
        <f aca="false">सारांश!$B$4+A438-1</f>
        <v>46773</v>
      </c>
      <c r="C438" s="36" t="str">
        <f aca="false">CHOOSE(WEEKDAY(B438,2),"सोमवार","मंगलवार","बुधवार","गुरुवार","शुक्रवार","शनिवार","रविवार")</f>
        <v>शुक्रवार</v>
      </c>
      <c r="D438" s="36" t="n">
        <f aca="false">IF(A438=1,0,INT((A438-2)/7)+1)</f>
        <v>62</v>
      </c>
      <c r="E438" s="36" t="n">
        <f aca="false">(YEAR(B438)-YEAR(सारांश!$B$4))*12+MONTH(B438)-MONTH(सारांश!$B$4)+IF(DAY(B438)&gt;=DAY(सारांश!$B$4),1,0)</f>
        <v>15</v>
      </c>
      <c r="F438" s="38" t="s">
        <v>20</v>
      </c>
      <c r="G438" s="14" t="s">
        <v>536</v>
      </c>
      <c r="H438" s="32" t="s">
        <v>1187</v>
      </c>
      <c r="I438" s="32" t="s">
        <v>597</v>
      </c>
      <c r="J438" s="48" t="s">
        <v>598</v>
      </c>
      <c r="K438" s="48" t="s">
        <v>540</v>
      </c>
      <c r="L438" s="14" t="s">
        <v>561</v>
      </c>
      <c r="M438" s="32" t="s">
        <v>1188</v>
      </c>
      <c r="N438" s="32" t="s">
        <v>287</v>
      </c>
      <c r="O438" s="32" t="s">
        <v>1061</v>
      </c>
      <c r="P438" s="32" t="s">
        <v>1062</v>
      </c>
      <c r="Q438" s="14" t="n">
        <v>7.5</v>
      </c>
      <c r="R438" s="32" t="s">
        <v>542</v>
      </c>
      <c r="S438" s="32" t="s">
        <v>563</v>
      </c>
      <c r="T438" s="49" t="s">
        <v>258</v>
      </c>
      <c r="U438" s="49" t="s">
        <v>259</v>
      </c>
      <c r="V438" s="49" t="s">
        <v>259</v>
      </c>
      <c r="W438" s="14" t="s">
        <v>260</v>
      </c>
      <c r="X438" s="14"/>
    </row>
    <row r="439" customFormat="false" ht="126.75" hidden="false" customHeight="true" outlineLevel="0" collapsed="false">
      <c r="A439" s="36" t="n">
        <v>434</v>
      </c>
      <c r="B439" s="37" t="n">
        <f aca="false">सारांश!$B$4+A439-1</f>
        <v>46774</v>
      </c>
      <c r="C439" s="36" t="str">
        <f aca="false">CHOOSE(WEEKDAY(B439,2),"सोमवार","मंगलवार","बुधवार","गुरुवार","शुक्रवार","शनिवार","रविवार")</f>
        <v>शनिवार</v>
      </c>
      <c r="D439" s="36" t="n">
        <f aca="false">IF(A439=1,0,INT((A439-2)/7)+1)</f>
        <v>62</v>
      </c>
      <c r="E439" s="36" t="n">
        <f aca="false">(YEAR(B439)-YEAR(सारांश!$B$4))*12+MONTH(B439)-MONTH(सारांश!$B$4)+IF(DAY(B439)&gt;=DAY(सारांश!$B$4),1,0)</f>
        <v>15</v>
      </c>
      <c r="F439" s="38" t="s">
        <v>20</v>
      </c>
      <c r="G439" s="14" t="s">
        <v>536</v>
      </c>
      <c r="H439" s="32" t="s">
        <v>1189</v>
      </c>
      <c r="I439" s="32" t="s">
        <v>606</v>
      </c>
      <c r="J439" s="48" t="s">
        <v>607</v>
      </c>
      <c r="K439" s="48" t="s">
        <v>540</v>
      </c>
      <c r="L439" s="14" t="s">
        <v>561</v>
      </c>
      <c r="M439" s="32" t="s">
        <v>1190</v>
      </c>
      <c r="N439" s="32" t="s">
        <v>290</v>
      </c>
      <c r="O439" s="32" t="s">
        <v>1061</v>
      </c>
      <c r="P439" s="32" t="s">
        <v>1062</v>
      </c>
      <c r="Q439" s="14" t="n">
        <v>7.5</v>
      </c>
      <c r="R439" s="32" t="s">
        <v>542</v>
      </c>
      <c r="S439" s="32" t="s">
        <v>563</v>
      </c>
      <c r="T439" s="49" t="s">
        <v>258</v>
      </c>
      <c r="U439" s="49" t="s">
        <v>259</v>
      </c>
      <c r="V439" s="49" t="s">
        <v>259</v>
      </c>
      <c r="W439" s="14" t="s">
        <v>260</v>
      </c>
      <c r="X439" s="14"/>
    </row>
    <row r="440" customFormat="false" ht="93" hidden="false" customHeight="true" outlineLevel="0" collapsed="false">
      <c r="A440" s="50" t="n">
        <v>435</v>
      </c>
      <c r="B440" s="51" t="n">
        <f aca="false">सारांश!$B$4+A440-1</f>
        <v>46775</v>
      </c>
      <c r="C440" s="50" t="str">
        <f aca="false">CHOOSE(WEEKDAY(B440,2),"सोमवार","मंगलवार","बुधवार","गुरुवार","शुक्रवार","शनिवार","रविवार")</f>
        <v>रविवार</v>
      </c>
      <c r="D440" s="50" t="n">
        <f aca="false">IF(A440=1,0,INT((A440-2)/7)+1)</f>
        <v>62</v>
      </c>
      <c r="E440" s="50" t="n">
        <f aca="false">(YEAR(B440)-YEAR(सारांश!$B$4))*12+MONTH(B440)-MONTH(सारांश!$B$4)+IF(DAY(B440)&gt;=DAY(सारांश!$B$4),1,0)</f>
        <v>15</v>
      </c>
      <c r="F440" s="52" t="s">
        <v>20</v>
      </c>
      <c r="G440" s="50" t="s">
        <v>291</v>
      </c>
      <c r="H440" s="52" t="s">
        <v>127</v>
      </c>
      <c r="I440" s="52" t="s">
        <v>1191</v>
      </c>
      <c r="J440" s="53" t="s">
        <v>293</v>
      </c>
      <c r="K440" s="53" t="s">
        <v>294</v>
      </c>
      <c r="L440" s="50" t="s">
        <v>295</v>
      </c>
      <c r="M440" s="52" t="s">
        <v>296</v>
      </c>
      <c r="N440" s="52" t="s">
        <v>297</v>
      </c>
      <c r="O440" s="52" t="s">
        <v>1074</v>
      </c>
      <c r="P440" s="52" t="s">
        <v>299</v>
      </c>
      <c r="Q440" s="50" t="n">
        <v>6</v>
      </c>
      <c r="R440" s="52" t="s">
        <v>300</v>
      </c>
      <c r="S440" s="52" t="s">
        <v>257</v>
      </c>
      <c r="T440" s="54" t="s">
        <v>258</v>
      </c>
      <c r="U440" s="54" t="s">
        <v>259</v>
      </c>
      <c r="V440" s="54" t="s">
        <v>259</v>
      </c>
      <c r="W440" s="50" t="s">
        <v>260</v>
      </c>
      <c r="X440" s="50"/>
    </row>
    <row r="441" customFormat="false" ht="126.75" hidden="false" customHeight="true" outlineLevel="0" collapsed="false">
      <c r="A441" s="36" t="n">
        <v>436</v>
      </c>
      <c r="B441" s="37" t="n">
        <f aca="false">सारांश!$B$4+A441-1</f>
        <v>46776</v>
      </c>
      <c r="C441" s="36" t="str">
        <f aca="false">CHOOSE(WEEKDAY(B441,2),"सोमवार","मंगलवार","बुधवार","गुरुवार","शुक्रवार","शनिवार","रविवार")</f>
        <v>सोमवार</v>
      </c>
      <c r="D441" s="36" t="n">
        <f aca="false">IF(A441=1,0,INT((A441-2)/7)+1)</f>
        <v>63</v>
      </c>
      <c r="E441" s="36" t="n">
        <f aca="false">(YEAR(B441)-YEAR(सारांश!$B$4))*12+MONTH(B441)-MONTH(सारांश!$B$4)+IF(DAY(B441)&gt;=DAY(सारांश!$B$4),1,0)</f>
        <v>15</v>
      </c>
      <c r="F441" s="38" t="s">
        <v>20</v>
      </c>
      <c r="G441" s="14" t="s">
        <v>536</v>
      </c>
      <c r="H441" s="32" t="s">
        <v>1192</v>
      </c>
      <c r="I441" s="32" t="s">
        <v>606</v>
      </c>
      <c r="J441" s="48" t="s">
        <v>607</v>
      </c>
      <c r="K441" s="48" t="s">
        <v>540</v>
      </c>
      <c r="L441" s="14" t="s">
        <v>561</v>
      </c>
      <c r="M441" s="32" t="s">
        <v>1193</v>
      </c>
      <c r="N441" s="32" t="s">
        <v>268</v>
      </c>
      <c r="O441" s="32" t="s">
        <v>1061</v>
      </c>
      <c r="P441" s="32" t="s">
        <v>1062</v>
      </c>
      <c r="Q441" s="14" t="n">
        <v>7.5</v>
      </c>
      <c r="R441" s="32" t="s">
        <v>542</v>
      </c>
      <c r="S441" s="32" t="s">
        <v>563</v>
      </c>
      <c r="T441" s="49" t="s">
        <v>258</v>
      </c>
      <c r="U441" s="49" t="s">
        <v>259</v>
      </c>
      <c r="V441" s="49" t="s">
        <v>259</v>
      </c>
      <c r="W441" s="14" t="s">
        <v>260</v>
      </c>
      <c r="X441" s="14"/>
    </row>
    <row r="442" customFormat="false" ht="126.75" hidden="false" customHeight="true" outlineLevel="0" collapsed="false">
      <c r="A442" s="36" t="n">
        <v>437</v>
      </c>
      <c r="B442" s="37" t="n">
        <f aca="false">सारांश!$B$4+A442-1</f>
        <v>46777</v>
      </c>
      <c r="C442" s="36" t="str">
        <f aca="false">CHOOSE(WEEKDAY(B442,2),"सोमवार","मंगलवार","बुधवार","गुरुवार","शुक्रवार","शनिवार","रविवार")</f>
        <v>मंगलवार</v>
      </c>
      <c r="D442" s="36" t="n">
        <f aca="false">IF(A442=1,0,INT((A442-2)/7)+1)</f>
        <v>63</v>
      </c>
      <c r="E442" s="36" t="n">
        <f aca="false">(YEAR(B442)-YEAR(सारांश!$B$4))*12+MONTH(B442)-MONTH(सारांश!$B$4)+IF(DAY(B442)&gt;=DAY(सारांश!$B$4),1,0)</f>
        <v>15</v>
      </c>
      <c r="F442" s="38" t="s">
        <v>20</v>
      </c>
      <c r="G442" s="14" t="s">
        <v>536</v>
      </c>
      <c r="H442" s="32" t="s">
        <v>1194</v>
      </c>
      <c r="I442" s="32" t="s">
        <v>619</v>
      </c>
      <c r="J442" s="48" t="s">
        <v>620</v>
      </c>
      <c r="K442" s="48" t="s">
        <v>540</v>
      </c>
      <c r="L442" s="14" t="s">
        <v>561</v>
      </c>
      <c r="M442" s="32" t="s">
        <v>1195</v>
      </c>
      <c r="N442" s="32" t="s">
        <v>276</v>
      </c>
      <c r="O442" s="32" t="s">
        <v>1061</v>
      </c>
      <c r="P442" s="32" t="s">
        <v>1062</v>
      </c>
      <c r="Q442" s="14" t="n">
        <v>7.5</v>
      </c>
      <c r="R442" s="32" t="s">
        <v>542</v>
      </c>
      <c r="S442" s="32" t="s">
        <v>563</v>
      </c>
      <c r="T442" s="49" t="s">
        <v>258</v>
      </c>
      <c r="U442" s="49" t="s">
        <v>259</v>
      </c>
      <c r="V442" s="49" t="s">
        <v>259</v>
      </c>
      <c r="W442" s="14" t="s">
        <v>260</v>
      </c>
      <c r="X442" s="14"/>
    </row>
    <row r="443" customFormat="false" ht="126.75" hidden="false" customHeight="true" outlineLevel="0" collapsed="false">
      <c r="A443" s="36" t="n">
        <v>438</v>
      </c>
      <c r="B443" s="37" t="n">
        <f aca="false">सारांश!$B$4+A443-1</f>
        <v>46778</v>
      </c>
      <c r="C443" s="36" t="str">
        <f aca="false">CHOOSE(WEEKDAY(B443,2),"सोमवार","मंगलवार","बुधवार","गुरुवार","शुक्रवार","शनिवार","रविवार")</f>
        <v>बुधवार</v>
      </c>
      <c r="D443" s="36" t="n">
        <f aca="false">IF(A443=1,0,INT((A443-2)/7)+1)</f>
        <v>63</v>
      </c>
      <c r="E443" s="36" t="n">
        <f aca="false">(YEAR(B443)-YEAR(सारांश!$B$4))*12+MONTH(B443)-MONTH(सारांश!$B$4)+IF(DAY(B443)&gt;=DAY(सारांश!$B$4),1,0)</f>
        <v>15</v>
      </c>
      <c r="F443" s="38" t="s">
        <v>20</v>
      </c>
      <c r="G443" s="14" t="s">
        <v>536</v>
      </c>
      <c r="H443" s="32" t="s">
        <v>1196</v>
      </c>
      <c r="I443" s="32" t="s">
        <v>619</v>
      </c>
      <c r="J443" s="48" t="s">
        <v>620</v>
      </c>
      <c r="K443" s="48" t="s">
        <v>540</v>
      </c>
      <c r="L443" s="14" t="s">
        <v>561</v>
      </c>
      <c r="M443" s="32" t="s">
        <v>1197</v>
      </c>
      <c r="N443" s="32" t="s">
        <v>279</v>
      </c>
      <c r="O443" s="32" t="s">
        <v>1061</v>
      </c>
      <c r="P443" s="32" t="s">
        <v>1062</v>
      </c>
      <c r="Q443" s="14" t="n">
        <v>7.5</v>
      </c>
      <c r="R443" s="32" t="s">
        <v>542</v>
      </c>
      <c r="S443" s="32" t="s">
        <v>563</v>
      </c>
      <c r="T443" s="49" t="s">
        <v>258</v>
      </c>
      <c r="U443" s="49" t="s">
        <v>259</v>
      </c>
      <c r="V443" s="49" t="s">
        <v>259</v>
      </c>
      <c r="W443" s="14" t="s">
        <v>260</v>
      </c>
      <c r="X443" s="14"/>
    </row>
    <row r="444" customFormat="false" ht="126.75" hidden="false" customHeight="true" outlineLevel="0" collapsed="false">
      <c r="A444" s="36" t="n">
        <v>439</v>
      </c>
      <c r="B444" s="37" t="n">
        <f aca="false">सारांश!$B$4+A444-1</f>
        <v>46779</v>
      </c>
      <c r="C444" s="36" t="str">
        <f aca="false">CHOOSE(WEEKDAY(B444,2),"सोमवार","मंगलवार","बुधवार","गुरुवार","शुक्रवार","शनिवार","रविवार")</f>
        <v>गुरुवार</v>
      </c>
      <c r="D444" s="36" t="n">
        <f aca="false">IF(A444=1,0,INT((A444-2)/7)+1)</f>
        <v>63</v>
      </c>
      <c r="E444" s="36" t="n">
        <f aca="false">(YEAR(B444)-YEAR(सारांश!$B$4))*12+MONTH(B444)-MONTH(सारांश!$B$4)+IF(DAY(B444)&gt;=DAY(सारांश!$B$4),1,0)</f>
        <v>15</v>
      </c>
      <c r="F444" s="38" t="s">
        <v>20</v>
      </c>
      <c r="G444" s="14" t="s">
        <v>536</v>
      </c>
      <c r="H444" s="32" t="s">
        <v>1198</v>
      </c>
      <c r="I444" s="32" t="s">
        <v>627</v>
      </c>
      <c r="J444" s="48" t="s">
        <v>628</v>
      </c>
      <c r="K444" s="48" t="s">
        <v>540</v>
      </c>
      <c r="L444" s="14" t="s">
        <v>561</v>
      </c>
      <c r="M444" s="32" t="s">
        <v>1199</v>
      </c>
      <c r="N444" s="32" t="s">
        <v>284</v>
      </c>
      <c r="O444" s="32" t="s">
        <v>1061</v>
      </c>
      <c r="P444" s="32" t="s">
        <v>1062</v>
      </c>
      <c r="Q444" s="14" t="n">
        <v>7.5</v>
      </c>
      <c r="R444" s="32" t="s">
        <v>542</v>
      </c>
      <c r="S444" s="32" t="s">
        <v>563</v>
      </c>
      <c r="T444" s="49" t="s">
        <v>258</v>
      </c>
      <c r="U444" s="49" t="s">
        <v>259</v>
      </c>
      <c r="V444" s="49" t="s">
        <v>259</v>
      </c>
      <c r="W444" s="14" t="s">
        <v>260</v>
      </c>
      <c r="X444" s="14"/>
    </row>
    <row r="445" customFormat="false" ht="126.75" hidden="false" customHeight="true" outlineLevel="0" collapsed="false">
      <c r="A445" s="36" t="n">
        <v>440</v>
      </c>
      <c r="B445" s="37" t="n">
        <f aca="false">सारांश!$B$4+A445-1</f>
        <v>46780</v>
      </c>
      <c r="C445" s="36" t="str">
        <f aca="false">CHOOSE(WEEKDAY(B445,2),"सोमवार","मंगलवार","बुधवार","गुरुवार","शुक्रवार","शनिवार","रविवार")</f>
        <v>शुक्रवार</v>
      </c>
      <c r="D445" s="36" t="n">
        <f aca="false">IF(A445=1,0,INT((A445-2)/7)+1)</f>
        <v>63</v>
      </c>
      <c r="E445" s="36" t="n">
        <f aca="false">(YEAR(B445)-YEAR(सारांश!$B$4))*12+MONTH(B445)-MONTH(सारांश!$B$4)+IF(DAY(B445)&gt;=DAY(सारांश!$B$4),1,0)</f>
        <v>15</v>
      </c>
      <c r="F445" s="38" t="s">
        <v>20</v>
      </c>
      <c r="G445" s="14" t="s">
        <v>635</v>
      </c>
      <c r="H445" s="32" t="s">
        <v>1200</v>
      </c>
      <c r="I445" s="32" t="s">
        <v>637</v>
      </c>
      <c r="J445" s="48" t="s">
        <v>638</v>
      </c>
      <c r="K445" s="48" t="s">
        <v>639</v>
      </c>
      <c r="L445" s="14" t="s">
        <v>561</v>
      </c>
      <c r="M445" s="32" t="s">
        <v>1201</v>
      </c>
      <c r="N445" s="32" t="s">
        <v>287</v>
      </c>
      <c r="O445" s="32" t="s">
        <v>1061</v>
      </c>
      <c r="P445" s="32" t="s">
        <v>1062</v>
      </c>
      <c r="Q445" s="14" t="n">
        <v>7.5</v>
      </c>
      <c r="R445" s="32" t="s">
        <v>641</v>
      </c>
      <c r="S445" s="32" t="s">
        <v>563</v>
      </c>
      <c r="T445" s="49" t="s">
        <v>258</v>
      </c>
      <c r="U445" s="49" t="s">
        <v>259</v>
      </c>
      <c r="V445" s="49" t="s">
        <v>259</v>
      </c>
      <c r="W445" s="14" t="s">
        <v>260</v>
      </c>
      <c r="X445" s="14"/>
    </row>
    <row r="446" customFormat="false" ht="126.75" hidden="false" customHeight="true" outlineLevel="0" collapsed="false">
      <c r="A446" s="36" t="n">
        <v>441</v>
      </c>
      <c r="B446" s="37" t="n">
        <f aca="false">सारांश!$B$4+A446-1</f>
        <v>46781</v>
      </c>
      <c r="C446" s="36" t="str">
        <f aca="false">CHOOSE(WEEKDAY(B446,2),"सोमवार","मंगलवार","बुधवार","गुरुवार","शुक्रवार","शनिवार","रविवार")</f>
        <v>शनिवार</v>
      </c>
      <c r="D446" s="36" t="n">
        <f aca="false">IF(A446=1,0,INT((A446-2)/7)+1)</f>
        <v>63</v>
      </c>
      <c r="E446" s="36" t="n">
        <f aca="false">(YEAR(B446)-YEAR(सारांश!$B$4))*12+MONTH(B446)-MONTH(सारांश!$B$4)+IF(DAY(B446)&gt;=DAY(सारांश!$B$4),1,0)</f>
        <v>15</v>
      </c>
      <c r="F446" s="38" t="s">
        <v>20</v>
      </c>
      <c r="G446" s="14" t="s">
        <v>635</v>
      </c>
      <c r="H446" s="32" t="s">
        <v>1202</v>
      </c>
      <c r="I446" s="32" t="s">
        <v>637</v>
      </c>
      <c r="J446" s="48" t="s">
        <v>638</v>
      </c>
      <c r="K446" s="48" t="s">
        <v>639</v>
      </c>
      <c r="L446" s="14" t="s">
        <v>561</v>
      </c>
      <c r="M446" s="32" t="s">
        <v>1203</v>
      </c>
      <c r="N446" s="32" t="s">
        <v>290</v>
      </c>
      <c r="O446" s="32" t="s">
        <v>1061</v>
      </c>
      <c r="P446" s="32" t="s">
        <v>1062</v>
      </c>
      <c r="Q446" s="14" t="n">
        <v>7.5</v>
      </c>
      <c r="R446" s="32" t="s">
        <v>641</v>
      </c>
      <c r="S446" s="32" t="s">
        <v>563</v>
      </c>
      <c r="T446" s="49" t="s">
        <v>258</v>
      </c>
      <c r="U446" s="49" t="s">
        <v>259</v>
      </c>
      <c r="V446" s="49" t="s">
        <v>259</v>
      </c>
      <c r="W446" s="14" t="s">
        <v>260</v>
      </c>
      <c r="X446" s="14"/>
    </row>
    <row r="447" customFormat="false" ht="109.5" hidden="false" customHeight="true" outlineLevel="0" collapsed="false">
      <c r="A447" s="50" t="n">
        <v>442</v>
      </c>
      <c r="B447" s="51" t="n">
        <f aca="false">सारांश!$B$4+A447-1</f>
        <v>46782</v>
      </c>
      <c r="C447" s="50" t="str">
        <f aca="false">CHOOSE(WEEKDAY(B447,2),"सोमवार","मंगलवार","बुधवार","गुरुवार","शुक्रवार","शनिवार","रविवार")</f>
        <v>रविवार</v>
      </c>
      <c r="D447" s="50" t="n">
        <f aca="false">IF(A447=1,0,INT((A447-2)/7)+1)</f>
        <v>63</v>
      </c>
      <c r="E447" s="50" t="n">
        <f aca="false">(YEAR(B447)-YEAR(सारांश!$B$4))*12+MONTH(B447)-MONTH(सारांश!$B$4)+IF(DAY(B447)&gt;=DAY(सारांश!$B$4),1,0)</f>
        <v>15</v>
      </c>
      <c r="F447" s="52" t="s">
        <v>20</v>
      </c>
      <c r="G447" s="50" t="s">
        <v>291</v>
      </c>
      <c r="H447" s="52" t="s">
        <v>127</v>
      </c>
      <c r="I447" s="52" t="s">
        <v>1204</v>
      </c>
      <c r="J447" s="53" t="s">
        <v>293</v>
      </c>
      <c r="K447" s="53" t="s">
        <v>294</v>
      </c>
      <c r="L447" s="50" t="s">
        <v>295</v>
      </c>
      <c r="M447" s="52" t="s">
        <v>296</v>
      </c>
      <c r="N447" s="52" t="s">
        <v>297</v>
      </c>
      <c r="O447" s="52" t="s">
        <v>1074</v>
      </c>
      <c r="P447" s="52" t="s">
        <v>299</v>
      </c>
      <c r="Q447" s="50" t="n">
        <v>6</v>
      </c>
      <c r="R447" s="52" t="s">
        <v>300</v>
      </c>
      <c r="S447" s="52" t="s">
        <v>257</v>
      </c>
      <c r="T447" s="54" t="s">
        <v>258</v>
      </c>
      <c r="U447" s="54" t="s">
        <v>259</v>
      </c>
      <c r="V447" s="54" t="s">
        <v>259</v>
      </c>
      <c r="W447" s="50" t="s">
        <v>260</v>
      </c>
      <c r="X447" s="50"/>
    </row>
    <row r="448" customFormat="false" ht="126.75" hidden="false" customHeight="true" outlineLevel="0" collapsed="false">
      <c r="A448" s="36" t="n">
        <v>443</v>
      </c>
      <c r="B448" s="37" t="n">
        <f aca="false">सारांश!$B$4+A448-1</f>
        <v>46783</v>
      </c>
      <c r="C448" s="36" t="str">
        <f aca="false">CHOOSE(WEEKDAY(B448,2),"सोमवार","मंगलवार","बुधवार","गुरुवार","शुक्रवार","शनिवार","रविवार")</f>
        <v>सोमवार</v>
      </c>
      <c r="D448" s="36" t="n">
        <f aca="false">IF(A448=1,0,INT((A448-2)/7)+1)</f>
        <v>64</v>
      </c>
      <c r="E448" s="36" t="n">
        <f aca="false">(YEAR(B448)-YEAR(सारांश!$B$4))*12+MONTH(B448)-MONTH(सारांश!$B$4)+IF(DAY(B448)&gt;=DAY(सारांश!$B$4),1,0)</f>
        <v>15</v>
      </c>
      <c r="F448" s="38" t="s">
        <v>20</v>
      </c>
      <c r="G448" s="14" t="s">
        <v>635</v>
      </c>
      <c r="H448" s="32" t="s">
        <v>1205</v>
      </c>
      <c r="I448" s="32" t="s">
        <v>637</v>
      </c>
      <c r="J448" s="48" t="s">
        <v>638</v>
      </c>
      <c r="K448" s="48" t="s">
        <v>639</v>
      </c>
      <c r="L448" s="14" t="s">
        <v>561</v>
      </c>
      <c r="M448" s="32" t="s">
        <v>1206</v>
      </c>
      <c r="N448" s="32" t="s">
        <v>268</v>
      </c>
      <c r="O448" s="32" t="s">
        <v>1061</v>
      </c>
      <c r="P448" s="32" t="s">
        <v>1062</v>
      </c>
      <c r="Q448" s="14" t="n">
        <v>7.5</v>
      </c>
      <c r="R448" s="32" t="s">
        <v>641</v>
      </c>
      <c r="S448" s="32" t="s">
        <v>563</v>
      </c>
      <c r="T448" s="49" t="s">
        <v>258</v>
      </c>
      <c r="U448" s="49" t="s">
        <v>259</v>
      </c>
      <c r="V448" s="49" t="s">
        <v>259</v>
      </c>
      <c r="W448" s="14" t="s">
        <v>260</v>
      </c>
      <c r="X448" s="14"/>
    </row>
    <row r="449" customFormat="false" ht="126.75" hidden="false" customHeight="true" outlineLevel="0" collapsed="false">
      <c r="A449" s="36" t="n">
        <v>444</v>
      </c>
      <c r="B449" s="37" t="n">
        <f aca="false">सारांश!$B$4+A449-1</f>
        <v>46784</v>
      </c>
      <c r="C449" s="36" t="str">
        <f aca="false">CHOOSE(WEEKDAY(B449,2),"सोमवार","मंगलवार","बुधवार","गुरुवार","शुक्रवार","शनिवार","रविवार")</f>
        <v>मंगलवार</v>
      </c>
      <c r="D449" s="36" t="n">
        <f aca="false">IF(A449=1,0,INT((A449-2)/7)+1)</f>
        <v>64</v>
      </c>
      <c r="E449" s="36" t="n">
        <f aca="false">(YEAR(B449)-YEAR(सारांश!$B$4))*12+MONTH(B449)-MONTH(सारांश!$B$4)+IF(DAY(B449)&gt;=DAY(सारांश!$B$4),1,0)</f>
        <v>15</v>
      </c>
      <c r="F449" s="38" t="s">
        <v>20</v>
      </c>
      <c r="G449" s="14" t="s">
        <v>635</v>
      </c>
      <c r="H449" s="32" t="s">
        <v>1207</v>
      </c>
      <c r="I449" s="32" t="s">
        <v>649</v>
      </c>
      <c r="J449" s="48" t="s">
        <v>650</v>
      </c>
      <c r="K449" s="48" t="s">
        <v>639</v>
      </c>
      <c r="L449" s="14" t="s">
        <v>561</v>
      </c>
      <c r="M449" s="32" t="s">
        <v>1208</v>
      </c>
      <c r="N449" s="32" t="s">
        <v>276</v>
      </c>
      <c r="O449" s="32" t="s">
        <v>1061</v>
      </c>
      <c r="P449" s="32" t="s">
        <v>1062</v>
      </c>
      <c r="Q449" s="14" t="n">
        <v>7.5</v>
      </c>
      <c r="R449" s="32" t="s">
        <v>641</v>
      </c>
      <c r="S449" s="32" t="s">
        <v>563</v>
      </c>
      <c r="T449" s="49" t="s">
        <v>258</v>
      </c>
      <c r="U449" s="49" t="s">
        <v>259</v>
      </c>
      <c r="V449" s="49" t="s">
        <v>259</v>
      </c>
      <c r="W449" s="14" t="s">
        <v>260</v>
      </c>
      <c r="X449" s="14"/>
    </row>
    <row r="450" customFormat="false" ht="126.75" hidden="false" customHeight="true" outlineLevel="0" collapsed="false">
      <c r="A450" s="36" t="n">
        <v>445</v>
      </c>
      <c r="B450" s="37" t="n">
        <f aca="false">सारांश!$B$4+A450-1</f>
        <v>46785</v>
      </c>
      <c r="C450" s="36" t="str">
        <f aca="false">CHOOSE(WEEKDAY(B450,2),"सोमवार","मंगलवार","बुधवार","गुरुवार","शुक्रवार","शनिवार","रविवार")</f>
        <v>बुधवार</v>
      </c>
      <c r="D450" s="36" t="n">
        <f aca="false">IF(A450=1,0,INT((A450-2)/7)+1)</f>
        <v>64</v>
      </c>
      <c r="E450" s="36" t="n">
        <f aca="false">(YEAR(B450)-YEAR(सारांश!$B$4))*12+MONTH(B450)-MONTH(सारांश!$B$4)+IF(DAY(B450)&gt;=DAY(सारांश!$B$4),1,0)</f>
        <v>15</v>
      </c>
      <c r="F450" s="38" t="s">
        <v>20</v>
      </c>
      <c r="G450" s="14" t="s">
        <v>635</v>
      </c>
      <c r="H450" s="32" t="s">
        <v>1209</v>
      </c>
      <c r="I450" s="32" t="s">
        <v>649</v>
      </c>
      <c r="J450" s="48" t="s">
        <v>650</v>
      </c>
      <c r="K450" s="48" t="s">
        <v>639</v>
      </c>
      <c r="L450" s="14" t="s">
        <v>561</v>
      </c>
      <c r="M450" s="32" t="s">
        <v>1210</v>
      </c>
      <c r="N450" s="32" t="s">
        <v>279</v>
      </c>
      <c r="O450" s="32" t="s">
        <v>1061</v>
      </c>
      <c r="P450" s="32" t="s">
        <v>1062</v>
      </c>
      <c r="Q450" s="14" t="n">
        <v>7.5</v>
      </c>
      <c r="R450" s="32" t="s">
        <v>641</v>
      </c>
      <c r="S450" s="32" t="s">
        <v>563</v>
      </c>
      <c r="T450" s="49" t="s">
        <v>258</v>
      </c>
      <c r="U450" s="49" t="s">
        <v>259</v>
      </c>
      <c r="V450" s="49" t="s">
        <v>259</v>
      </c>
      <c r="W450" s="14" t="s">
        <v>260</v>
      </c>
      <c r="X450" s="14"/>
    </row>
    <row r="451" customFormat="false" ht="126.75" hidden="false" customHeight="true" outlineLevel="0" collapsed="false">
      <c r="A451" s="36" t="n">
        <v>446</v>
      </c>
      <c r="B451" s="37" t="n">
        <f aca="false">सारांश!$B$4+A451-1</f>
        <v>46786</v>
      </c>
      <c r="C451" s="36" t="str">
        <f aca="false">CHOOSE(WEEKDAY(B451,2),"सोमवार","मंगलवार","बुधवार","गुरुवार","शुक्रवार","शनिवार","रविवार")</f>
        <v>गुरुवार</v>
      </c>
      <c r="D451" s="36" t="n">
        <f aca="false">IF(A451=1,0,INT((A451-2)/7)+1)</f>
        <v>64</v>
      </c>
      <c r="E451" s="36" t="n">
        <f aca="false">(YEAR(B451)-YEAR(सारांश!$B$4))*12+MONTH(B451)-MONTH(सारांश!$B$4)+IF(DAY(B451)&gt;=DAY(सारांश!$B$4),1,0)</f>
        <v>15</v>
      </c>
      <c r="F451" s="38" t="s">
        <v>20</v>
      </c>
      <c r="G451" s="14" t="s">
        <v>635</v>
      </c>
      <c r="H451" s="32" t="s">
        <v>1211</v>
      </c>
      <c r="I451" s="32" t="s">
        <v>658</v>
      </c>
      <c r="J451" s="48" t="s">
        <v>659</v>
      </c>
      <c r="K451" s="48" t="s">
        <v>639</v>
      </c>
      <c r="L451" s="14" t="s">
        <v>561</v>
      </c>
      <c r="M451" s="32" t="s">
        <v>1212</v>
      </c>
      <c r="N451" s="32" t="s">
        <v>284</v>
      </c>
      <c r="O451" s="32" t="s">
        <v>1061</v>
      </c>
      <c r="P451" s="32" t="s">
        <v>1062</v>
      </c>
      <c r="Q451" s="14" t="n">
        <v>7.5</v>
      </c>
      <c r="R451" s="32" t="s">
        <v>641</v>
      </c>
      <c r="S451" s="32" t="s">
        <v>563</v>
      </c>
      <c r="T451" s="49" t="s">
        <v>258</v>
      </c>
      <c r="U451" s="49" t="s">
        <v>259</v>
      </c>
      <c r="V451" s="49" t="s">
        <v>259</v>
      </c>
      <c r="W451" s="14" t="s">
        <v>260</v>
      </c>
      <c r="X451" s="14"/>
    </row>
    <row r="452" customFormat="false" ht="126.75" hidden="false" customHeight="true" outlineLevel="0" collapsed="false">
      <c r="A452" s="36" t="n">
        <v>447</v>
      </c>
      <c r="B452" s="37" t="n">
        <f aca="false">सारांश!$B$4+A452-1</f>
        <v>46787</v>
      </c>
      <c r="C452" s="36" t="str">
        <f aca="false">CHOOSE(WEEKDAY(B452,2),"सोमवार","मंगलवार","बुधवार","गुरुवार","शुक्रवार","शनिवार","रविवार")</f>
        <v>शुक्रवार</v>
      </c>
      <c r="D452" s="36" t="n">
        <f aca="false">IF(A452=1,0,INT((A452-2)/7)+1)</f>
        <v>64</v>
      </c>
      <c r="E452" s="36" t="n">
        <f aca="false">(YEAR(B452)-YEAR(सारांश!$B$4))*12+MONTH(B452)-MONTH(सारांश!$B$4)+IF(DAY(B452)&gt;=DAY(सारांश!$B$4),1,0)</f>
        <v>15</v>
      </c>
      <c r="F452" s="38" t="s">
        <v>20</v>
      </c>
      <c r="G452" s="14" t="s">
        <v>635</v>
      </c>
      <c r="H452" s="32" t="s">
        <v>1213</v>
      </c>
      <c r="I452" s="32" t="s">
        <v>658</v>
      </c>
      <c r="J452" s="48" t="s">
        <v>659</v>
      </c>
      <c r="K452" s="48" t="s">
        <v>639</v>
      </c>
      <c r="L452" s="14" t="s">
        <v>561</v>
      </c>
      <c r="M452" s="32" t="s">
        <v>1214</v>
      </c>
      <c r="N452" s="32" t="s">
        <v>287</v>
      </c>
      <c r="O452" s="32" t="s">
        <v>1061</v>
      </c>
      <c r="P452" s="32" t="s">
        <v>1062</v>
      </c>
      <c r="Q452" s="14" t="n">
        <v>7.5</v>
      </c>
      <c r="R452" s="32" t="s">
        <v>641</v>
      </c>
      <c r="S452" s="32" t="s">
        <v>563</v>
      </c>
      <c r="T452" s="49" t="s">
        <v>258</v>
      </c>
      <c r="U452" s="49" t="s">
        <v>259</v>
      </c>
      <c r="V452" s="49" t="s">
        <v>259</v>
      </c>
      <c r="W452" s="14" t="s">
        <v>260</v>
      </c>
      <c r="X452" s="14"/>
    </row>
    <row r="453" customFormat="false" ht="126.75" hidden="false" customHeight="true" outlineLevel="0" collapsed="false">
      <c r="A453" s="36" t="n">
        <v>448</v>
      </c>
      <c r="B453" s="37" t="n">
        <f aca="false">सारांश!$B$4+A453-1</f>
        <v>46788</v>
      </c>
      <c r="C453" s="36" t="str">
        <f aca="false">CHOOSE(WEEKDAY(B453,2),"सोमवार","मंगलवार","बुधवार","गुरुवार","शुक्रवार","शनिवार","रविवार")</f>
        <v>शनिवार</v>
      </c>
      <c r="D453" s="36" t="n">
        <f aca="false">IF(A453=1,0,INT((A453-2)/7)+1)</f>
        <v>64</v>
      </c>
      <c r="E453" s="36" t="n">
        <f aca="false">(YEAR(B453)-YEAR(सारांश!$B$4))*12+MONTH(B453)-MONTH(सारांश!$B$4)+IF(DAY(B453)&gt;=DAY(सारांश!$B$4),1,0)</f>
        <v>15</v>
      </c>
      <c r="F453" s="38" t="s">
        <v>20</v>
      </c>
      <c r="G453" s="14" t="s">
        <v>635</v>
      </c>
      <c r="H453" s="32" t="s">
        <v>1215</v>
      </c>
      <c r="I453" s="32" t="s">
        <v>671</v>
      </c>
      <c r="J453" s="48" t="s">
        <v>672</v>
      </c>
      <c r="K453" s="48" t="s">
        <v>639</v>
      </c>
      <c r="L453" s="14" t="s">
        <v>561</v>
      </c>
      <c r="M453" s="32" t="s">
        <v>1216</v>
      </c>
      <c r="N453" s="32" t="s">
        <v>290</v>
      </c>
      <c r="O453" s="32" t="s">
        <v>1061</v>
      </c>
      <c r="P453" s="32" t="s">
        <v>1062</v>
      </c>
      <c r="Q453" s="14" t="n">
        <v>7.5</v>
      </c>
      <c r="R453" s="32" t="s">
        <v>641</v>
      </c>
      <c r="S453" s="32" t="s">
        <v>563</v>
      </c>
      <c r="T453" s="49" t="s">
        <v>258</v>
      </c>
      <c r="U453" s="49" t="s">
        <v>259</v>
      </c>
      <c r="V453" s="49" t="s">
        <v>259</v>
      </c>
      <c r="W453" s="14" t="s">
        <v>260</v>
      </c>
      <c r="X453" s="14"/>
    </row>
    <row r="454" customFormat="false" ht="109.5" hidden="false" customHeight="true" outlineLevel="0" collapsed="false">
      <c r="A454" s="50" t="n">
        <v>449</v>
      </c>
      <c r="B454" s="51" t="n">
        <f aca="false">सारांश!$B$4+A454-1</f>
        <v>46789</v>
      </c>
      <c r="C454" s="50" t="str">
        <f aca="false">CHOOSE(WEEKDAY(B454,2),"सोमवार","मंगलवार","बुधवार","गुरुवार","शुक्रवार","शनिवार","रविवार")</f>
        <v>रविवार</v>
      </c>
      <c r="D454" s="50" t="n">
        <f aca="false">IF(A454=1,0,INT((A454-2)/7)+1)</f>
        <v>64</v>
      </c>
      <c r="E454" s="50" t="n">
        <f aca="false">(YEAR(B454)-YEAR(सारांश!$B$4))*12+MONTH(B454)-MONTH(सारांश!$B$4)+IF(DAY(B454)&gt;=DAY(सारांश!$B$4),1,0)</f>
        <v>15</v>
      </c>
      <c r="F454" s="52" t="s">
        <v>20</v>
      </c>
      <c r="G454" s="50" t="s">
        <v>291</v>
      </c>
      <c r="H454" s="52" t="s">
        <v>135</v>
      </c>
      <c r="I454" s="52" t="s">
        <v>1217</v>
      </c>
      <c r="J454" s="53" t="s">
        <v>293</v>
      </c>
      <c r="K454" s="53" t="s">
        <v>294</v>
      </c>
      <c r="L454" s="50" t="s">
        <v>295</v>
      </c>
      <c r="M454" s="52" t="s">
        <v>296</v>
      </c>
      <c r="N454" s="52" t="s">
        <v>297</v>
      </c>
      <c r="O454" s="52" t="s">
        <v>1074</v>
      </c>
      <c r="P454" s="52" t="s">
        <v>299</v>
      </c>
      <c r="Q454" s="50" t="n">
        <v>6</v>
      </c>
      <c r="R454" s="52" t="s">
        <v>300</v>
      </c>
      <c r="S454" s="52" t="s">
        <v>257</v>
      </c>
      <c r="T454" s="54" t="s">
        <v>258</v>
      </c>
      <c r="U454" s="54" t="s">
        <v>259</v>
      </c>
      <c r="V454" s="54" t="s">
        <v>259</v>
      </c>
      <c r="W454" s="50" t="s">
        <v>260</v>
      </c>
      <c r="X454" s="50"/>
    </row>
    <row r="455" customFormat="false" ht="126.75" hidden="false" customHeight="true" outlineLevel="0" collapsed="false">
      <c r="A455" s="36" t="n">
        <v>450</v>
      </c>
      <c r="B455" s="37" t="n">
        <f aca="false">सारांश!$B$4+A455-1</f>
        <v>46790</v>
      </c>
      <c r="C455" s="36" t="str">
        <f aca="false">CHOOSE(WEEKDAY(B455,2),"सोमवार","मंगलवार","बुधवार","गुरुवार","शुक्रवार","शनिवार","रविवार")</f>
        <v>सोमवार</v>
      </c>
      <c r="D455" s="36" t="n">
        <f aca="false">IF(A455=1,0,INT((A455-2)/7)+1)</f>
        <v>65</v>
      </c>
      <c r="E455" s="36" t="n">
        <f aca="false">(YEAR(B455)-YEAR(सारांश!$B$4))*12+MONTH(B455)-MONTH(सारांश!$B$4)+IF(DAY(B455)&gt;=DAY(सारांश!$B$4),1,0)</f>
        <v>15</v>
      </c>
      <c r="F455" s="38" t="s">
        <v>20</v>
      </c>
      <c r="G455" s="14" t="s">
        <v>635</v>
      </c>
      <c r="H455" s="32" t="s">
        <v>1218</v>
      </c>
      <c r="I455" s="32" t="s">
        <v>671</v>
      </c>
      <c r="J455" s="48" t="s">
        <v>672</v>
      </c>
      <c r="K455" s="48" t="s">
        <v>639</v>
      </c>
      <c r="L455" s="14" t="s">
        <v>561</v>
      </c>
      <c r="M455" s="32" t="s">
        <v>1219</v>
      </c>
      <c r="N455" s="32" t="s">
        <v>268</v>
      </c>
      <c r="O455" s="32" t="s">
        <v>1061</v>
      </c>
      <c r="P455" s="32" t="s">
        <v>1062</v>
      </c>
      <c r="Q455" s="14" t="n">
        <v>7.5</v>
      </c>
      <c r="R455" s="32" t="s">
        <v>641</v>
      </c>
      <c r="S455" s="32" t="s">
        <v>563</v>
      </c>
      <c r="T455" s="49" t="s">
        <v>258</v>
      </c>
      <c r="U455" s="49" t="s">
        <v>259</v>
      </c>
      <c r="V455" s="49" t="s">
        <v>259</v>
      </c>
      <c r="W455" s="14" t="s">
        <v>260</v>
      </c>
      <c r="X455" s="14"/>
    </row>
    <row r="456" customFormat="false" ht="109.5" hidden="false" customHeight="true" outlineLevel="0" collapsed="false">
      <c r="A456" s="36" t="n">
        <v>451</v>
      </c>
      <c r="B456" s="37" t="n">
        <f aca="false">सारांश!$B$4+A456-1</f>
        <v>46791</v>
      </c>
      <c r="C456" s="36" t="str">
        <f aca="false">CHOOSE(WEEKDAY(B456,2),"सोमवार","मंगलवार","बुधवार","गुरुवार","शुक्रवार","शनिवार","रविवार")</f>
        <v>मंगलवार</v>
      </c>
      <c r="D456" s="36" t="n">
        <f aca="false">IF(A456=1,0,INT((A456-2)/7)+1)</f>
        <v>65</v>
      </c>
      <c r="E456" s="36" t="n">
        <f aca="false">(YEAR(B456)-YEAR(सारांश!$B$4))*12+MONTH(B456)-MONTH(सारांश!$B$4)+IF(DAY(B456)&gt;=DAY(सारांश!$B$4),1,0)</f>
        <v>15</v>
      </c>
      <c r="F456" s="38" t="s">
        <v>20</v>
      </c>
      <c r="G456" s="14" t="s">
        <v>635</v>
      </c>
      <c r="H456" s="32" t="s">
        <v>1220</v>
      </c>
      <c r="I456" s="32" t="s">
        <v>679</v>
      </c>
      <c r="J456" s="48" t="s">
        <v>680</v>
      </c>
      <c r="K456" s="48" t="s">
        <v>639</v>
      </c>
      <c r="L456" s="14" t="s">
        <v>561</v>
      </c>
      <c r="M456" s="32" t="s">
        <v>1221</v>
      </c>
      <c r="N456" s="32" t="s">
        <v>276</v>
      </c>
      <c r="O456" s="32" t="s">
        <v>1061</v>
      </c>
      <c r="P456" s="32" t="s">
        <v>1062</v>
      </c>
      <c r="Q456" s="14" t="n">
        <v>7.5</v>
      </c>
      <c r="R456" s="32" t="s">
        <v>641</v>
      </c>
      <c r="S456" s="32" t="s">
        <v>563</v>
      </c>
      <c r="T456" s="49" t="s">
        <v>258</v>
      </c>
      <c r="U456" s="49" t="s">
        <v>259</v>
      </c>
      <c r="V456" s="49" t="s">
        <v>259</v>
      </c>
      <c r="W456" s="14" t="s">
        <v>260</v>
      </c>
      <c r="X456" s="14"/>
    </row>
    <row r="457" customFormat="false" ht="109.5" hidden="false" customHeight="true" outlineLevel="0" collapsed="false">
      <c r="A457" s="36" t="n">
        <v>452</v>
      </c>
      <c r="B457" s="37" t="n">
        <f aca="false">सारांश!$B$4+A457-1</f>
        <v>46792</v>
      </c>
      <c r="C457" s="36" t="str">
        <f aca="false">CHOOSE(WEEKDAY(B457,2),"सोमवार","मंगलवार","बुधवार","गुरुवार","शुक्रवार","शनिवार","रविवार")</f>
        <v>बुधवार</v>
      </c>
      <c r="D457" s="36" t="n">
        <f aca="false">IF(A457=1,0,INT((A457-2)/7)+1)</f>
        <v>65</v>
      </c>
      <c r="E457" s="36" t="n">
        <f aca="false">(YEAR(B457)-YEAR(सारांश!$B$4))*12+MONTH(B457)-MONTH(सारांश!$B$4)+IF(DAY(B457)&gt;=DAY(सारांश!$B$4),1,0)</f>
        <v>15</v>
      </c>
      <c r="F457" s="38" t="s">
        <v>20</v>
      </c>
      <c r="G457" s="14" t="s">
        <v>635</v>
      </c>
      <c r="H457" s="32" t="s">
        <v>1222</v>
      </c>
      <c r="I457" s="32" t="s">
        <v>688</v>
      </c>
      <c r="J457" s="48" t="s">
        <v>689</v>
      </c>
      <c r="K457" s="48" t="s">
        <v>639</v>
      </c>
      <c r="L457" s="14" t="s">
        <v>561</v>
      </c>
      <c r="M457" s="32" t="s">
        <v>1223</v>
      </c>
      <c r="N457" s="32" t="s">
        <v>279</v>
      </c>
      <c r="O457" s="32" t="s">
        <v>1061</v>
      </c>
      <c r="P457" s="32" t="s">
        <v>1062</v>
      </c>
      <c r="Q457" s="14" t="n">
        <v>7.5</v>
      </c>
      <c r="R457" s="32" t="s">
        <v>641</v>
      </c>
      <c r="S457" s="32" t="s">
        <v>563</v>
      </c>
      <c r="T457" s="49" t="s">
        <v>258</v>
      </c>
      <c r="U457" s="49" t="s">
        <v>259</v>
      </c>
      <c r="V457" s="49" t="s">
        <v>259</v>
      </c>
      <c r="W457" s="14" t="s">
        <v>260</v>
      </c>
      <c r="X457" s="14"/>
    </row>
    <row r="458" customFormat="false" ht="109.5" hidden="false" customHeight="true" outlineLevel="0" collapsed="false">
      <c r="A458" s="36" t="n">
        <v>453</v>
      </c>
      <c r="B458" s="37" t="n">
        <f aca="false">सारांश!$B$4+A458-1</f>
        <v>46793</v>
      </c>
      <c r="C458" s="36" t="str">
        <f aca="false">CHOOSE(WEEKDAY(B458,2),"सोमवार","मंगलवार","बुधवार","गुरुवार","शुक्रवार","शनिवार","रविवार")</f>
        <v>गुरुवार</v>
      </c>
      <c r="D458" s="36" t="n">
        <f aca="false">IF(A458=1,0,INT((A458-2)/7)+1)</f>
        <v>65</v>
      </c>
      <c r="E458" s="36" t="n">
        <f aca="false">(YEAR(B458)-YEAR(सारांश!$B$4))*12+MONTH(B458)-MONTH(सारांश!$B$4)+IF(DAY(B458)&gt;=DAY(सारांश!$B$4),1,0)</f>
        <v>15</v>
      </c>
      <c r="F458" s="38" t="s">
        <v>20</v>
      </c>
      <c r="G458" s="14" t="s">
        <v>635</v>
      </c>
      <c r="H458" s="32" t="s">
        <v>1224</v>
      </c>
      <c r="I458" s="32" t="s">
        <v>688</v>
      </c>
      <c r="J458" s="48" t="s">
        <v>689</v>
      </c>
      <c r="K458" s="48" t="s">
        <v>639</v>
      </c>
      <c r="L458" s="14" t="s">
        <v>690</v>
      </c>
      <c r="M458" s="32" t="s">
        <v>1225</v>
      </c>
      <c r="N458" s="32" t="s">
        <v>284</v>
      </c>
      <c r="O458" s="32" t="s">
        <v>1061</v>
      </c>
      <c r="P458" s="32" t="s">
        <v>1062</v>
      </c>
      <c r="Q458" s="14" t="n">
        <v>7.5</v>
      </c>
      <c r="R458" s="32" t="s">
        <v>641</v>
      </c>
      <c r="S458" s="32" t="s">
        <v>692</v>
      </c>
      <c r="T458" s="49" t="s">
        <v>258</v>
      </c>
      <c r="U458" s="49" t="s">
        <v>259</v>
      </c>
      <c r="V458" s="49" t="s">
        <v>259</v>
      </c>
      <c r="W458" s="14" t="s">
        <v>260</v>
      </c>
      <c r="X458" s="14"/>
    </row>
    <row r="459" customFormat="false" ht="126.75" hidden="false" customHeight="true" outlineLevel="0" collapsed="false">
      <c r="A459" s="36" t="n">
        <v>454</v>
      </c>
      <c r="B459" s="37" t="n">
        <f aca="false">सारांश!$B$4+A459-1</f>
        <v>46794</v>
      </c>
      <c r="C459" s="36" t="str">
        <f aca="false">CHOOSE(WEEKDAY(B459,2),"सोमवार","मंगलवार","बुधवार","गुरुवार","शुक्रवार","शनिवार","रविवार")</f>
        <v>शुक्रवार</v>
      </c>
      <c r="D459" s="36" t="n">
        <f aca="false">IF(A459=1,0,INT((A459-2)/7)+1)</f>
        <v>65</v>
      </c>
      <c r="E459" s="36" t="n">
        <f aca="false">(YEAR(B459)-YEAR(सारांश!$B$4))*12+MONTH(B459)-MONTH(सारांश!$B$4)+IF(DAY(B459)&gt;=DAY(सारांश!$B$4),1,0)</f>
        <v>15</v>
      </c>
      <c r="F459" s="38" t="s">
        <v>20</v>
      </c>
      <c r="G459" s="14" t="s">
        <v>635</v>
      </c>
      <c r="H459" s="32" t="s">
        <v>1226</v>
      </c>
      <c r="I459" s="32" t="s">
        <v>698</v>
      </c>
      <c r="J459" s="48" t="s">
        <v>699</v>
      </c>
      <c r="K459" s="48" t="s">
        <v>639</v>
      </c>
      <c r="L459" s="14" t="s">
        <v>690</v>
      </c>
      <c r="M459" s="32" t="s">
        <v>1227</v>
      </c>
      <c r="N459" s="32" t="s">
        <v>287</v>
      </c>
      <c r="O459" s="32" t="s">
        <v>1061</v>
      </c>
      <c r="P459" s="32" t="s">
        <v>1062</v>
      </c>
      <c r="Q459" s="14" t="n">
        <v>7.5</v>
      </c>
      <c r="R459" s="32" t="s">
        <v>641</v>
      </c>
      <c r="S459" s="32" t="s">
        <v>692</v>
      </c>
      <c r="T459" s="49" t="s">
        <v>258</v>
      </c>
      <c r="U459" s="49" t="s">
        <v>259</v>
      </c>
      <c r="V459" s="49" t="s">
        <v>259</v>
      </c>
      <c r="W459" s="14" t="s">
        <v>260</v>
      </c>
      <c r="X459" s="14"/>
    </row>
    <row r="460" customFormat="false" ht="126.75" hidden="false" customHeight="true" outlineLevel="0" collapsed="false">
      <c r="A460" s="36" t="n">
        <v>455</v>
      </c>
      <c r="B460" s="37" t="n">
        <f aca="false">सारांश!$B$4+A460-1</f>
        <v>46795</v>
      </c>
      <c r="C460" s="36" t="str">
        <f aca="false">CHOOSE(WEEKDAY(B460,2),"सोमवार","मंगलवार","बुधवार","गुरुवार","शुक्रवार","शनिवार","रविवार")</f>
        <v>शनिवार</v>
      </c>
      <c r="D460" s="36" t="n">
        <f aca="false">IF(A460=1,0,INT((A460-2)/7)+1)</f>
        <v>65</v>
      </c>
      <c r="E460" s="36" t="n">
        <f aca="false">(YEAR(B460)-YEAR(सारांश!$B$4))*12+MONTH(B460)-MONTH(सारांश!$B$4)+IF(DAY(B460)&gt;=DAY(सारांश!$B$4),1,0)</f>
        <v>15</v>
      </c>
      <c r="F460" s="38" t="s">
        <v>20</v>
      </c>
      <c r="G460" s="14" t="s">
        <v>635</v>
      </c>
      <c r="H460" s="32" t="s">
        <v>1228</v>
      </c>
      <c r="I460" s="32" t="s">
        <v>707</v>
      </c>
      <c r="J460" s="48" t="s">
        <v>708</v>
      </c>
      <c r="K460" s="48" t="s">
        <v>639</v>
      </c>
      <c r="L460" s="14" t="s">
        <v>690</v>
      </c>
      <c r="M460" s="32" t="s">
        <v>1229</v>
      </c>
      <c r="N460" s="32" t="s">
        <v>290</v>
      </c>
      <c r="O460" s="32" t="s">
        <v>1061</v>
      </c>
      <c r="P460" s="32" t="s">
        <v>1062</v>
      </c>
      <c r="Q460" s="14" t="n">
        <v>7.5</v>
      </c>
      <c r="R460" s="32" t="s">
        <v>641</v>
      </c>
      <c r="S460" s="32" t="s">
        <v>692</v>
      </c>
      <c r="T460" s="49" t="s">
        <v>258</v>
      </c>
      <c r="U460" s="49" t="s">
        <v>259</v>
      </c>
      <c r="V460" s="49" t="s">
        <v>259</v>
      </c>
      <c r="W460" s="14" t="s">
        <v>260</v>
      </c>
      <c r="X460" s="14"/>
    </row>
    <row r="461" customFormat="false" ht="126.75" hidden="false" customHeight="true" outlineLevel="0" collapsed="false">
      <c r="A461" s="50" t="n">
        <v>456</v>
      </c>
      <c r="B461" s="51" t="n">
        <f aca="false">सारांश!$B$4+A461-1</f>
        <v>46796</v>
      </c>
      <c r="C461" s="50" t="str">
        <f aca="false">CHOOSE(WEEKDAY(B461,2),"सोमवार","मंगलवार","बुधवार","गुरुवार","शुक्रवार","शनिवार","रविवार")</f>
        <v>रविवार</v>
      </c>
      <c r="D461" s="50" t="n">
        <f aca="false">IF(A461=1,0,INT((A461-2)/7)+1)</f>
        <v>65</v>
      </c>
      <c r="E461" s="50" t="n">
        <f aca="false">(YEAR(B461)-YEAR(सारांश!$B$4))*12+MONTH(B461)-MONTH(सारांश!$B$4)+IF(DAY(B461)&gt;=DAY(सारांश!$B$4),1,0)</f>
        <v>15</v>
      </c>
      <c r="F461" s="52" t="s">
        <v>20</v>
      </c>
      <c r="G461" s="50" t="s">
        <v>291</v>
      </c>
      <c r="H461" s="52" t="s">
        <v>127</v>
      </c>
      <c r="I461" s="52" t="s">
        <v>1230</v>
      </c>
      <c r="J461" s="53" t="s">
        <v>293</v>
      </c>
      <c r="K461" s="53" t="s">
        <v>294</v>
      </c>
      <c r="L461" s="50" t="s">
        <v>295</v>
      </c>
      <c r="M461" s="52" t="s">
        <v>296</v>
      </c>
      <c r="N461" s="52" t="s">
        <v>297</v>
      </c>
      <c r="O461" s="52" t="s">
        <v>1074</v>
      </c>
      <c r="P461" s="52" t="s">
        <v>299</v>
      </c>
      <c r="Q461" s="50" t="n">
        <v>6</v>
      </c>
      <c r="R461" s="52" t="s">
        <v>300</v>
      </c>
      <c r="S461" s="52" t="s">
        <v>257</v>
      </c>
      <c r="T461" s="54" t="s">
        <v>258</v>
      </c>
      <c r="U461" s="54" t="s">
        <v>259</v>
      </c>
      <c r="V461" s="54" t="s">
        <v>259</v>
      </c>
      <c r="W461" s="50" t="s">
        <v>260</v>
      </c>
      <c r="X461" s="50"/>
    </row>
    <row r="462" customFormat="false" ht="126.75" hidden="false" customHeight="true" outlineLevel="0" collapsed="false">
      <c r="A462" s="36" t="n">
        <v>457</v>
      </c>
      <c r="B462" s="37" t="n">
        <f aca="false">सारांश!$B$4+A462-1</f>
        <v>46797</v>
      </c>
      <c r="C462" s="36" t="str">
        <f aca="false">CHOOSE(WEEKDAY(B462,2),"सोमवार","मंगलवार","बुधवार","गुरुवार","शुक्रवार","शनिवार","रविवार")</f>
        <v>सोमवार</v>
      </c>
      <c r="D462" s="36" t="n">
        <f aca="false">IF(A462=1,0,INT((A462-2)/7)+1)</f>
        <v>66</v>
      </c>
      <c r="E462" s="36" t="n">
        <f aca="false">(YEAR(B462)-YEAR(सारांश!$B$4))*12+MONTH(B462)-MONTH(सारांश!$B$4)+IF(DAY(B462)&gt;=DAY(सारांश!$B$4),1,0)</f>
        <v>15</v>
      </c>
      <c r="F462" s="38" t="s">
        <v>20</v>
      </c>
      <c r="G462" s="14" t="s">
        <v>635</v>
      </c>
      <c r="H462" s="32" t="s">
        <v>1231</v>
      </c>
      <c r="I462" s="32" t="s">
        <v>707</v>
      </c>
      <c r="J462" s="48" t="s">
        <v>708</v>
      </c>
      <c r="K462" s="48" t="s">
        <v>639</v>
      </c>
      <c r="L462" s="14" t="s">
        <v>690</v>
      </c>
      <c r="M462" s="32" t="s">
        <v>1232</v>
      </c>
      <c r="N462" s="32" t="s">
        <v>268</v>
      </c>
      <c r="O462" s="32" t="s">
        <v>1061</v>
      </c>
      <c r="P462" s="32" t="s">
        <v>1062</v>
      </c>
      <c r="Q462" s="14" t="n">
        <v>7.5</v>
      </c>
      <c r="R462" s="32" t="s">
        <v>641</v>
      </c>
      <c r="S462" s="32" t="s">
        <v>692</v>
      </c>
      <c r="T462" s="49" t="s">
        <v>258</v>
      </c>
      <c r="U462" s="49" t="s">
        <v>259</v>
      </c>
      <c r="V462" s="49" t="s">
        <v>259</v>
      </c>
      <c r="W462" s="14" t="s">
        <v>260</v>
      </c>
      <c r="X462" s="14"/>
    </row>
    <row r="463" customFormat="false" ht="126.75" hidden="false" customHeight="true" outlineLevel="0" collapsed="false">
      <c r="A463" s="36" t="n">
        <v>458</v>
      </c>
      <c r="B463" s="37" t="n">
        <f aca="false">सारांश!$B$4+A463-1</f>
        <v>46798</v>
      </c>
      <c r="C463" s="36" t="str">
        <f aca="false">CHOOSE(WEEKDAY(B463,2),"सोमवार","मंगलवार","बुधवार","गुरुवार","शुक्रवार","शनिवार","रविवार")</f>
        <v>मंगलवार</v>
      </c>
      <c r="D463" s="36" t="n">
        <f aca="false">IF(A463=1,0,INT((A463-2)/7)+1)</f>
        <v>66</v>
      </c>
      <c r="E463" s="36" t="n">
        <f aca="false">(YEAR(B463)-YEAR(सारांश!$B$4))*12+MONTH(B463)-MONTH(सारांश!$B$4)+IF(DAY(B463)&gt;=DAY(सारांश!$B$4),1,0)</f>
        <v>16</v>
      </c>
      <c r="F463" s="38" t="s">
        <v>20</v>
      </c>
      <c r="G463" s="14" t="s">
        <v>714</v>
      </c>
      <c r="H463" s="32" t="s">
        <v>1233</v>
      </c>
      <c r="I463" s="32" t="s">
        <v>716</v>
      </c>
      <c r="J463" s="48" t="s">
        <v>717</v>
      </c>
      <c r="K463" s="48" t="s">
        <v>294</v>
      </c>
      <c r="L463" s="14" t="s">
        <v>690</v>
      </c>
      <c r="M463" s="32" t="s">
        <v>1234</v>
      </c>
      <c r="N463" s="32" t="s">
        <v>276</v>
      </c>
      <c r="O463" s="32" t="s">
        <v>1061</v>
      </c>
      <c r="P463" s="32" t="s">
        <v>1062</v>
      </c>
      <c r="Q463" s="14" t="n">
        <v>7.5</v>
      </c>
      <c r="R463" s="32" t="s">
        <v>719</v>
      </c>
      <c r="S463" s="32" t="s">
        <v>692</v>
      </c>
      <c r="T463" s="49" t="s">
        <v>258</v>
      </c>
      <c r="U463" s="49" t="s">
        <v>259</v>
      </c>
      <c r="V463" s="49" t="s">
        <v>259</v>
      </c>
      <c r="W463" s="14" t="s">
        <v>260</v>
      </c>
      <c r="X463" s="14"/>
    </row>
    <row r="464" customFormat="false" ht="126.75" hidden="false" customHeight="true" outlineLevel="0" collapsed="false">
      <c r="A464" s="36" t="n">
        <v>459</v>
      </c>
      <c r="B464" s="37" t="n">
        <f aca="false">सारांश!$B$4+A464-1</f>
        <v>46799</v>
      </c>
      <c r="C464" s="36" t="str">
        <f aca="false">CHOOSE(WEEKDAY(B464,2),"सोमवार","मंगलवार","बुधवार","गुरुवार","शुक्रवार","शनिवार","रविवार")</f>
        <v>बुधवार</v>
      </c>
      <c r="D464" s="36" t="n">
        <f aca="false">IF(A464=1,0,INT((A464-2)/7)+1)</f>
        <v>66</v>
      </c>
      <c r="E464" s="36" t="n">
        <f aca="false">(YEAR(B464)-YEAR(सारांश!$B$4))*12+MONTH(B464)-MONTH(सारांश!$B$4)+IF(DAY(B464)&gt;=DAY(सारांश!$B$4),1,0)</f>
        <v>16</v>
      </c>
      <c r="F464" s="38" t="s">
        <v>20</v>
      </c>
      <c r="G464" s="14" t="s">
        <v>714</v>
      </c>
      <c r="H464" s="32" t="s">
        <v>1235</v>
      </c>
      <c r="I464" s="32" t="s">
        <v>716</v>
      </c>
      <c r="J464" s="48" t="s">
        <v>717</v>
      </c>
      <c r="K464" s="48" t="s">
        <v>294</v>
      </c>
      <c r="L464" s="14" t="s">
        <v>690</v>
      </c>
      <c r="M464" s="32" t="s">
        <v>1236</v>
      </c>
      <c r="N464" s="32" t="s">
        <v>279</v>
      </c>
      <c r="O464" s="32" t="s">
        <v>1061</v>
      </c>
      <c r="P464" s="32" t="s">
        <v>1062</v>
      </c>
      <c r="Q464" s="14" t="n">
        <v>7.5</v>
      </c>
      <c r="R464" s="32" t="s">
        <v>719</v>
      </c>
      <c r="S464" s="32" t="s">
        <v>692</v>
      </c>
      <c r="T464" s="49" t="s">
        <v>258</v>
      </c>
      <c r="U464" s="49" t="s">
        <v>259</v>
      </c>
      <c r="V464" s="49" t="s">
        <v>259</v>
      </c>
      <c r="W464" s="14" t="s">
        <v>260</v>
      </c>
      <c r="X464" s="14"/>
    </row>
    <row r="465" customFormat="false" ht="126.75" hidden="false" customHeight="true" outlineLevel="0" collapsed="false">
      <c r="A465" s="36" t="n">
        <v>460</v>
      </c>
      <c r="B465" s="37" t="n">
        <f aca="false">सारांश!$B$4+A465-1</f>
        <v>46800</v>
      </c>
      <c r="C465" s="36" t="str">
        <f aca="false">CHOOSE(WEEKDAY(B465,2),"सोमवार","मंगलवार","बुधवार","गुरुवार","शुक्रवार","शनिवार","रविवार")</f>
        <v>गुरुवार</v>
      </c>
      <c r="D465" s="36" t="n">
        <f aca="false">IF(A465=1,0,INT((A465-2)/7)+1)</f>
        <v>66</v>
      </c>
      <c r="E465" s="36" t="n">
        <f aca="false">(YEAR(B465)-YEAR(सारांश!$B$4))*12+MONTH(B465)-MONTH(सारांश!$B$4)+IF(DAY(B465)&gt;=DAY(सारांश!$B$4),1,0)</f>
        <v>16</v>
      </c>
      <c r="F465" s="38" t="s">
        <v>20</v>
      </c>
      <c r="G465" s="14" t="s">
        <v>714</v>
      </c>
      <c r="H465" s="32" t="s">
        <v>1237</v>
      </c>
      <c r="I465" s="32" t="s">
        <v>726</v>
      </c>
      <c r="J465" s="48" t="s">
        <v>727</v>
      </c>
      <c r="K465" s="48" t="s">
        <v>294</v>
      </c>
      <c r="L465" s="14" t="s">
        <v>690</v>
      </c>
      <c r="M465" s="32" t="s">
        <v>1238</v>
      </c>
      <c r="N465" s="32" t="s">
        <v>284</v>
      </c>
      <c r="O465" s="32" t="s">
        <v>1061</v>
      </c>
      <c r="P465" s="32" t="s">
        <v>1062</v>
      </c>
      <c r="Q465" s="14" t="n">
        <v>7.5</v>
      </c>
      <c r="R465" s="32" t="s">
        <v>719</v>
      </c>
      <c r="S465" s="32" t="s">
        <v>692</v>
      </c>
      <c r="T465" s="49" t="s">
        <v>258</v>
      </c>
      <c r="U465" s="49" t="s">
        <v>259</v>
      </c>
      <c r="V465" s="49" t="s">
        <v>259</v>
      </c>
      <c r="W465" s="14" t="s">
        <v>260</v>
      </c>
      <c r="X465" s="14"/>
    </row>
    <row r="466" customFormat="false" ht="126.75" hidden="false" customHeight="true" outlineLevel="0" collapsed="false">
      <c r="A466" s="36" t="n">
        <v>461</v>
      </c>
      <c r="B466" s="37" t="n">
        <f aca="false">सारांश!$B$4+A466-1</f>
        <v>46801</v>
      </c>
      <c r="C466" s="36" t="str">
        <f aca="false">CHOOSE(WEEKDAY(B466,2),"सोमवार","मंगलवार","बुधवार","गुरुवार","शुक्रवार","शनिवार","रविवार")</f>
        <v>शुक्रवार</v>
      </c>
      <c r="D466" s="36" t="n">
        <f aca="false">IF(A466=1,0,INT((A466-2)/7)+1)</f>
        <v>66</v>
      </c>
      <c r="E466" s="36" t="n">
        <f aca="false">(YEAR(B466)-YEAR(सारांश!$B$4))*12+MONTH(B466)-MONTH(सारांश!$B$4)+IF(DAY(B466)&gt;=DAY(सारांश!$B$4),1,0)</f>
        <v>16</v>
      </c>
      <c r="F466" s="38" t="s">
        <v>20</v>
      </c>
      <c r="G466" s="14" t="s">
        <v>714</v>
      </c>
      <c r="H466" s="32" t="s">
        <v>1239</v>
      </c>
      <c r="I466" s="32" t="s">
        <v>734</v>
      </c>
      <c r="J466" s="48" t="s">
        <v>735</v>
      </c>
      <c r="K466" s="48" t="s">
        <v>294</v>
      </c>
      <c r="L466" s="14" t="s">
        <v>690</v>
      </c>
      <c r="M466" s="32" t="s">
        <v>1240</v>
      </c>
      <c r="N466" s="32" t="s">
        <v>287</v>
      </c>
      <c r="O466" s="32" t="s">
        <v>1061</v>
      </c>
      <c r="P466" s="32" t="s">
        <v>1062</v>
      </c>
      <c r="Q466" s="14" t="n">
        <v>7.5</v>
      </c>
      <c r="R466" s="32" t="s">
        <v>719</v>
      </c>
      <c r="S466" s="32" t="s">
        <v>692</v>
      </c>
      <c r="T466" s="49" t="s">
        <v>258</v>
      </c>
      <c r="U466" s="49" t="s">
        <v>259</v>
      </c>
      <c r="V466" s="49" t="s">
        <v>259</v>
      </c>
      <c r="W466" s="14" t="s">
        <v>260</v>
      </c>
      <c r="X466" s="14"/>
    </row>
    <row r="467" customFormat="false" ht="126.75" hidden="false" customHeight="true" outlineLevel="0" collapsed="false">
      <c r="A467" s="36" t="n">
        <v>462</v>
      </c>
      <c r="B467" s="37" t="n">
        <f aca="false">सारांश!$B$4+A467-1</f>
        <v>46802</v>
      </c>
      <c r="C467" s="36" t="str">
        <f aca="false">CHOOSE(WEEKDAY(B467,2),"सोमवार","मंगलवार","बुधवार","गुरुवार","शुक्रवार","शनिवार","रविवार")</f>
        <v>शनिवार</v>
      </c>
      <c r="D467" s="36" t="n">
        <f aca="false">IF(A467=1,0,INT((A467-2)/7)+1)</f>
        <v>66</v>
      </c>
      <c r="E467" s="36" t="n">
        <f aca="false">(YEAR(B467)-YEAR(सारांश!$B$4))*12+MONTH(B467)-MONTH(सारांश!$B$4)+IF(DAY(B467)&gt;=DAY(सारांश!$B$4),1,0)</f>
        <v>16</v>
      </c>
      <c r="F467" s="38" t="s">
        <v>20</v>
      </c>
      <c r="G467" s="14" t="s">
        <v>714</v>
      </c>
      <c r="H467" s="32" t="s">
        <v>1241</v>
      </c>
      <c r="I467" s="32" t="s">
        <v>734</v>
      </c>
      <c r="J467" s="48" t="s">
        <v>735</v>
      </c>
      <c r="K467" s="48" t="s">
        <v>294</v>
      </c>
      <c r="L467" s="14" t="s">
        <v>690</v>
      </c>
      <c r="M467" s="32" t="s">
        <v>1242</v>
      </c>
      <c r="N467" s="32" t="s">
        <v>290</v>
      </c>
      <c r="O467" s="32" t="s">
        <v>1061</v>
      </c>
      <c r="P467" s="32" t="s">
        <v>1062</v>
      </c>
      <c r="Q467" s="14" t="n">
        <v>7.5</v>
      </c>
      <c r="R467" s="32" t="s">
        <v>719</v>
      </c>
      <c r="S467" s="32" t="s">
        <v>692</v>
      </c>
      <c r="T467" s="49" t="s">
        <v>258</v>
      </c>
      <c r="U467" s="49" t="s">
        <v>259</v>
      </c>
      <c r="V467" s="49" t="s">
        <v>259</v>
      </c>
      <c r="W467" s="14" t="s">
        <v>260</v>
      </c>
      <c r="X467" s="14"/>
    </row>
    <row r="468" customFormat="false" ht="109.5" hidden="false" customHeight="true" outlineLevel="0" collapsed="false">
      <c r="A468" s="50" t="n">
        <v>463</v>
      </c>
      <c r="B468" s="51" t="n">
        <f aca="false">सारांश!$B$4+A468-1</f>
        <v>46803</v>
      </c>
      <c r="C468" s="50" t="str">
        <f aca="false">CHOOSE(WEEKDAY(B468,2),"सोमवार","मंगलवार","बुधवार","गुरुवार","शुक्रवार","शनिवार","रविवार")</f>
        <v>रविवार</v>
      </c>
      <c r="D468" s="50" t="n">
        <f aca="false">IF(A468=1,0,INT((A468-2)/7)+1)</f>
        <v>66</v>
      </c>
      <c r="E468" s="50" t="n">
        <f aca="false">(YEAR(B468)-YEAR(सारांश!$B$4))*12+MONTH(B468)-MONTH(सारांश!$B$4)+IF(DAY(B468)&gt;=DAY(सारांश!$B$4),1,0)</f>
        <v>16</v>
      </c>
      <c r="F468" s="52" t="s">
        <v>20</v>
      </c>
      <c r="G468" s="50" t="s">
        <v>291</v>
      </c>
      <c r="H468" s="52" t="s">
        <v>127</v>
      </c>
      <c r="I468" s="52" t="s">
        <v>1243</v>
      </c>
      <c r="J468" s="53" t="s">
        <v>293</v>
      </c>
      <c r="K468" s="53" t="s">
        <v>294</v>
      </c>
      <c r="L468" s="50" t="s">
        <v>295</v>
      </c>
      <c r="M468" s="52" t="s">
        <v>296</v>
      </c>
      <c r="N468" s="52" t="s">
        <v>297</v>
      </c>
      <c r="O468" s="52" t="s">
        <v>1074</v>
      </c>
      <c r="P468" s="52" t="s">
        <v>299</v>
      </c>
      <c r="Q468" s="50" t="n">
        <v>6</v>
      </c>
      <c r="R468" s="52" t="s">
        <v>300</v>
      </c>
      <c r="S468" s="52" t="s">
        <v>257</v>
      </c>
      <c r="T468" s="54" t="s">
        <v>258</v>
      </c>
      <c r="U468" s="54" t="s">
        <v>259</v>
      </c>
      <c r="V468" s="54" t="s">
        <v>259</v>
      </c>
      <c r="W468" s="50" t="s">
        <v>260</v>
      </c>
      <c r="X468" s="50"/>
    </row>
    <row r="469" customFormat="false" ht="75.75" hidden="false" customHeight="true" outlineLevel="0" collapsed="false">
      <c r="A469" s="39" t="n">
        <v>464</v>
      </c>
      <c r="B469" s="40" t="n">
        <f aca="false">सारांश!$B$4+A469-1</f>
        <v>46804</v>
      </c>
      <c r="C469" s="39" t="str">
        <f aca="false">CHOOSE(WEEKDAY(B469,2),"सोमवार","मंगलवार","बुधवार","गुरुवार","शुक्रवार","शनिवार","रविवार")</f>
        <v>सोमवार</v>
      </c>
      <c r="D469" s="39" t="n">
        <f aca="false">IF(A469=1,0,INT((A469-2)/7)+1)</f>
        <v>67</v>
      </c>
      <c r="E469" s="39" t="n">
        <f aca="false">(YEAR(B469)-YEAR(सारांश!$B$4))*12+MONTH(B469)-MONTH(सारांश!$B$4)+IF(DAY(B469)&gt;=DAY(सारांश!$B$4),1,0)</f>
        <v>16</v>
      </c>
      <c r="F469" s="41" t="s">
        <v>22</v>
      </c>
      <c r="G469" s="14" t="s">
        <v>103</v>
      </c>
      <c r="H469" s="32" t="s">
        <v>1244</v>
      </c>
      <c r="I469" s="32" t="s">
        <v>1245</v>
      </c>
      <c r="J469" s="48" t="s">
        <v>249</v>
      </c>
      <c r="K469" s="48" t="s">
        <v>250</v>
      </c>
      <c r="L469" s="14" t="s">
        <v>104</v>
      </c>
      <c r="M469" s="32" t="s">
        <v>1246</v>
      </c>
      <c r="N469" s="32" t="s">
        <v>268</v>
      </c>
      <c r="O469" s="32" t="s">
        <v>1247</v>
      </c>
      <c r="P469" s="32" t="s">
        <v>1248</v>
      </c>
      <c r="Q469" s="14" t="n">
        <v>7.5</v>
      </c>
      <c r="R469" s="32" t="s">
        <v>300</v>
      </c>
      <c r="S469" s="32" t="s">
        <v>257</v>
      </c>
      <c r="T469" s="49" t="s">
        <v>258</v>
      </c>
      <c r="U469" s="49" t="s">
        <v>259</v>
      </c>
      <c r="V469" s="49" t="s">
        <v>259</v>
      </c>
      <c r="W469" s="14" t="s">
        <v>260</v>
      </c>
      <c r="X469" s="14"/>
    </row>
    <row r="470" customFormat="false" ht="75.75" hidden="false" customHeight="true" outlineLevel="0" collapsed="false">
      <c r="A470" s="39" t="n">
        <v>465</v>
      </c>
      <c r="B470" s="40" t="n">
        <f aca="false">सारांश!$B$4+A470-1</f>
        <v>46805</v>
      </c>
      <c r="C470" s="39" t="str">
        <f aca="false">CHOOSE(WEEKDAY(B470,2),"सोमवार","मंगलवार","बुधवार","गुरुवार","शुक्रवार","शनिवार","रविवार")</f>
        <v>मंगलवार</v>
      </c>
      <c r="D470" s="39" t="n">
        <f aca="false">IF(A470=1,0,INT((A470-2)/7)+1)</f>
        <v>67</v>
      </c>
      <c r="E470" s="39" t="n">
        <f aca="false">(YEAR(B470)-YEAR(सारांश!$B$4))*12+MONTH(B470)-MONTH(सारांश!$B$4)+IF(DAY(B470)&gt;=DAY(सारांश!$B$4),1,0)</f>
        <v>16</v>
      </c>
      <c r="F470" s="41" t="s">
        <v>22</v>
      </c>
      <c r="G470" s="14" t="s">
        <v>103</v>
      </c>
      <c r="H470" s="32" t="s">
        <v>1249</v>
      </c>
      <c r="I470" s="32" t="s">
        <v>1245</v>
      </c>
      <c r="J470" s="48" t="s">
        <v>249</v>
      </c>
      <c r="K470" s="48" t="s">
        <v>250</v>
      </c>
      <c r="L470" s="14" t="s">
        <v>104</v>
      </c>
      <c r="M470" s="32" t="s">
        <v>1250</v>
      </c>
      <c r="N470" s="32" t="s">
        <v>276</v>
      </c>
      <c r="O470" s="32" t="s">
        <v>1247</v>
      </c>
      <c r="P470" s="32" t="s">
        <v>1248</v>
      </c>
      <c r="Q470" s="14" t="n">
        <v>7.5</v>
      </c>
      <c r="R470" s="32" t="s">
        <v>300</v>
      </c>
      <c r="S470" s="32" t="s">
        <v>257</v>
      </c>
      <c r="T470" s="49" t="s">
        <v>258</v>
      </c>
      <c r="U470" s="49" t="s">
        <v>259</v>
      </c>
      <c r="V470" s="49" t="s">
        <v>259</v>
      </c>
      <c r="W470" s="14" t="s">
        <v>260</v>
      </c>
      <c r="X470" s="14"/>
    </row>
    <row r="471" customFormat="false" ht="75.75" hidden="false" customHeight="true" outlineLevel="0" collapsed="false">
      <c r="A471" s="39" t="n">
        <v>466</v>
      </c>
      <c r="B471" s="40" t="n">
        <f aca="false">सारांश!$B$4+A471-1</f>
        <v>46806</v>
      </c>
      <c r="C471" s="39" t="str">
        <f aca="false">CHOOSE(WEEKDAY(B471,2),"सोमवार","मंगलवार","बुधवार","गुरुवार","शुक्रवार","शनिवार","रविवार")</f>
        <v>बुधवार</v>
      </c>
      <c r="D471" s="39" t="n">
        <f aca="false">IF(A471=1,0,INT((A471-2)/7)+1)</f>
        <v>67</v>
      </c>
      <c r="E471" s="39" t="n">
        <f aca="false">(YEAR(B471)-YEAR(सारांश!$B$4))*12+MONTH(B471)-MONTH(सारांश!$B$4)+IF(DAY(B471)&gt;=DAY(सारांश!$B$4),1,0)</f>
        <v>16</v>
      </c>
      <c r="F471" s="41" t="s">
        <v>22</v>
      </c>
      <c r="G471" s="14" t="s">
        <v>103</v>
      </c>
      <c r="H471" s="32" t="s">
        <v>1251</v>
      </c>
      <c r="I471" s="32" t="s">
        <v>1245</v>
      </c>
      <c r="J471" s="48" t="s">
        <v>249</v>
      </c>
      <c r="K471" s="48" t="s">
        <v>250</v>
      </c>
      <c r="L471" s="14" t="s">
        <v>104</v>
      </c>
      <c r="M471" s="32" t="s">
        <v>1252</v>
      </c>
      <c r="N471" s="32" t="s">
        <v>279</v>
      </c>
      <c r="O471" s="32" t="s">
        <v>1247</v>
      </c>
      <c r="P471" s="32" t="s">
        <v>1248</v>
      </c>
      <c r="Q471" s="14" t="n">
        <v>7.5</v>
      </c>
      <c r="R471" s="32" t="s">
        <v>300</v>
      </c>
      <c r="S471" s="32" t="s">
        <v>257</v>
      </c>
      <c r="T471" s="49" t="s">
        <v>258</v>
      </c>
      <c r="U471" s="49" t="s">
        <v>259</v>
      </c>
      <c r="V471" s="49" t="s">
        <v>259</v>
      </c>
      <c r="W471" s="14" t="s">
        <v>260</v>
      </c>
      <c r="X471" s="14"/>
    </row>
    <row r="472" customFormat="false" ht="75.75" hidden="false" customHeight="true" outlineLevel="0" collapsed="false">
      <c r="A472" s="39" t="n">
        <v>467</v>
      </c>
      <c r="B472" s="40" t="n">
        <f aca="false">सारांश!$B$4+A472-1</f>
        <v>46807</v>
      </c>
      <c r="C472" s="39" t="str">
        <f aca="false">CHOOSE(WEEKDAY(B472,2),"सोमवार","मंगलवार","बुधवार","गुरुवार","शुक्रवार","शनिवार","रविवार")</f>
        <v>गुरुवार</v>
      </c>
      <c r="D472" s="39" t="n">
        <f aca="false">IF(A472=1,0,INT((A472-2)/7)+1)</f>
        <v>67</v>
      </c>
      <c r="E472" s="39" t="n">
        <f aca="false">(YEAR(B472)-YEAR(सारांश!$B$4))*12+MONTH(B472)-MONTH(सारांश!$B$4)+IF(DAY(B472)&gt;=DAY(सारांश!$B$4),1,0)</f>
        <v>16</v>
      </c>
      <c r="F472" s="41" t="s">
        <v>22</v>
      </c>
      <c r="G472" s="14" t="s">
        <v>103</v>
      </c>
      <c r="H472" s="32" t="s">
        <v>1253</v>
      </c>
      <c r="I472" s="32" t="s">
        <v>1245</v>
      </c>
      <c r="J472" s="48" t="s">
        <v>249</v>
      </c>
      <c r="K472" s="48" t="s">
        <v>250</v>
      </c>
      <c r="L472" s="14" t="s">
        <v>104</v>
      </c>
      <c r="M472" s="32" t="s">
        <v>1254</v>
      </c>
      <c r="N472" s="32" t="s">
        <v>284</v>
      </c>
      <c r="O472" s="32" t="s">
        <v>1247</v>
      </c>
      <c r="P472" s="32" t="s">
        <v>1248</v>
      </c>
      <c r="Q472" s="14" t="n">
        <v>7.5</v>
      </c>
      <c r="R472" s="32" t="s">
        <v>300</v>
      </c>
      <c r="S472" s="32" t="s">
        <v>257</v>
      </c>
      <c r="T472" s="49" t="s">
        <v>258</v>
      </c>
      <c r="U472" s="49" t="s">
        <v>259</v>
      </c>
      <c r="V472" s="49" t="s">
        <v>259</v>
      </c>
      <c r="W472" s="14" t="s">
        <v>260</v>
      </c>
      <c r="X472" s="14"/>
    </row>
    <row r="473" customFormat="false" ht="75.75" hidden="false" customHeight="true" outlineLevel="0" collapsed="false">
      <c r="A473" s="39" t="n">
        <v>468</v>
      </c>
      <c r="B473" s="40" t="n">
        <f aca="false">सारांश!$B$4+A473-1</f>
        <v>46808</v>
      </c>
      <c r="C473" s="39" t="str">
        <f aca="false">CHOOSE(WEEKDAY(B473,2),"सोमवार","मंगलवार","बुधवार","गुरुवार","शुक्रवार","शनिवार","रविवार")</f>
        <v>शुक्रवार</v>
      </c>
      <c r="D473" s="39" t="n">
        <f aca="false">IF(A473=1,0,INT((A473-2)/7)+1)</f>
        <v>67</v>
      </c>
      <c r="E473" s="39" t="n">
        <f aca="false">(YEAR(B473)-YEAR(सारांश!$B$4))*12+MONTH(B473)-MONTH(सारांश!$B$4)+IF(DAY(B473)&gt;=DAY(सारांश!$B$4),1,0)</f>
        <v>16</v>
      </c>
      <c r="F473" s="41" t="s">
        <v>22</v>
      </c>
      <c r="G473" s="14" t="s">
        <v>103</v>
      </c>
      <c r="H473" s="32" t="s">
        <v>1255</v>
      </c>
      <c r="I473" s="32" t="s">
        <v>1245</v>
      </c>
      <c r="J473" s="48" t="s">
        <v>249</v>
      </c>
      <c r="K473" s="48" t="s">
        <v>250</v>
      </c>
      <c r="L473" s="14" t="s">
        <v>104</v>
      </c>
      <c r="M473" s="32" t="s">
        <v>1256</v>
      </c>
      <c r="N473" s="32" t="s">
        <v>287</v>
      </c>
      <c r="O473" s="32" t="s">
        <v>1247</v>
      </c>
      <c r="P473" s="32" t="s">
        <v>1248</v>
      </c>
      <c r="Q473" s="14" t="n">
        <v>7.5</v>
      </c>
      <c r="R473" s="32" t="s">
        <v>300</v>
      </c>
      <c r="S473" s="32" t="s">
        <v>257</v>
      </c>
      <c r="T473" s="49" t="s">
        <v>258</v>
      </c>
      <c r="U473" s="49" t="s">
        <v>259</v>
      </c>
      <c r="V473" s="49" t="s">
        <v>259</v>
      </c>
      <c r="W473" s="14" t="s">
        <v>260</v>
      </c>
      <c r="X473" s="14"/>
    </row>
    <row r="474" customFormat="false" ht="75.75" hidden="false" customHeight="true" outlineLevel="0" collapsed="false">
      <c r="A474" s="39" t="n">
        <v>469</v>
      </c>
      <c r="B474" s="40" t="n">
        <f aca="false">सारांश!$B$4+A474-1</f>
        <v>46809</v>
      </c>
      <c r="C474" s="39" t="str">
        <f aca="false">CHOOSE(WEEKDAY(B474,2),"सोमवार","मंगलवार","बुधवार","गुरुवार","शुक्रवार","शनिवार","रविवार")</f>
        <v>शनिवार</v>
      </c>
      <c r="D474" s="39" t="n">
        <f aca="false">IF(A474=1,0,INT((A474-2)/7)+1)</f>
        <v>67</v>
      </c>
      <c r="E474" s="39" t="n">
        <f aca="false">(YEAR(B474)-YEAR(सारांश!$B$4))*12+MONTH(B474)-MONTH(सारांश!$B$4)+IF(DAY(B474)&gt;=DAY(सारांश!$B$4),1,0)</f>
        <v>16</v>
      </c>
      <c r="F474" s="41" t="s">
        <v>22</v>
      </c>
      <c r="G474" s="14" t="s">
        <v>103</v>
      </c>
      <c r="H474" s="32" t="s">
        <v>1257</v>
      </c>
      <c r="I474" s="32" t="s">
        <v>1245</v>
      </c>
      <c r="J474" s="48" t="s">
        <v>249</v>
      </c>
      <c r="K474" s="48" t="s">
        <v>250</v>
      </c>
      <c r="L474" s="14" t="s">
        <v>104</v>
      </c>
      <c r="M474" s="32" t="s">
        <v>1258</v>
      </c>
      <c r="N474" s="32" t="s">
        <v>290</v>
      </c>
      <c r="O474" s="32" t="s">
        <v>1247</v>
      </c>
      <c r="P474" s="32" t="s">
        <v>1248</v>
      </c>
      <c r="Q474" s="14" t="n">
        <v>7.5</v>
      </c>
      <c r="R474" s="32" t="s">
        <v>300</v>
      </c>
      <c r="S474" s="32" t="s">
        <v>257</v>
      </c>
      <c r="T474" s="49" t="s">
        <v>258</v>
      </c>
      <c r="U474" s="49" t="s">
        <v>259</v>
      </c>
      <c r="V474" s="49" t="s">
        <v>259</v>
      </c>
      <c r="W474" s="14" t="s">
        <v>260</v>
      </c>
      <c r="X474" s="14"/>
    </row>
    <row r="475" customFormat="false" ht="58.5" hidden="false" customHeight="true" outlineLevel="0" collapsed="false">
      <c r="A475" s="50" t="n">
        <v>470</v>
      </c>
      <c r="B475" s="51" t="n">
        <f aca="false">सारांश!$B$4+A475-1</f>
        <v>46810</v>
      </c>
      <c r="C475" s="50" t="str">
        <f aca="false">CHOOSE(WEEKDAY(B475,2),"सोमवार","मंगलवार","बुधवार","गुरुवार","शुक्रवार","शनिवार","रविवार")</f>
        <v>रविवार</v>
      </c>
      <c r="D475" s="50" t="n">
        <f aca="false">IF(A475=1,0,INT((A475-2)/7)+1)</f>
        <v>67</v>
      </c>
      <c r="E475" s="50" t="n">
        <f aca="false">(YEAR(B475)-YEAR(सारांश!$B$4))*12+MONTH(B475)-MONTH(सारांश!$B$4)+IF(DAY(B475)&gt;=DAY(सारांश!$B$4),1,0)</f>
        <v>16</v>
      </c>
      <c r="F475" s="52" t="s">
        <v>22</v>
      </c>
      <c r="G475" s="50" t="s">
        <v>291</v>
      </c>
      <c r="H475" s="52" t="s">
        <v>127</v>
      </c>
      <c r="I475" s="52" t="s">
        <v>1259</v>
      </c>
      <c r="J475" s="53" t="s">
        <v>293</v>
      </c>
      <c r="K475" s="53" t="s">
        <v>294</v>
      </c>
      <c r="L475" s="50" t="s">
        <v>295</v>
      </c>
      <c r="M475" s="52" t="s">
        <v>296</v>
      </c>
      <c r="N475" s="52" t="s">
        <v>297</v>
      </c>
      <c r="O475" s="52" t="s">
        <v>1260</v>
      </c>
      <c r="P475" s="52" t="s">
        <v>299</v>
      </c>
      <c r="Q475" s="50" t="n">
        <v>6</v>
      </c>
      <c r="R475" s="52" t="s">
        <v>300</v>
      </c>
      <c r="S475" s="52" t="s">
        <v>257</v>
      </c>
      <c r="T475" s="54" t="s">
        <v>258</v>
      </c>
      <c r="U475" s="54" t="s">
        <v>259</v>
      </c>
      <c r="V475" s="54" t="s">
        <v>259</v>
      </c>
      <c r="W475" s="50" t="s">
        <v>260</v>
      </c>
      <c r="X475" s="50"/>
    </row>
    <row r="476" customFormat="false" ht="75.75" hidden="false" customHeight="true" outlineLevel="0" collapsed="false">
      <c r="A476" s="39" t="n">
        <v>471</v>
      </c>
      <c r="B476" s="40" t="n">
        <f aca="false">सारांश!$B$4+A476-1</f>
        <v>46811</v>
      </c>
      <c r="C476" s="39" t="str">
        <f aca="false">CHOOSE(WEEKDAY(B476,2),"सोमवार","मंगलवार","बुधवार","गुरुवार","शुक्रवार","शनिवार","रविवार")</f>
        <v>सोमवार</v>
      </c>
      <c r="D476" s="39" t="n">
        <f aca="false">IF(A476=1,0,INT((A476-2)/7)+1)</f>
        <v>68</v>
      </c>
      <c r="E476" s="39" t="n">
        <f aca="false">(YEAR(B476)-YEAR(सारांश!$B$4))*12+MONTH(B476)-MONTH(सारांश!$B$4)+IF(DAY(B476)&gt;=DAY(सारांश!$B$4),1,0)</f>
        <v>16</v>
      </c>
      <c r="F476" s="41" t="s">
        <v>22</v>
      </c>
      <c r="G476" s="14" t="s">
        <v>103</v>
      </c>
      <c r="H476" s="32" t="s">
        <v>1244</v>
      </c>
      <c r="I476" s="32" t="s">
        <v>1245</v>
      </c>
      <c r="J476" s="48" t="s">
        <v>249</v>
      </c>
      <c r="K476" s="48" t="s">
        <v>250</v>
      </c>
      <c r="L476" s="14" t="s">
        <v>104</v>
      </c>
      <c r="M476" s="32" t="s">
        <v>1250</v>
      </c>
      <c r="N476" s="32" t="s">
        <v>268</v>
      </c>
      <c r="O476" s="32" t="s">
        <v>1247</v>
      </c>
      <c r="P476" s="32" t="s">
        <v>1248</v>
      </c>
      <c r="Q476" s="14" t="n">
        <v>7.5</v>
      </c>
      <c r="R476" s="32" t="s">
        <v>300</v>
      </c>
      <c r="S476" s="32" t="s">
        <v>257</v>
      </c>
      <c r="T476" s="49" t="s">
        <v>258</v>
      </c>
      <c r="U476" s="49" t="s">
        <v>259</v>
      </c>
      <c r="V476" s="49" t="s">
        <v>259</v>
      </c>
      <c r="W476" s="14" t="s">
        <v>260</v>
      </c>
      <c r="X476" s="14"/>
    </row>
    <row r="477" customFormat="false" ht="75.75" hidden="false" customHeight="true" outlineLevel="0" collapsed="false">
      <c r="A477" s="39" t="n">
        <v>472</v>
      </c>
      <c r="B477" s="40" t="n">
        <f aca="false">सारांश!$B$4+A477-1</f>
        <v>46812</v>
      </c>
      <c r="C477" s="39" t="str">
        <f aca="false">CHOOSE(WEEKDAY(B477,2),"सोमवार","मंगलवार","बुधवार","गुरुवार","शुक्रवार","शनिवार","रविवार")</f>
        <v>मंगलवार</v>
      </c>
      <c r="D477" s="39" t="n">
        <f aca="false">IF(A477=1,0,INT((A477-2)/7)+1)</f>
        <v>68</v>
      </c>
      <c r="E477" s="39" t="n">
        <f aca="false">(YEAR(B477)-YEAR(सारांश!$B$4))*12+MONTH(B477)-MONTH(सारांश!$B$4)+IF(DAY(B477)&gt;=DAY(सारांश!$B$4),1,0)</f>
        <v>16</v>
      </c>
      <c r="F477" s="41" t="s">
        <v>22</v>
      </c>
      <c r="G477" s="14" t="s">
        <v>103</v>
      </c>
      <c r="H477" s="32" t="s">
        <v>1249</v>
      </c>
      <c r="I477" s="32" t="s">
        <v>1245</v>
      </c>
      <c r="J477" s="48" t="s">
        <v>249</v>
      </c>
      <c r="K477" s="48" t="s">
        <v>250</v>
      </c>
      <c r="L477" s="14" t="s">
        <v>104</v>
      </c>
      <c r="M477" s="32" t="s">
        <v>1252</v>
      </c>
      <c r="N477" s="32" t="s">
        <v>276</v>
      </c>
      <c r="O477" s="32" t="s">
        <v>1247</v>
      </c>
      <c r="P477" s="32" t="s">
        <v>1248</v>
      </c>
      <c r="Q477" s="14" t="n">
        <v>7.5</v>
      </c>
      <c r="R477" s="32" t="s">
        <v>300</v>
      </c>
      <c r="S477" s="32" t="s">
        <v>257</v>
      </c>
      <c r="T477" s="49" t="s">
        <v>258</v>
      </c>
      <c r="U477" s="49" t="s">
        <v>259</v>
      </c>
      <c r="V477" s="49" t="s">
        <v>259</v>
      </c>
      <c r="W477" s="14" t="s">
        <v>260</v>
      </c>
      <c r="X477" s="14"/>
    </row>
    <row r="478" customFormat="false" ht="75.75" hidden="false" customHeight="true" outlineLevel="0" collapsed="false">
      <c r="A478" s="39" t="n">
        <v>473</v>
      </c>
      <c r="B478" s="40" t="n">
        <f aca="false">सारांश!$B$4+A478-1</f>
        <v>46813</v>
      </c>
      <c r="C478" s="39" t="str">
        <f aca="false">CHOOSE(WEEKDAY(B478,2),"सोमवार","मंगलवार","बुधवार","गुरुवार","शुक्रवार","शनिवार","रविवार")</f>
        <v>बुधवार</v>
      </c>
      <c r="D478" s="39" t="n">
        <f aca="false">IF(A478=1,0,INT((A478-2)/7)+1)</f>
        <v>68</v>
      </c>
      <c r="E478" s="39" t="n">
        <f aca="false">(YEAR(B478)-YEAR(सारांश!$B$4))*12+MONTH(B478)-MONTH(सारांश!$B$4)+IF(DAY(B478)&gt;=DAY(सारांश!$B$4),1,0)</f>
        <v>16</v>
      </c>
      <c r="F478" s="41" t="s">
        <v>22</v>
      </c>
      <c r="G478" s="14" t="s">
        <v>103</v>
      </c>
      <c r="H478" s="32" t="s">
        <v>1251</v>
      </c>
      <c r="I478" s="32" t="s">
        <v>1245</v>
      </c>
      <c r="J478" s="48" t="s">
        <v>249</v>
      </c>
      <c r="K478" s="48" t="s">
        <v>250</v>
      </c>
      <c r="L478" s="14" t="s">
        <v>104</v>
      </c>
      <c r="M478" s="32" t="s">
        <v>1254</v>
      </c>
      <c r="N478" s="32" t="s">
        <v>279</v>
      </c>
      <c r="O478" s="32" t="s">
        <v>1247</v>
      </c>
      <c r="P478" s="32" t="s">
        <v>1248</v>
      </c>
      <c r="Q478" s="14" t="n">
        <v>7.5</v>
      </c>
      <c r="R478" s="32" t="s">
        <v>300</v>
      </c>
      <c r="S478" s="32" t="s">
        <v>257</v>
      </c>
      <c r="T478" s="49" t="s">
        <v>258</v>
      </c>
      <c r="U478" s="49" t="s">
        <v>259</v>
      </c>
      <c r="V478" s="49" t="s">
        <v>259</v>
      </c>
      <c r="W478" s="14" t="s">
        <v>260</v>
      </c>
      <c r="X478" s="14"/>
    </row>
    <row r="479" customFormat="false" ht="75.75" hidden="false" customHeight="true" outlineLevel="0" collapsed="false">
      <c r="A479" s="39" t="n">
        <v>474</v>
      </c>
      <c r="B479" s="40" t="n">
        <f aca="false">सारांश!$B$4+A479-1</f>
        <v>46814</v>
      </c>
      <c r="C479" s="39" t="str">
        <f aca="false">CHOOSE(WEEKDAY(B479,2),"सोमवार","मंगलवार","बुधवार","गुरुवार","शुक्रवार","शनिवार","रविवार")</f>
        <v>गुरुवार</v>
      </c>
      <c r="D479" s="39" t="n">
        <f aca="false">IF(A479=1,0,INT((A479-2)/7)+1)</f>
        <v>68</v>
      </c>
      <c r="E479" s="39" t="n">
        <f aca="false">(YEAR(B479)-YEAR(सारांश!$B$4))*12+MONTH(B479)-MONTH(सारांश!$B$4)+IF(DAY(B479)&gt;=DAY(सारांश!$B$4),1,0)</f>
        <v>16</v>
      </c>
      <c r="F479" s="41" t="s">
        <v>22</v>
      </c>
      <c r="G479" s="14" t="s">
        <v>103</v>
      </c>
      <c r="H479" s="32" t="s">
        <v>1253</v>
      </c>
      <c r="I479" s="32" t="s">
        <v>1245</v>
      </c>
      <c r="J479" s="48" t="s">
        <v>249</v>
      </c>
      <c r="K479" s="48" t="s">
        <v>250</v>
      </c>
      <c r="L479" s="14" t="s">
        <v>104</v>
      </c>
      <c r="M479" s="32" t="s">
        <v>1256</v>
      </c>
      <c r="N479" s="32" t="s">
        <v>284</v>
      </c>
      <c r="O479" s="32" t="s">
        <v>1247</v>
      </c>
      <c r="P479" s="32" t="s">
        <v>1248</v>
      </c>
      <c r="Q479" s="14" t="n">
        <v>7.5</v>
      </c>
      <c r="R479" s="32" t="s">
        <v>300</v>
      </c>
      <c r="S479" s="32" t="s">
        <v>257</v>
      </c>
      <c r="T479" s="49" t="s">
        <v>258</v>
      </c>
      <c r="U479" s="49" t="s">
        <v>259</v>
      </c>
      <c r="V479" s="49" t="s">
        <v>259</v>
      </c>
      <c r="W479" s="14" t="s">
        <v>260</v>
      </c>
      <c r="X479" s="14"/>
    </row>
    <row r="480" customFormat="false" ht="75.75" hidden="false" customHeight="true" outlineLevel="0" collapsed="false">
      <c r="A480" s="39" t="n">
        <v>475</v>
      </c>
      <c r="B480" s="40" t="n">
        <f aca="false">सारांश!$B$4+A480-1</f>
        <v>46815</v>
      </c>
      <c r="C480" s="39" t="str">
        <f aca="false">CHOOSE(WEEKDAY(B480,2),"सोमवार","मंगलवार","बुधवार","गुरुवार","शुक्रवार","शनिवार","रविवार")</f>
        <v>शुक्रवार</v>
      </c>
      <c r="D480" s="39" t="n">
        <f aca="false">IF(A480=1,0,INT((A480-2)/7)+1)</f>
        <v>68</v>
      </c>
      <c r="E480" s="39" t="n">
        <f aca="false">(YEAR(B480)-YEAR(सारांश!$B$4))*12+MONTH(B480)-MONTH(सारांश!$B$4)+IF(DAY(B480)&gt;=DAY(सारांश!$B$4),1,0)</f>
        <v>16</v>
      </c>
      <c r="F480" s="41" t="s">
        <v>22</v>
      </c>
      <c r="G480" s="14" t="s">
        <v>103</v>
      </c>
      <c r="H480" s="32" t="s">
        <v>1255</v>
      </c>
      <c r="I480" s="32" t="s">
        <v>1245</v>
      </c>
      <c r="J480" s="48" t="s">
        <v>249</v>
      </c>
      <c r="K480" s="48" t="s">
        <v>250</v>
      </c>
      <c r="L480" s="14" t="s">
        <v>104</v>
      </c>
      <c r="M480" s="32" t="s">
        <v>1258</v>
      </c>
      <c r="N480" s="32" t="s">
        <v>287</v>
      </c>
      <c r="O480" s="32" t="s">
        <v>1247</v>
      </c>
      <c r="P480" s="32" t="s">
        <v>1248</v>
      </c>
      <c r="Q480" s="14" t="n">
        <v>7.5</v>
      </c>
      <c r="R480" s="32" t="s">
        <v>300</v>
      </c>
      <c r="S480" s="32" t="s">
        <v>257</v>
      </c>
      <c r="T480" s="49" t="s">
        <v>258</v>
      </c>
      <c r="U480" s="49" t="s">
        <v>259</v>
      </c>
      <c r="V480" s="49" t="s">
        <v>259</v>
      </c>
      <c r="W480" s="14" t="s">
        <v>260</v>
      </c>
      <c r="X480" s="14"/>
    </row>
    <row r="481" customFormat="false" ht="75.75" hidden="false" customHeight="true" outlineLevel="0" collapsed="false">
      <c r="A481" s="39" t="n">
        <v>476</v>
      </c>
      <c r="B481" s="40" t="n">
        <f aca="false">सारांश!$B$4+A481-1</f>
        <v>46816</v>
      </c>
      <c r="C481" s="39" t="str">
        <f aca="false">CHOOSE(WEEKDAY(B481,2),"सोमवार","मंगलवार","बुधवार","गुरुवार","शुक्रवार","शनिवार","रविवार")</f>
        <v>शनिवार</v>
      </c>
      <c r="D481" s="39" t="n">
        <f aca="false">IF(A481=1,0,INT((A481-2)/7)+1)</f>
        <v>68</v>
      </c>
      <c r="E481" s="39" t="n">
        <f aca="false">(YEAR(B481)-YEAR(सारांश!$B$4))*12+MONTH(B481)-MONTH(सारांश!$B$4)+IF(DAY(B481)&gt;=DAY(सारांश!$B$4),1,0)</f>
        <v>16</v>
      </c>
      <c r="F481" s="41" t="s">
        <v>22</v>
      </c>
      <c r="G481" s="14" t="s">
        <v>103</v>
      </c>
      <c r="H481" s="32" t="s">
        <v>1257</v>
      </c>
      <c r="I481" s="32" t="s">
        <v>1245</v>
      </c>
      <c r="J481" s="48" t="s">
        <v>249</v>
      </c>
      <c r="K481" s="48" t="s">
        <v>250</v>
      </c>
      <c r="L481" s="14" t="s">
        <v>104</v>
      </c>
      <c r="M481" s="32" t="s">
        <v>1261</v>
      </c>
      <c r="N481" s="32" t="s">
        <v>290</v>
      </c>
      <c r="O481" s="32" t="s">
        <v>1247</v>
      </c>
      <c r="P481" s="32" t="s">
        <v>1248</v>
      </c>
      <c r="Q481" s="14" t="n">
        <v>7.5</v>
      </c>
      <c r="R481" s="32" t="s">
        <v>300</v>
      </c>
      <c r="S481" s="32" t="s">
        <v>257</v>
      </c>
      <c r="T481" s="49" t="s">
        <v>258</v>
      </c>
      <c r="U481" s="49" t="s">
        <v>259</v>
      </c>
      <c r="V481" s="49" t="s">
        <v>259</v>
      </c>
      <c r="W481" s="14" t="s">
        <v>260</v>
      </c>
      <c r="X481" s="14"/>
    </row>
    <row r="482" customFormat="false" ht="58.5" hidden="false" customHeight="true" outlineLevel="0" collapsed="false">
      <c r="A482" s="50" t="n">
        <v>477</v>
      </c>
      <c r="B482" s="51" t="n">
        <f aca="false">सारांश!$B$4+A482-1</f>
        <v>46817</v>
      </c>
      <c r="C482" s="50" t="str">
        <f aca="false">CHOOSE(WEEKDAY(B482,2),"सोमवार","मंगलवार","बुधवार","गुरुवार","शुक्रवार","शनिवार","रविवार")</f>
        <v>रविवार</v>
      </c>
      <c r="D482" s="50" t="n">
        <f aca="false">IF(A482=1,0,INT((A482-2)/7)+1)</f>
        <v>68</v>
      </c>
      <c r="E482" s="50" t="n">
        <f aca="false">(YEAR(B482)-YEAR(सारांश!$B$4))*12+MONTH(B482)-MONTH(सारांश!$B$4)+IF(DAY(B482)&gt;=DAY(सारांश!$B$4),1,0)</f>
        <v>16</v>
      </c>
      <c r="F482" s="52" t="s">
        <v>22</v>
      </c>
      <c r="G482" s="50" t="s">
        <v>291</v>
      </c>
      <c r="H482" s="52" t="s">
        <v>135</v>
      </c>
      <c r="I482" s="52" t="s">
        <v>1259</v>
      </c>
      <c r="J482" s="53" t="s">
        <v>293</v>
      </c>
      <c r="K482" s="53" t="s">
        <v>294</v>
      </c>
      <c r="L482" s="50" t="s">
        <v>295</v>
      </c>
      <c r="M482" s="52" t="s">
        <v>296</v>
      </c>
      <c r="N482" s="52" t="s">
        <v>297</v>
      </c>
      <c r="O482" s="52" t="s">
        <v>1260</v>
      </c>
      <c r="P482" s="52" t="s">
        <v>299</v>
      </c>
      <c r="Q482" s="50" t="n">
        <v>6</v>
      </c>
      <c r="R482" s="52" t="s">
        <v>300</v>
      </c>
      <c r="S482" s="52" t="s">
        <v>257</v>
      </c>
      <c r="T482" s="54" t="s">
        <v>258</v>
      </c>
      <c r="U482" s="54" t="s">
        <v>259</v>
      </c>
      <c r="V482" s="54" t="s">
        <v>259</v>
      </c>
      <c r="W482" s="50" t="s">
        <v>260</v>
      </c>
      <c r="X482" s="50"/>
    </row>
    <row r="483" customFormat="false" ht="75.75" hidden="false" customHeight="true" outlineLevel="0" collapsed="false">
      <c r="A483" s="39" t="n">
        <v>478</v>
      </c>
      <c r="B483" s="40" t="n">
        <f aca="false">सारांश!$B$4+A483-1</f>
        <v>46818</v>
      </c>
      <c r="C483" s="39" t="str">
        <f aca="false">CHOOSE(WEEKDAY(B483,2),"सोमवार","मंगलवार","बुधवार","गुरुवार","शुक्रवार","शनिवार","रविवार")</f>
        <v>सोमवार</v>
      </c>
      <c r="D483" s="39" t="n">
        <f aca="false">IF(A483=1,0,INT((A483-2)/7)+1)</f>
        <v>69</v>
      </c>
      <c r="E483" s="39" t="n">
        <f aca="false">(YEAR(B483)-YEAR(सारांश!$B$4))*12+MONTH(B483)-MONTH(सारांश!$B$4)+IF(DAY(B483)&gt;=DAY(सारांश!$B$4),1,0)</f>
        <v>16</v>
      </c>
      <c r="F483" s="41" t="s">
        <v>22</v>
      </c>
      <c r="G483" s="14" t="s">
        <v>103</v>
      </c>
      <c r="H483" s="32" t="s">
        <v>1244</v>
      </c>
      <c r="I483" s="32" t="s">
        <v>1245</v>
      </c>
      <c r="J483" s="48" t="s">
        <v>249</v>
      </c>
      <c r="K483" s="48" t="s">
        <v>250</v>
      </c>
      <c r="L483" s="14" t="s">
        <v>104</v>
      </c>
      <c r="M483" s="32" t="s">
        <v>1252</v>
      </c>
      <c r="N483" s="32" t="s">
        <v>268</v>
      </c>
      <c r="O483" s="32" t="s">
        <v>1247</v>
      </c>
      <c r="P483" s="32" t="s">
        <v>1248</v>
      </c>
      <c r="Q483" s="14" t="n">
        <v>7.5</v>
      </c>
      <c r="R483" s="32" t="s">
        <v>300</v>
      </c>
      <c r="S483" s="32" t="s">
        <v>257</v>
      </c>
      <c r="T483" s="49" t="s">
        <v>258</v>
      </c>
      <c r="U483" s="49" t="s">
        <v>259</v>
      </c>
      <c r="V483" s="49" t="s">
        <v>259</v>
      </c>
      <c r="W483" s="14" t="s">
        <v>260</v>
      </c>
      <c r="X483" s="14"/>
    </row>
    <row r="484" customFormat="false" ht="75.75" hidden="false" customHeight="true" outlineLevel="0" collapsed="false">
      <c r="A484" s="39" t="n">
        <v>479</v>
      </c>
      <c r="B484" s="40" t="n">
        <f aca="false">सारांश!$B$4+A484-1</f>
        <v>46819</v>
      </c>
      <c r="C484" s="39" t="str">
        <f aca="false">CHOOSE(WEEKDAY(B484,2),"सोमवार","मंगलवार","बुधवार","गुरुवार","शुक्रवार","शनिवार","रविवार")</f>
        <v>मंगलवार</v>
      </c>
      <c r="D484" s="39" t="n">
        <f aca="false">IF(A484=1,0,INT((A484-2)/7)+1)</f>
        <v>69</v>
      </c>
      <c r="E484" s="39" t="n">
        <f aca="false">(YEAR(B484)-YEAR(सारांश!$B$4))*12+MONTH(B484)-MONTH(सारांश!$B$4)+IF(DAY(B484)&gt;=DAY(सारांश!$B$4),1,0)</f>
        <v>16</v>
      </c>
      <c r="F484" s="41" t="s">
        <v>22</v>
      </c>
      <c r="G484" s="14" t="s">
        <v>103</v>
      </c>
      <c r="H484" s="32" t="s">
        <v>1249</v>
      </c>
      <c r="I484" s="32" t="s">
        <v>1245</v>
      </c>
      <c r="J484" s="48" t="s">
        <v>249</v>
      </c>
      <c r="K484" s="48" t="s">
        <v>250</v>
      </c>
      <c r="L484" s="14" t="s">
        <v>104</v>
      </c>
      <c r="M484" s="32" t="s">
        <v>1254</v>
      </c>
      <c r="N484" s="32" t="s">
        <v>276</v>
      </c>
      <c r="O484" s="32" t="s">
        <v>1247</v>
      </c>
      <c r="P484" s="32" t="s">
        <v>1248</v>
      </c>
      <c r="Q484" s="14" t="n">
        <v>7.5</v>
      </c>
      <c r="R484" s="32" t="s">
        <v>300</v>
      </c>
      <c r="S484" s="32" t="s">
        <v>257</v>
      </c>
      <c r="T484" s="49" t="s">
        <v>258</v>
      </c>
      <c r="U484" s="49" t="s">
        <v>259</v>
      </c>
      <c r="V484" s="49" t="s">
        <v>259</v>
      </c>
      <c r="W484" s="14" t="s">
        <v>260</v>
      </c>
      <c r="X484" s="14"/>
    </row>
    <row r="485" customFormat="false" ht="75.75" hidden="false" customHeight="true" outlineLevel="0" collapsed="false">
      <c r="A485" s="39" t="n">
        <v>480</v>
      </c>
      <c r="B485" s="40" t="n">
        <f aca="false">सारांश!$B$4+A485-1</f>
        <v>46820</v>
      </c>
      <c r="C485" s="39" t="str">
        <f aca="false">CHOOSE(WEEKDAY(B485,2),"सोमवार","मंगलवार","बुधवार","गुरुवार","शुक्रवार","शनिवार","रविवार")</f>
        <v>बुधवार</v>
      </c>
      <c r="D485" s="39" t="n">
        <f aca="false">IF(A485=1,0,INT((A485-2)/7)+1)</f>
        <v>69</v>
      </c>
      <c r="E485" s="39" t="n">
        <f aca="false">(YEAR(B485)-YEAR(सारांश!$B$4))*12+MONTH(B485)-MONTH(सारांश!$B$4)+IF(DAY(B485)&gt;=DAY(सारांश!$B$4),1,0)</f>
        <v>16</v>
      </c>
      <c r="F485" s="41" t="s">
        <v>22</v>
      </c>
      <c r="G485" s="14" t="s">
        <v>103</v>
      </c>
      <c r="H485" s="32" t="s">
        <v>1251</v>
      </c>
      <c r="I485" s="32" t="s">
        <v>1245</v>
      </c>
      <c r="J485" s="48" t="s">
        <v>249</v>
      </c>
      <c r="K485" s="48" t="s">
        <v>250</v>
      </c>
      <c r="L485" s="14" t="s">
        <v>104</v>
      </c>
      <c r="M485" s="32" t="s">
        <v>1256</v>
      </c>
      <c r="N485" s="32" t="s">
        <v>279</v>
      </c>
      <c r="O485" s="32" t="s">
        <v>1247</v>
      </c>
      <c r="P485" s="32" t="s">
        <v>1248</v>
      </c>
      <c r="Q485" s="14" t="n">
        <v>7.5</v>
      </c>
      <c r="R485" s="32" t="s">
        <v>300</v>
      </c>
      <c r="S485" s="32" t="s">
        <v>257</v>
      </c>
      <c r="T485" s="49" t="s">
        <v>258</v>
      </c>
      <c r="U485" s="49" t="s">
        <v>259</v>
      </c>
      <c r="V485" s="49" t="s">
        <v>259</v>
      </c>
      <c r="W485" s="14" t="s">
        <v>260</v>
      </c>
      <c r="X485" s="14"/>
    </row>
    <row r="486" customFormat="false" ht="75.75" hidden="false" customHeight="true" outlineLevel="0" collapsed="false">
      <c r="A486" s="39" t="n">
        <v>481</v>
      </c>
      <c r="B486" s="40" t="n">
        <f aca="false">सारांश!$B$4+A486-1</f>
        <v>46821</v>
      </c>
      <c r="C486" s="39" t="str">
        <f aca="false">CHOOSE(WEEKDAY(B486,2),"सोमवार","मंगलवार","बुधवार","गुरुवार","शुक्रवार","शनिवार","रविवार")</f>
        <v>गुरुवार</v>
      </c>
      <c r="D486" s="39" t="n">
        <f aca="false">IF(A486=1,0,INT((A486-2)/7)+1)</f>
        <v>69</v>
      </c>
      <c r="E486" s="39" t="n">
        <f aca="false">(YEAR(B486)-YEAR(सारांश!$B$4))*12+MONTH(B486)-MONTH(सारांश!$B$4)+IF(DAY(B486)&gt;=DAY(सारांश!$B$4),1,0)</f>
        <v>16</v>
      </c>
      <c r="F486" s="41" t="s">
        <v>22</v>
      </c>
      <c r="G486" s="14" t="s">
        <v>103</v>
      </c>
      <c r="H486" s="32" t="s">
        <v>1253</v>
      </c>
      <c r="I486" s="32" t="s">
        <v>1245</v>
      </c>
      <c r="J486" s="48" t="s">
        <v>249</v>
      </c>
      <c r="K486" s="48" t="s">
        <v>250</v>
      </c>
      <c r="L486" s="14" t="s">
        <v>104</v>
      </c>
      <c r="M486" s="32" t="s">
        <v>1258</v>
      </c>
      <c r="N486" s="32" t="s">
        <v>284</v>
      </c>
      <c r="O486" s="32" t="s">
        <v>1247</v>
      </c>
      <c r="P486" s="32" t="s">
        <v>1248</v>
      </c>
      <c r="Q486" s="14" t="n">
        <v>7.5</v>
      </c>
      <c r="R486" s="32" t="s">
        <v>300</v>
      </c>
      <c r="S486" s="32" t="s">
        <v>257</v>
      </c>
      <c r="T486" s="49" t="s">
        <v>258</v>
      </c>
      <c r="U486" s="49" t="s">
        <v>259</v>
      </c>
      <c r="V486" s="49" t="s">
        <v>259</v>
      </c>
      <c r="W486" s="14" t="s">
        <v>260</v>
      </c>
      <c r="X486" s="14"/>
    </row>
    <row r="487" customFormat="false" ht="75.75" hidden="false" customHeight="true" outlineLevel="0" collapsed="false">
      <c r="A487" s="39" t="n">
        <v>482</v>
      </c>
      <c r="B487" s="40" t="n">
        <f aca="false">सारांश!$B$4+A487-1</f>
        <v>46822</v>
      </c>
      <c r="C487" s="39" t="str">
        <f aca="false">CHOOSE(WEEKDAY(B487,2),"सोमवार","मंगलवार","बुधवार","गुरुवार","शुक्रवार","शनिवार","रविवार")</f>
        <v>शुक्रवार</v>
      </c>
      <c r="D487" s="39" t="n">
        <f aca="false">IF(A487=1,0,INT((A487-2)/7)+1)</f>
        <v>69</v>
      </c>
      <c r="E487" s="39" t="n">
        <f aca="false">(YEAR(B487)-YEAR(सारांश!$B$4))*12+MONTH(B487)-MONTH(सारांश!$B$4)+IF(DAY(B487)&gt;=DAY(सारांश!$B$4),1,0)</f>
        <v>16</v>
      </c>
      <c r="F487" s="41" t="s">
        <v>22</v>
      </c>
      <c r="G487" s="14" t="s">
        <v>103</v>
      </c>
      <c r="H487" s="32" t="s">
        <v>1255</v>
      </c>
      <c r="I487" s="32" t="s">
        <v>1245</v>
      </c>
      <c r="J487" s="48" t="s">
        <v>249</v>
      </c>
      <c r="K487" s="48" t="s">
        <v>250</v>
      </c>
      <c r="L487" s="14" t="s">
        <v>104</v>
      </c>
      <c r="M487" s="32" t="s">
        <v>1261</v>
      </c>
      <c r="N487" s="32" t="s">
        <v>287</v>
      </c>
      <c r="O487" s="32" t="s">
        <v>1247</v>
      </c>
      <c r="P487" s="32" t="s">
        <v>1248</v>
      </c>
      <c r="Q487" s="14" t="n">
        <v>7.5</v>
      </c>
      <c r="R487" s="32" t="s">
        <v>300</v>
      </c>
      <c r="S487" s="32" t="s">
        <v>257</v>
      </c>
      <c r="T487" s="49" t="s">
        <v>258</v>
      </c>
      <c r="U487" s="49" t="s">
        <v>259</v>
      </c>
      <c r="V487" s="49" t="s">
        <v>259</v>
      </c>
      <c r="W487" s="14" t="s">
        <v>260</v>
      </c>
      <c r="X487" s="14"/>
    </row>
    <row r="488" customFormat="false" ht="75.75" hidden="false" customHeight="true" outlineLevel="0" collapsed="false">
      <c r="A488" s="39" t="n">
        <v>483</v>
      </c>
      <c r="B488" s="40" t="n">
        <f aca="false">सारांश!$B$4+A488-1</f>
        <v>46823</v>
      </c>
      <c r="C488" s="39" t="str">
        <f aca="false">CHOOSE(WEEKDAY(B488,2),"सोमवार","मंगलवार","बुधवार","गुरुवार","शुक्रवार","शनिवार","रविवार")</f>
        <v>शनिवार</v>
      </c>
      <c r="D488" s="39" t="n">
        <f aca="false">IF(A488=1,0,INT((A488-2)/7)+1)</f>
        <v>69</v>
      </c>
      <c r="E488" s="39" t="n">
        <f aca="false">(YEAR(B488)-YEAR(सारांश!$B$4))*12+MONTH(B488)-MONTH(सारांश!$B$4)+IF(DAY(B488)&gt;=DAY(सारांश!$B$4),1,0)</f>
        <v>16</v>
      </c>
      <c r="F488" s="41" t="s">
        <v>22</v>
      </c>
      <c r="G488" s="14" t="s">
        <v>103</v>
      </c>
      <c r="H488" s="32" t="s">
        <v>1257</v>
      </c>
      <c r="I488" s="32" t="s">
        <v>1245</v>
      </c>
      <c r="J488" s="48" t="s">
        <v>249</v>
      </c>
      <c r="K488" s="48" t="s">
        <v>250</v>
      </c>
      <c r="L488" s="14" t="s">
        <v>104</v>
      </c>
      <c r="M488" s="32" t="s">
        <v>1262</v>
      </c>
      <c r="N488" s="32" t="s">
        <v>290</v>
      </c>
      <c r="O488" s="32" t="s">
        <v>1247</v>
      </c>
      <c r="P488" s="32" t="s">
        <v>1248</v>
      </c>
      <c r="Q488" s="14" t="n">
        <v>7.5</v>
      </c>
      <c r="R488" s="32" t="s">
        <v>300</v>
      </c>
      <c r="S488" s="32" t="s">
        <v>257</v>
      </c>
      <c r="T488" s="49" t="s">
        <v>258</v>
      </c>
      <c r="U488" s="49" t="s">
        <v>259</v>
      </c>
      <c r="V488" s="49" t="s">
        <v>259</v>
      </c>
      <c r="W488" s="14" t="s">
        <v>260</v>
      </c>
      <c r="X488" s="14"/>
    </row>
    <row r="489" customFormat="false" ht="58.5" hidden="false" customHeight="true" outlineLevel="0" collapsed="false">
      <c r="A489" s="50" t="n">
        <v>484</v>
      </c>
      <c r="B489" s="51" t="n">
        <f aca="false">सारांश!$B$4+A489-1</f>
        <v>46824</v>
      </c>
      <c r="C489" s="50" t="str">
        <f aca="false">CHOOSE(WEEKDAY(B489,2),"सोमवार","मंगलवार","बुधवार","गुरुवार","शुक्रवार","शनिवार","रविवार")</f>
        <v>रविवार</v>
      </c>
      <c r="D489" s="50" t="n">
        <f aca="false">IF(A489=1,0,INT((A489-2)/7)+1)</f>
        <v>69</v>
      </c>
      <c r="E489" s="50" t="n">
        <f aca="false">(YEAR(B489)-YEAR(सारांश!$B$4))*12+MONTH(B489)-MONTH(सारांश!$B$4)+IF(DAY(B489)&gt;=DAY(सारांश!$B$4),1,0)</f>
        <v>16</v>
      </c>
      <c r="F489" s="52" t="s">
        <v>22</v>
      </c>
      <c r="G489" s="50" t="s">
        <v>291</v>
      </c>
      <c r="H489" s="52" t="s">
        <v>127</v>
      </c>
      <c r="I489" s="52" t="s">
        <v>1259</v>
      </c>
      <c r="J489" s="53" t="s">
        <v>293</v>
      </c>
      <c r="K489" s="53" t="s">
        <v>294</v>
      </c>
      <c r="L489" s="50" t="s">
        <v>295</v>
      </c>
      <c r="M489" s="52" t="s">
        <v>296</v>
      </c>
      <c r="N489" s="52" t="s">
        <v>297</v>
      </c>
      <c r="O489" s="52" t="s">
        <v>1260</v>
      </c>
      <c r="P489" s="52" t="s">
        <v>299</v>
      </c>
      <c r="Q489" s="50" t="n">
        <v>6</v>
      </c>
      <c r="R489" s="52" t="s">
        <v>300</v>
      </c>
      <c r="S489" s="52" t="s">
        <v>257</v>
      </c>
      <c r="T489" s="54" t="s">
        <v>258</v>
      </c>
      <c r="U489" s="54" t="s">
        <v>259</v>
      </c>
      <c r="V489" s="54" t="s">
        <v>259</v>
      </c>
      <c r="W489" s="50" t="s">
        <v>260</v>
      </c>
      <c r="X489" s="50"/>
    </row>
    <row r="490" customFormat="false" ht="75.75" hidden="false" customHeight="true" outlineLevel="0" collapsed="false">
      <c r="A490" s="39" t="n">
        <v>485</v>
      </c>
      <c r="B490" s="40" t="n">
        <f aca="false">सारांश!$B$4+A490-1</f>
        <v>46825</v>
      </c>
      <c r="C490" s="39" t="str">
        <f aca="false">CHOOSE(WEEKDAY(B490,2),"सोमवार","मंगलवार","बुधवार","गुरुवार","शुक्रवार","शनिवार","रविवार")</f>
        <v>सोमवार</v>
      </c>
      <c r="D490" s="39" t="n">
        <f aca="false">IF(A490=1,0,INT((A490-2)/7)+1)</f>
        <v>70</v>
      </c>
      <c r="E490" s="39" t="n">
        <f aca="false">(YEAR(B490)-YEAR(सारांश!$B$4))*12+MONTH(B490)-MONTH(सारांश!$B$4)+IF(DAY(B490)&gt;=DAY(सारांश!$B$4),1,0)</f>
        <v>16</v>
      </c>
      <c r="F490" s="41" t="s">
        <v>22</v>
      </c>
      <c r="G490" s="14" t="s">
        <v>103</v>
      </c>
      <c r="H490" s="32" t="s">
        <v>1244</v>
      </c>
      <c r="I490" s="32" t="s">
        <v>1245</v>
      </c>
      <c r="J490" s="48" t="s">
        <v>249</v>
      </c>
      <c r="K490" s="48" t="s">
        <v>250</v>
      </c>
      <c r="L490" s="14" t="s">
        <v>104</v>
      </c>
      <c r="M490" s="32" t="s">
        <v>1254</v>
      </c>
      <c r="N490" s="32" t="s">
        <v>268</v>
      </c>
      <c r="O490" s="32" t="s">
        <v>1247</v>
      </c>
      <c r="P490" s="32" t="s">
        <v>1248</v>
      </c>
      <c r="Q490" s="14" t="n">
        <v>7.5</v>
      </c>
      <c r="R490" s="32" t="s">
        <v>300</v>
      </c>
      <c r="S490" s="32" t="s">
        <v>257</v>
      </c>
      <c r="T490" s="49" t="s">
        <v>258</v>
      </c>
      <c r="U490" s="49" t="s">
        <v>259</v>
      </c>
      <c r="V490" s="49" t="s">
        <v>259</v>
      </c>
      <c r="W490" s="14" t="s">
        <v>260</v>
      </c>
      <c r="X490" s="14"/>
    </row>
    <row r="491" customFormat="false" ht="75.75" hidden="false" customHeight="true" outlineLevel="0" collapsed="false">
      <c r="A491" s="39" t="n">
        <v>486</v>
      </c>
      <c r="B491" s="40" t="n">
        <f aca="false">सारांश!$B$4+A491-1</f>
        <v>46826</v>
      </c>
      <c r="C491" s="39" t="str">
        <f aca="false">CHOOSE(WEEKDAY(B491,2),"सोमवार","मंगलवार","बुधवार","गुरुवार","शुक्रवार","शनिवार","रविवार")</f>
        <v>मंगलवार</v>
      </c>
      <c r="D491" s="39" t="n">
        <f aca="false">IF(A491=1,0,INT((A491-2)/7)+1)</f>
        <v>70</v>
      </c>
      <c r="E491" s="39" t="n">
        <f aca="false">(YEAR(B491)-YEAR(सारांश!$B$4))*12+MONTH(B491)-MONTH(सारांश!$B$4)+IF(DAY(B491)&gt;=DAY(सारांश!$B$4),1,0)</f>
        <v>16</v>
      </c>
      <c r="F491" s="41" t="s">
        <v>22</v>
      </c>
      <c r="G491" s="14" t="s">
        <v>103</v>
      </c>
      <c r="H491" s="32" t="s">
        <v>1249</v>
      </c>
      <c r="I491" s="32" t="s">
        <v>1245</v>
      </c>
      <c r="J491" s="48" t="s">
        <v>249</v>
      </c>
      <c r="K491" s="48" t="s">
        <v>250</v>
      </c>
      <c r="L491" s="14" t="s">
        <v>104</v>
      </c>
      <c r="M491" s="32" t="s">
        <v>1256</v>
      </c>
      <c r="N491" s="32" t="s">
        <v>276</v>
      </c>
      <c r="O491" s="32" t="s">
        <v>1247</v>
      </c>
      <c r="P491" s="32" t="s">
        <v>1248</v>
      </c>
      <c r="Q491" s="14" t="n">
        <v>7.5</v>
      </c>
      <c r="R491" s="32" t="s">
        <v>300</v>
      </c>
      <c r="S491" s="32" t="s">
        <v>257</v>
      </c>
      <c r="T491" s="49" t="s">
        <v>258</v>
      </c>
      <c r="U491" s="49" t="s">
        <v>259</v>
      </c>
      <c r="V491" s="49" t="s">
        <v>259</v>
      </c>
      <c r="W491" s="14" t="s">
        <v>260</v>
      </c>
      <c r="X491" s="14"/>
    </row>
    <row r="492" customFormat="false" ht="75.75" hidden="false" customHeight="true" outlineLevel="0" collapsed="false">
      <c r="A492" s="39" t="n">
        <v>487</v>
      </c>
      <c r="B492" s="40" t="n">
        <f aca="false">सारांश!$B$4+A492-1</f>
        <v>46827</v>
      </c>
      <c r="C492" s="39" t="str">
        <f aca="false">CHOOSE(WEEKDAY(B492,2),"सोमवार","मंगलवार","बुधवार","गुरुवार","शुक्रवार","शनिवार","रविवार")</f>
        <v>बुधवार</v>
      </c>
      <c r="D492" s="39" t="n">
        <f aca="false">IF(A492=1,0,INT((A492-2)/7)+1)</f>
        <v>70</v>
      </c>
      <c r="E492" s="39" t="n">
        <f aca="false">(YEAR(B492)-YEAR(सारांश!$B$4))*12+MONTH(B492)-MONTH(सारांश!$B$4)+IF(DAY(B492)&gt;=DAY(सारांश!$B$4),1,0)</f>
        <v>17</v>
      </c>
      <c r="F492" s="41" t="s">
        <v>22</v>
      </c>
      <c r="G492" s="14" t="s">
        <v>103</v>
      </c>
      <c r="H492" s="32" t="s">
        <v>1251</v>
      </c>
      <c r="I492" s="32" t="s">
        <v>1245</v>
      </c>
      <c r="J492" s="48" t="s">
        <v>249</v>
      </c>
      <c r="K492" s="48" t="s">
        <v>250</v>
      </c>
      <c r="L492" s="14" t="s">
        <v>104</v>
      </c>
      <c r="M492" s="32" t="s">
        <v>1258</v>
      </c>
      <c r="N492" s="32" t="s">
        <v>279</v>
      </c>
      <c r="O492" s="32" t="s">
        <v>1247</v>
      </c>
      <c r="P492" s="32" t="s">
        <v>1248</v>
      </c>
      <c r="Q492" s="14" t="n">
        <v>7.5</v>
      </c>
      <c r="R492" s="32" t="s">
        <v>300</v>
      </c>
      <c r="S492" s="32" t="s">
        <v>257</v>
      </c>
      <c r="T492" s="49" t="s">
        <v>258</v>
      </c>
      <c r="U492" s="49" t="s">
        <v>259</v>
      </c>
      <c r="V492" s="49" t="s">
        <v>259</v>
      </c>
      <c r="W492" s="14" t="s">
        <v>260</v>
      </c>
      <c r="X492" s="14"/>
    </row>
    <row r="493" customFormat="false" ht="75.75" hidden="false" customHeight="true" outlineLevel="0" collapsed="false">
      <c r="A493" s="39" t="n">
        <v>488</v>
      </c>
      <c r="B493" s="40" t="n">
        <f aca="false">सारांश!$B$4+A493-1</f>
        <v>46828</v>
      </c>
      <c r="C493" s="39" t="str">
        <f aca="false">CHOOSE(WEEKDAY(B493,2),"सोमवार","मंगलवार","बुधवार","गुरुवार","शुक्रवार","शनिवार","रविवार")</f>
        <v>गुरुवार</v>
      </c>
      <c r="D493" s="39" t="n">
        <f aca="false">IF(A493=1,0,INT((A493-2)/7)+1)</f>
        <v>70</v>
      </c>
      <c r="E493" s="39" t="n">
        <f aca="false">(YEAR(B493)-YEAR(सारांश!$B$4))*12+MONTH(B493)-MONTH(सारांश!$B$4)+IF(DAY(B493)&gt;=DAY(सारांश!$B$4),1,0)</f>
        <v>17</v>
      </c>
      <c r="F493" s="41" t="s">
        <v>22</v>
      </c>
      <c r="G493" s="14" t="s">
        <v>103</v>
      </c>
      <c r="H493" s="32" t="s">
        <v>1253</v>
      </c>
      <c r="I493" s="32" t="s">
        <v>1245</v>
      </c>
      <c r="J493" s="48" t="s">
        <v>249</v>
      </c>
      <c r="K493" s="48" t="s">
        <v>250</v>
      </c>
      <c r="L493" s="14" t="s">
        <v>104</v>
      </c>
      <c r="M493" s="32" t="s">
        <v>1261</v>
      </c>
      <c r="N493" s="32" t="s">
        <v>284</v>
      </c>
      <c r="O493" s="32" t="s">
        <v>1247</v>
      </c>
      <c r="P493" s="32" t="s">
        <v>1248</v>
      </c>
      <c r="Q493" s="14" t="n">
        <v>7.5</v>
      </c>
      <c r="R493" s="32" t="s">
        <v>300</v>
      </c>
      <c r="S493" s="32" t="s">
        <v>257</v>
      </c>
      <c r="T493" s="49" t="s">
        <v>258</v>
      </c>
      <c r="U493" s="49" t="s">
        <v>259</v>
      </c>
      <c r="V493" s="49" t="s">
        <v>259</v>
      </c>
      <c r="W493" s="14" t="s">
        <v>260</v>
      </c>
      <c r="X493" s="14"/>
    </row>
    <row r="494" customFormat="false" ht="75.75" hidden="false" customHeight="true" outlineLevel="0" collapsed="false">
      <c r="A494" s="39" t="n">
        <v>489</v>
      </c>
      <c r="B494" s="40" t="n">
        <f aca="false">सारांश!$B$4+A494-1</f>
        <v>46829</v>
      </c>
      <c r="C494" s="39" t="str">
        <f aca="false">CHOOSE(WEEKDAY(B494,2),"सोमवार","मंगलवार","बुधवार","गुरुवार","शुक्रवार","शनिवार","रविवार")</f>
        <v>शुक्रवार</v>
      </c>
      <c r="D494" s="39" t="n">
        <f aca="false">IF(A494=1,0,INT((A494-2)/7)+1)</f>
        <v>70</v>
      </c>
      <c r="E494" s="39" t="n">
        <f aca="false">(YEAR(B494)-YEAR(सारांश!$B$4))*12+MONTH(B494)-MONTH(सारांश!$B$4)+IF(DAY(B494)&gt;=DAY(सारांश!$B$4),1,0)</f>
        <v>17</v>
      </c>
      <c r="F494" s="41" t="s">
        <v>22</v>
      </c>
      <c r="G494" s="14" t="s">
        <v>103</v>
      </c>
      <c r="H494" s="32" t="s">
        <v>1255</v>
      </c>
      <c r="I494" s="32" t="s">
        <v>1245</v>
      </c>
      <c r="J494" s="48" t="s">
        <v>249</v>
      </c>
      <c r="K494" s="48" t="s">
        <v>250</v>
      </c>
      <c r="L494" s="14" t="s">
        <v>104</v>
      </c>
      <c r="M494" s="32" t="s">
        <v>1262</v>
      </c>
      <c r="N494" s="32" t="s">
        <v>287</v>
      </c>
      <c r="O494" s="32" t="s">
        <v>1247</v>
      </c>
      <c r="P494" s="32" t="s">
        <v>1248</v>
      </c>
      <c r="Q494" s="14" t="n">
        <v>7.5</v>
      </c>
      <c r="R494" s="32" t="s">
        <v>300</v>
      </c>
      <c r="S494" s="32" t="s">
        <v>257</v>
      </c>
      <c r="T494" s="49" t="s">
        <v>258</v>
      </c>
      <c r="U494" s="49" t="s">
        <v>259</v>
      </c>
      <c r="V494" s="49" t="s">
        <v>259</v>
      </c>
      <c r="W494" s="14" t="s">
        <v>260</v>
      </c>
      <c r="X494" s="14"/>
    </row>
    <row r="495" customFormat="false" ht="75.75" hidden="false" customHeight="true" outlineLevel="0" collapsed="false">
      <c r="A495" s="39" t="n">
        <v>490</v>
      </c>
      <c r="B495" s="40" t="n">
        <f aca="false">सारांश!$B$4+A495-1</f>
        <v>46830</v>
      </c>
      <c r="C495" s="39" t="str">
        <f aca="false">CHOOSE(WEEKDAY(B495,2),"सोमवार","मंगलवार","बुधवार","गुरुवार","शुक्रवार","शनिवार","रविवार")</f>
        <v>शनिवार</v>
      </c>
      <c r="D495" s="39" t="n">
        <f aca="false">IF(A495=1,0,INT((A495-2)/7)+1)</f>
        <v>70</v>
      </c>
      <c r="E495" s="39" t="n">
        <f aca="false">(YEAR(B495)-YEAR(सारांश!$B$4))*12+MONTH(B495)-MONTH(सारांश!$B$4)+IF(DAY(B495)&gt;=DAY(सारांश!$B$4),1,0)</f>
        <v>17</v>
      </c>
      <c r="F495" s="41" t="s">
        <v>22</v>
      </c>
      <c r="G495" s="14" t="s">
        <v>103</v>
      </c>
      <c r="H495" s="32" t="s">
        <v>1257</v>
      </c>
      <c r="I495" s="32" t="s">
        <v>1245</v>
      </c>
      <c r="J495" s="48" t="s">
        <v>249</v>
      </c>
      <c r="K495" s="48" t="s">
        <v>250</v>
      </c>
      <c r="L495" s="14" t="s">
        <v>104</v>
      </c>
      <c r="M495" s="32" t="s">
        <v>1246</v>
      </c>
      <c r="N495" s="32" t="s">
        <v>290</v>
      </c>
      <c r="O495" s="32" t="s">
        <v>1247</v>
      </c>
      <c r="P495" s="32" t="s">
        <v>1248</v>
      </c>
      <c r="Q495" s="14" t="n">
        <v>7.5</v>
      </c>
      <c r="R495" s="32" t="s">
        <v>300</v>
      </c>
      <c r="S495" s="32" t="s">
        <v>257</v>
      </c>
      <c r="T495" s="49" t="s">
        <v>258</v>
      </c>
      <c r="U495" s="49" t="s">
        <v>259</v>
      </c>
      <c r="V495" s="49" t="s">
        <v>259</v>
      </c>
      <c r="W495" s="14" t="s">
        <v>260</v>
      </c>
      <c r="X495" s="14"/>
    </row>
    <row r="496" customFormat="false" ht="58.5" hidden="false" customHeight="true" outlineLevel="0" collapsed="false">
      <c r="A496" s="50" t="n">
        <v>491</v>
      </c>
      <c r="B496" s="51" t="n">
        <f aca="false">सारांश!$B$4+A496-1</f>
        <v>46831</v>
      </c>
      <c r="C496" s="50" t="str">
        <f aca="false">CHOOSE(WEEKDAY(B496,2),"सोमवार","मंगलवार","बुधवार","गुरुवार","शुक्रवार","शनिवार","रविवार")</f>
        <v>रविवार</v>
      </c>
      <c r="D496" s="50" t="n">
        <f aca="false">IF(A496=1,0,INT((A496-2)/7)+1)</f>
        <v>70</v>
      </c>
      <c r="E496" s="50" t="n">
        <f aca="false">(YEAR(B496)-YEAR(सारांश!$B$4))*12+MONTH(B496)-MONTH(सारांश!$B$4)+IF(DAY(B496)&gt;=DAY(सारांश!$B$4),1,0)</f>
        <v>17</v>
      </c>
      <c r="F496" s="52" t="s">
        <v>22</v>
      </c>
      <c r="G496" s="50" t="s">
        <v>291</v>
      </c>
      <c r="H496" s="52" t="s">
        <v>127</v>
      </c>
      <c r="I496" s="52" t="s">
        <v>1259</v>
      </c>
      <c r="J496" s="53" t="s">
        <v>293</v>
      </c>
      <c r="K496" s="53" t="s">
        <v>294</v>
      </c>
      <c r="L496" s="50" t="s">
        <v>295</v>
      </c>
      <c r="M496" s="52" t="s">
        <v>296</v>
      </c>
      <c r="N496" s="52" t="s">
        <v>297</v>
      </c>
      <c r="O496" s="52" t="s">
        <v>1260</v>
      </c>
      <c r="P496" s="52" t="s">
        <v>299</v>
      </c>
      <c r="Q496" s="50" t="n">
        <v>6</v>
      </c>
      <c r="R496" s="52" t="s">
        <v>300</v>
      </c>
      <c r="S496" s="52" t="s">
        <v>257</v>
      </c>
      <c r="T496" s="54" t="s">
        <v>258</v>
      </c>
      <c r="U496" s="54" t="s">
        <v>259</v>
      </c>
      <c r="V496" s="54" t="s">
        <v>259</v>
      </c>
      <c r="W496" s="50" t="s">
        <v>260</v>
      </c>
      <c r="X496" s="50"/>
    </row>
    <row r="497" customFormat="false" ht="75.75" hidden="false" customHeight="true" outlineLevel="0" collapsed="false">
      <c r="A497" s="39" t="n">
        <v>492</v>
      </c>
      <c r="B497" s="40" t="n">
        <f aca="false">सारांश!$B$4+A497-1</f>
        <v>46832</v>
      </c>
      <c r="C497" s="39" t="str">
        <f aca="false">CHOOSE(WEEKDAY(B497,2),"सोमवार","मंगलवार","बुधवार","गुरुवार","शुक्रवार","शनिवार","रविवार")</f>
        <v>सोमवार</v>
      </c>
      <c r="D497" s="39" t="n">
        <f aca="false">IF(A497=1,0,INT((A497-2)/7)+1)</f>
        <v>71</v>
      </c>
      <c r="E497" s="39" t="n">
        <f aca="false">(YEAR(B497)-YEAR(सारांश!$B$4))*12+MONTH(B497)-MONTH(सारांश!$B$4)+IF(DAY(B497)&gt;=DAY(सारांश!$B$4),1,0)</f>
        <v>17</v>
      </c>
      <c r="F497" s="41" t="s">
        <v>22</v>
      </c>
      <c r="G497" s="14" t="s">
        <v>103</v>
      </c>
      <c r="H497" s="32" t="s">
        <v>1244</v>
      </c>
      <c r="I497" s="32" t="s">
        <v>1245</v>
      </c>
      <c r="J497" s="48" t="s">
        <v>249</v>
      </c>
      <c r="K497" s="48" t="s">
        <v>250</v>
      </c>
      <c r="L497" s="14" t="s">
        <v>104</v>
      </c>
      <c r="M497" s="32" t="s">
        <v>1256</v>
      </c>
      <c r="N497" s="32" t="s">
        <v>268</v>
      </c>
      <c r="O497" s="32" t="s">
        <v>1247</v>
      </c>
      <c r="P497" s="32" t="s">
        <v>1248</v>
      </c>
      <c r="Q497" s="14" t="n">
        <v>7.5</v>
      </c>
      <c r="R497" s="32" t="s">
        <v>300</v>
      </c>
      <c r="S497" s="32" t="s">
        <v>257</v>
      </c>
      <c r="T497" s="49" t="s">
        <v>258</v>
      </c>
      <c r="U497" s="49" t="s">
        <v>259</v>
      </c>
      <c r="V497" s="49" t="s">
        <v>259</v>
      </c>
      <c r="W497" s="14" t="s">
        <v>260</v>
      </c>
      <c r="X497" s="14"/>
    </row>
    <row r="498" customFormat="false" ht="75.75" hidden="false" customHeight="true" outlineLevel="0" collapsed="false">
      <c r="A498" s="39" t="n">
        <v>493</v>
      </c>
      <c r="B498" s="40" t="n">
        <f aca="false">सारांश!$B$4+A498-1</f>
        <v>46833</v>
      </c>
      <c r="C498" s="39" t="str">
        <f aca="false">CHOOSE(WEEKDAY(B498,2),"सोमवार","मंगलवार","बुधवार","गुरुवार","शुक्रवार","शनिवार","रविवार")</f>
        <v>मंगलवार</v>
      </c>
      <c r="D498" s="39" t="n">
        <f aca="false">IF(A498=1,0,INT((A498-2)/7)+1)</f>
        <v>71</v>
      </c>
      <c r="E498" s="39" t="n">
        <f aca="false">(YEAR(B498)-YEAR(सारांश!$B$4))*12+MONTH(B498)-MONTH(सारांश!$B$4)+IF(DAY(B498)&gt;=DAY(सारांश!$B$4),1,0)</f>
        <v>17</v>
      </c>
      <c r="F498" s="41" t="s">
        <v>22</v>
      </c>
      <c r="G498" s="14" t="s">
        <v>103</v>
      </c>
      <c r="H498" s="32" t="s">
        <v>1249</v>
      </c>
      <c r="I498" s="32" t="s">
        <v>1245</v>
      </c>
      <c r="J498" s="48" t="s">
        <v>249</v>
      </c>
      <c r="K498" s="48" t="s">
        <v>250</v>
      </c>
      <c r="L498" s="14" t="s">
        <v>104</v>
      </c>
      <c r="M498" s="32" t="s">
        <v>1258</v>
      </c>
      <c r="N498" s="32" t="s">
        <v>276</v>
      </c>
      <c r="O498" s="32" t="s">
        <v>1247</v>
      </c>
      <c r="P498" s="32" t="s">
        <v>1248</v>
      </c>
      <c r="Q498" s="14" t="n">
        <v>7.5</v>
      </c>
      <c r="R498" s="32" t="s">
        <v>300</v>
      </c>
      <c r="S498" s="32" t="s">
        <v>257</v>
      </c>
      <c r="T498" s="49" t="s">
        <v>258</v>
      </c>
      <c r="U498" s="49" t="s">
        <v>259</v>
      </c>
      <c r="V498" s="49" t="s">
        <v>259</v>
      </c>
      <c r="W498" s="14" t="s">
        <v>260</v>
      </c>
      <c r="X498" s="14"/>
    </row>
    <row r="499" customFormat="false" ht="75.75" hidden="false" customHeight="true" outlineLevel="0" collapsed="false">
      <c r="A499" s="39" t="n">
        <v>494</v>
      </c>
      <c r="B499" s="40" t="n">
        <f aca="false">सारांश!$B$4+A499-1</f>
        <v>46834</v>
      </c>
      <c r="C499" s="39" t="str">
        <f aca="false">CHOOSE(WEEKDAY(B499,2),"सोमवार","मंगलवार","बुधवार","गुरुवार","शुक्रवार","शनिवार","रविवार")</f>
        <v>बुधवार</v>
      </c>
      <c r="D499" s="39" t="n">
        <f aca="false">IF(A499=1,0,INT((A499-2)/7)+1)</f>
        <v>71</v>
      </c>
      <c r="E499" s="39" t="n">
        <f aca="false">(YEAR(B499)-YEAR(सारांश!$B$4))*12+MONTH(B499)-MONTH(सारांश!$B$4)+IF(DAY(B499)&gt;=DAY(सारांश!$B$4),1,0)</f>
        <v>17</v>
      </c>
      <c r="F499" s="41" t="s">
        <v>22</v>
      </c>
      <c r="G499" s="14" t="s">
        <v>103</v>
      </c>
      <c r="H499" s="32" t="s">
        <v>1251</v>
      </c>
      <c r="I499" s="32" t="s">
        <v>1245</v>
      </c>
      <c r="J499" s="48" t="s">
        <v>249</v>
      </c>
      <c r="K499" s="48" t="s">
        <v>250</v>
      </c>
      <c r="L499" s="14" t="s">
        <v>104</v>
      </c>
      <c r="M499" s="32" t="s">
        <v>1261</v>
      </c>
      <c r="N499" s="32" t="s">
        <v>279</v>
      </c>
      <c r="O499" s="32" t="s">
        <v>1247</v>
      </c>
      <c r="P499" s="32" t="s">
        <v>1248</v>
      </c>
      <c r="Q499" s="14" t="n">
        <v>7.5</v>
      </c>
      <c r="R499" s="32" t="s">
        <v>300</v>
      </c>
      <c r="S499" s="32" t="s">
        <v>257</v>
      </c>
      <c r="T499" s="49" t="s">
        <v>258</v>
      </c>
      <c r="U499" s="49" t="s">
        <v>259</v>
      </c>
      <c r="V499" s="49" t="s">
        <v>259</v>
      </c>
      <c r="W499" s="14" t="s">
        <v>260</v>
      </c>
      <c r="X499" s="14"/>
    </row>
    <row r="500" customFormat="false" ht="75.75" hidden="false" customHeight="true" outlineLevel="0" collapsed="false">
      <c r="A500" s="39" t="n">
        <v>495</v>
      </c>
      <c r="B500" s="40" t="n">
        <f aca="false">सारांश!$B$4+A500-1</f>
        <v>46835</v>
      </c>
      <c r="C500" s="39" t="str">
        <f aca="false">CHOOSE(WEEKDAY(B500,2),"सोमवार","मंगलवार","बुधवार","गुरुवार","शुक्रवार","शनिवार","रविवार")</f>
        <v>गुरुवार</v>
      </c>
      <c r="D500" s="39" t="n">
        <f aca="false">IF(A500=1,0,INT((A500-2)/7)+1)</f>
        <v>71</v>
      </c>
      <c r="E500" s="39" t="n">
        <f aca="false">(YEAR(B500)-YEAR(सारांश!$B$4))*12+MONTH(B500)-MONTH(सारांश!$B$4)+IF(DAY(B500)&gt;=DAY(सारांश!$B$4),1,0)</f>
        <v>17</v>
      </c>
      <c r="F500" s="41" t="s">
        <v>22</v>
      </c>
      <c r="G500" s="14" t="s">
        <v>103</v>
      </c>
      <c r="H500" s="32" t="s">
        <v>1253</v>
      </c>
      <c r="I500" s="32" t="s">
        <v>1245</v>
      </c>
      <c r="J500" s="48" t="s">
        <v>249</v>
      </c>
      <c r="K500" s="48" t="s">
        <v>250</v>
      </c>
      <c r="L500" s="14" t="s">
        <v>104</v>
      </c>
      <c r="M500" s="32" t="s">
        <v>1262</v>
      </c>
      <c r="N500" s="32" t="s">
        <v>284</v>
      </c>
      <c r="O500" s="32" t="s">
        <v>1247</v>
      </c>
      <c r="P500" s="32" t="s">
        <v>1248</v>
      </c>
      <c r="Q500" s="14" t="n">
        <v>7.5</v>
      </c>
      <c r="R500" s="32" t="s">
        <v>300</v>
      </c>
      <c r="S500" s="32" t="s">
        <v>257</v>
      </c>
      <c r="T500" s="49" t="s">
        <v>258</v>
      </c>
      <c r="U500" s="49" t="s">
        <v>259</v>
      </c>
      <c r="V500" s="49" t="s">
        <v>259</v>
      </c>
      <c r="W500" s="14" t="s">
        <v>260</v>
      </c>
      <c r="X500" s="14"/>
    </row>
    <row r="501" customFormat="false" ht="75.75" hidden="false" customHeight="true" outlineLevel="0" collapsed="false">
      <c r="A501" s="39" t="n">
        <v>496</v>
      </c>
      <c r="B501" s="40" t="n">
        <f aca="false">सारांश!$B$4+A501-1</f>
        <v>46836</v>
      </c>
      <c r="C501" s="39" t="str">
        <f aca="false">CHOOSE(WEEKDAY(B501,2),"सोमवार","मंगलवार","बुधवार","गुरुवार","शुक्रवार","शनिवार","रविवार")</f>
        <v>शुक्रवार</v>
      </c>
      <c r="D501" s="39" t="n">
        <f aca="false">IF(A501=1,0,INT((A501-2)/7)+1)</f>
        <v>71</v>
      </c>
      <c r="E501" s="39" t="n">
        <f aca="false">(YEAR(B501)-YEAR(सारांश!$B$4))*12+MONTH(B501)-MONTH(सारांश!$B$4)+IF(DAY(B501)&gt;=DAY(सारांश!$B$4),1,0)</f>
        <v>17</v>
      </c>
      <c r="F501" s="41" t="s">
        <v>22</v>
      </c>
      <c r="G501" s="14" t="s">
        <v>103</v>
      </c>
      <c r="H501" s="32" t="s">
        <v>1255</v>
      </c>
      <c r="I501" s="32" t="s">
        <v>1245</v>
      </c>
      <c r="J501" s="48" t="s">
        <v>249</v>
      </c>
      <c r="K501" s="48" t="s">
        <v>250</v>
      </c>
      <c r="L501" s="14" t="s">
        <v>104</v>
      </c>
      <c r="M501" s="32" t="s">
        <v>1246</v>
      </c>
      <c r="N501" s="32" t="s">
        <v>287</v>
      </c>
      <c r="O501" s="32" t="s">
        <v>1247</v>
      </c>
      <c r="P501" s="32" t="s">
        <v>1248</v>
      </c>
      <c r="Q501" s="14" t="n">
        <v>7.5</v>
      </c>
      <c r="R501" s="32" t="s">
        <v>300</v>
      </c>
      <c r="S501" s="32" t="s">
        <v>257</v>
      </c>
      <c r="T501" s="49" t="s">
        <v>258</v>
      </c>
      <c r="U501" s="49" t="s">
        <v>259</v>
      </c>
      <c r="V501" s="49" t="s">
        <v>259</v>
      </c>
      <c r="W501" s="14" t="s">
        <v>260</v>
      </c>
      <c r="X501" s="14"/>
    </row>
    <row r="502" customFormat="false" ht="75.75" hidden="false" customHeight="true" outlineLevel="0" collapsed="false">
      <c r="A502" s="39" t="n">
        <v>497</v>
      </c>
      <c r="B502" s="40" t="n">
        <f aca="false">सारांश!$B$4+A502-1</f>
        <v>46837</v>
      </c>
      <c r="C502" s="39" t="str">
        <f aca="false">CHOOSE(WEEKDAY(B502,2),"सोमवार","मंगलवार","बुधवार","गुरुवार","शुक्रवार","शनिवार","रविवार")</f>
        <v>शनिवार</v>
      </c>
      <c r="D502" s="39" t="n">
        <f aca="false">IF(A502=1,0,INT((A502-2)/7)+1)</f>
        <v>71</v>
      </c>
      <c r="E502" s="39" t="n">
        <f aca="false">(YEAR(B502)-YEAR(सारांश!$B$4))*12+MONTH(B502)-MONTH(सारांश!$B$4)+IF(DAY(B502)&gt;=DAY(सारांश!$B$4),1,0)</f>
        <v>17</v>
      </c>
      <c r="F502" s="41" t="s">
        <v>22</v>
      </c>
      <c r="G502" s="14" t="s">
        <v>103</v>
      </c>
      <c r="H502" s="32" t="s">
        <v>1257</v>
      </c>
      <c r="I502" s="32" t="s">
        <v>1245</v>
      </c>
      <c r="J502" s="48" t="s">
        <v>249</v>
      </c>
      <c r="K502" s="48" t="s">
        <v>250</v>
      </c>
      <c r="L502" s="14" t="s">
        <v>104</v>
      </c>
      <c r="M502" s="32" t="s">
        <v>1250</v>
      </c>
      <c r="N502" s="32" t="s">
        <v>290</v>
      </c>
      <c r="O502" s="32" t="s">
        <v>1247</v>
      </c>
      <c r="P502" s="32" t="s">
        <v>1248</v>
      </c>
      <c r="Q502" s="14" t="n">
        <v>7.5</v>
      </c>
      <c r="R502" s="32" t="s">
        <v>300</v>
      </c>
      <c r="S502" s="32" t="s">
        <v>257</v>
      </c>
      <c r="T502" s="49" t="s">
        <v>258</v>
      </c>
      <c r="U502" s="49" t="s">
        <v>259</v>
      </c>
      <c r="V502" s="49" t="s">
        <v>259</v>
      </c>
      <c r="W502" s="14" t="s">
        <v>260</v>
      </c>
      <c r="X502" s="14"/>
    </row>
    <row r="503" customFormat="false" ht="58.5" hidden="false" customHeight="true" outlineLevel="0" collapsed="false">
      <c r="A503" s="50" t="n">
        <v>498</v>
      </c>
      <c r="B503" s="51" t="n">
        <f aca="false">सारांश!$B$4+A503-1</f>
        <v>46838</v>
      </c>
      <c r="C503" s="50" t="str">
        <f aca="false">CHOOSE(WEEKDAY(B503,2),"सोमवार","मंगलवार","बुधवार","गुरुवार","शुक्रवार","शनिवार","रविवार")</f>
        <v>रविवार</v>
      </c>
      <c r="D503" s="50" t="n">
        <f aca="false">IF(A503=1,0,INT((A503-2)/7)+1)</f>
        <v>71</v>
      </c>
      <c r="E503" s="50" t="n">
        <f aca="false">(YEAR(B503)-YEAR(सारांश!$B$4))*12+MONTH(B503)-MONTH(सारांश!$B$4)+IF(DAY(B503)&gt;=DAY(सारांश!$B$4),1,0)</f>
        <v>17</v>
      </c>
      <c r="F503" s="52" t="s">
        <v>22</v>
      </c>
      <c r="G503" s="50" t="s">
        <v>291</v>
      </c>
      <c r="H503" s="52" t="s">
        <v>127</v>
      </c>
      <c r="I503" s="52" t="s">
        <v>1259</v>
      </c>
      <c r="J503" s="53" t="s">
        <v>293</v>
      </c>
      <c r="K503" s="53" t="s">
        <v>294</v>
      </c>
      <c r="L503" s="50" t="s">
        <v>295</v>
      </c>
      <c r="M503" s="52" t="s">
        <v>296</v>
      </c>
      <c r="N503" s="52" t="s">
        <v>297</v>
      </c>
      <c r="O503" s="52" t="s">
        <v>1260</v>
      </c>
      <c r="P503" s="52" t="s">
        <v>299</v>
      </c>
      <c r="Q503" s="50" t="n">
        <v>6</v>
      </c>
      <c r="R503" s="52" t="s">
        <v>300</v>
      </c>
      <c r="S503" s="52" t="s">
        <v>257</v>
      </c>
      <c r="T503" s="54" t="s">
        <v>258</v>
      </c>
      <c r="U503" s="54" t="s">
        <v>259</v>
      </c>
      <c r="V503" s="54" t="s">
        <v>259</v>
      </c>
      <c r="W503" s="50" t="s">
        <v>260</v>
      </c>
      <c r="X503" s="50"/>
    </row>
    <row r="504" customFormat="false" ht="75.75" hidden="false" customHeight="true" outlineLevel="0" collapsed="false">
      <c r="A504" s="39" t="n">
        <v>499</v>
      </c>
      <c r="B504" s="40" t="n">
        <f aca="false">सारांश!$B$4+A504-1</f>
        <v>46839</v>
      </c>
      <c r="C504" s="39" t="str">
        <f aca="false">CHOOSE(WEEKDAY(B504,2),"सोमवार","मंगलवार","बुधवार","गुरुवार","शुक्रवार","शनिवार","रविवार")</f>
        <v>सोमवार</v>
      </c>
      <c r="D504" s="39" t="n">
        <f aca="false">IF(A504=1,0,INT((A504-2)/7)+1)</f>
        <v>72</v>
      </c>
      <c r="E504" s="39" t="n">
        <f aca="false">(YEAR(B504)-YEAR(सारांश!$B$4))*12+MONTH(B504)-MONTH(सारांश!$B$4)+IF(DAY(B504)&gt;=DAY(सारांश!$B$4),1,0)</f>
        <v>17</v>
      </c>
      <c r="F504" s="41" t="s">
        <v>22</v>
      </c>
      <c r="G504" s="14" t="s">
        <v>103</v>
      </c>
      <c r="H504" s="32" t="s">
        <v>1244</v>
      </c>
      <c r="I504" s="32" t="s">
        <v>1245</v>
      </c>
      <c r="J504" s="48" t="s">
        <v>249</v>
      </c>
      <c r="K504" s="48" t="s">
        <v>250</v>
      </c>
      <c r="L504" s="14" t="s">
        <v>104</v>
      </c>
      <c r="M504" s="32" t="s">
        <v>1258</v>
      </c>
      <c r="N504" s="32" t="s">
        <v>268</v>
      </c>
      <c r="O504" s="32" t="s">
        <v>1247</v>
      </c>
      <c r="P504" s="32" t="s">
        <v>1248</v>
      </c>
      <c r="Q504" s="14" t="n">
        <v>7.5</v>
      </c>
      <c r="R504" s="32" t="s">
        <v>300</v>
      </c>
      <c r="S504" s="32" t="s">
        <v>257</v>
      </c>
      <c r="T504" s="49" t="s">
        <v>258</v>
      </c>
      <c r="U504" s="49" t="s">
        <v>259</v>
      </c>
      <c r="V504" s="49" t="s">
        <v>259</v>
      </c>
      <c r="W504" s="14" t="s">
        <v>260</v>
      </c>
      <c r="X504" s="14"/>
    </row>
    <row r="505" customFormat="false" ht="75.75" hidden="false" customHeight="true" outlineLevel="0" collapsed="false">
      <c r="A505" s="39" t="n">
        <v>500</v>
      </c>
      <c r="B505" s="40" t="n">
        <f aca="false">सारांश!$B$4+A505-1</f>
        <v>46840</v>
      </c>
      <c r="C505" s="39" t="str">
        <f aca="false">CHOOSE(WEEKDAY(B505,2),"सोमवार","मंगलवार","बुधवार","गुरुवार","शुक्रवार","शनिवार","रविवार")</f>
        <v>मंगलवार</v>
      </c>
      <c r="D505" s="39" t="n">
        <f aca="false">IF(A505=1,0,INT((A505-2)/7)+1)</f>
        <v>72</v>
      </c>
      <c r="E505" s="39" t="n">
        <f aca="false">(YEAR(B505)-YEAR(सारांश!$B$4))*12+MONTH(B505)-MONTH(सारांश!$B$4)+IF(DAY(B505)&gt;=DAY(सारांश!$B$4),1,0)</f>
        <v>17</v>
      </c>
      <c r="F505" s="41" t="s">
        <v>22</v>
      </c>
      <c r="G505" s="14" t="s">
        <v>103</v>
      </c>
      <c r="H505" s="32" t="s">
        <v>1249</v>
      </c>
      <c r="I505" s="32" t="s">
        <v>1245</v>
      </c>
      <c r="J505" s="48" t="s">
        <v>249</v>
      </c>
      <c r="K505" s="48" t="s">
        <v>250</v>
      </c>
      <c r="L505" s="14" t="s">
        <v>104</v>
      </c>
      <c r="M505" s="32" t="s">
        <v>1261</v>
      </c>
      <c r="N505" s="32" t="s">
        <v>276</v>
      </c>
      <c r="O505" s="32" t="s">
        <v>1247</v>
      </c>
      <c r="P505" s="32" t="s">
        <v>1248</v>
      </c>
      <c r="Q505" s="14" t="n">
        <v>7.5</v>
      </c>
      <c r="R505" s="32" t="s">
        <v>300</v>
      </c>
      <c r="S505" s="32" t="s">
        <v>257</v>
      </c>
      <c r="T505" s="49" t="s">
        <v>258</v>
      </c>
      <c r="U505" s="49" t="s">
        <v>259</v>
      </c>
      <c r="V505" s="49" t="s">
        <v>259</v>
      </c>
      <c r="W505" s="14" t="s">
        <v>260</v>
      </c>
      <c r="X505" s="14"/>
    </row>
    <row r="506" customFormat="false" ht="75.75" hidden="false" customHeight="true" outlineLevel="0" collapsed="false">
      <c r="A506" s="39" t="n">
        <v>501</v>
      </c>
      <c r="B506" s="40" t="n">
        <f aca="false">सारांश!$B$4+A506-1</f>
        <v>46841</v>
      </c>
      <c r="C506" s="39" t="str">
        <f aca="false">CHOOSE(WEEKDAY(B506,2),"सोमवार","मंगलवार","बुधवार","गुरुवार","शुक्रवार","शनिवार","रविवार")</f>
        <v>बुधवार</v>
      </c>
      <c r="D506" s="39" t="n">
        <f aca="false">IF(A506=1,0,INT((A506-2)/7)+1)</f>
        <v>72</v>
      </c>
      <c r="E506" s="39" t="n">
        <f aca="false">(YEAR(B506)-YEAR(सारांश!$B$4))*12+MONTH(B506)-MONTH(सारांश!$B$4)+IF(DAY(B506)&gt;=DAY(सारांश!$B$4),1,0)</f>
        <v>17</v>
      </c>
      <c r="F506" s="41" t="s">
        <v>22</v>
      </c>
      <c r="G506" s="14" t="s">
        <v>103</v>
      </c>
      <c r="H506" s="32" t="s">
        <v>1251</v>
      </c>
      <c r="I506" s="32" t="s">
        <v>1245</v>
      </c>
      <c r="J506" s="48" t="s">
        <v>249</v>
      </c>
      <c r="K506" s="48" t="s">
        <v>250</v>
      </c>
      <c r="L506" s="14" t="s">
        <v>104</v>
      </c>
      <c r="M506" s="32" t="s">
        <v>1262</v>
      </c>
      <c r="N506" s="32" t="s">
        <v>279</v>
      </c>
      <c r="O506" s="32" t="s">
        <v>1247</v>
      </c>
      <c r="P506" s="32" t="s">
        <v>1248</v>
      </c>
      <c r="Q506" s="14" t="n">
        <v>7.5</v>
      </c>
      <c r="R506" s="32" t="s">
        <v>300</v>
      </c>
      <c r="S506" s="32" t="s">
        <v>257</v>
      </c>
      <c r="T506" s="49" t="s">
        <v>258</v>
      </c>
      <c r="U506" s="49" t="s">
        <v>259</v>
      </c>
      <c r="V506" s="49" t="s">
        <v>259</v>
      </c>
      <c r="W506" s="14" t="s">
        <v>260</v>
      </c>
      <c r="X506" s="14"/>
    </row>
    <row r="507" customFormat="false" ht="75.75" hidden="false" customHeight="true" outlineLevel="0" collapsed="false">
      <c r="A507" s="39" t="n">
        <v>502</v>
      </c>
      <c r="B507" s="40" t="n">
        <f aca="false">सारांश!$B$4+A507-1</f>
        <v>46842</v>
      </c>
      <c r="C507" s="39" t="str">
        <f aca="false">CHOOSE(WEEKDAY(B507,2),"सोमवार","मंगलवार","बुधवार","गुरुवार","शुक्रवार","शनिवार","रविवार")</f>
        <v>गुरुवार</v>
      </c>
      <c r="D507" s="39" t="n">
        <f aca="false">IF(A507=1,0,INT((A507-2)/7)+1)</f>
        <v>72</v>
      </c>
      <c r="E507" s="39" t="n">
        <f aca="false">(YEAR(B507)-YEAR(सारांश!$B$4))*12+MONTH(B507)-MONTH(सारांश!$B$4)+IF(DAY(B507)&gt;=DAY(सारांश!$B$4),1,0)</f>
        <v>17</v>
      </c>
      <c r="F507" s="41" t="s">
        <v>22</v>
      </c>
      <c r="G507" s="14" t="s">
        <v>103</v>
      </c>
      <c r="H507" s="32" t="s">
        <v>1253</v>
      </c>
      <c r="I507" s="32" t="s">
        <v>1245</v>
      </c>
      <c r="J507" s="48" t="s">
        <v>249</v>
      </c>
      <c r="K507" s="48" t="s">
        <v>250</v>
      </c>
      <c r="L507" s="14" t="s">
        <v>104</v>
      </c>
      <c r="M507" s="32" t="s">
        <v>1246</v>
      </c>
      <c r="N507" s="32" t="s">
        <v>284</v>
      </c>
      <c r="O507" s="32" t="s">
        <v>1247</v>
      </c>
      <c r="P507" s="32" t="s">
        <v>1248</v>
      </c>
      <c r="Q507" s="14" t="n">
        <v>7.5</v>
      </c>
      <c r="R507" s="32" t="s">
        <v>300</v>
      </c>
      <c r="S507" s="32" t="s">
        <v>257</v>
      </c>
      <c r="T507" s="49" t="s">
        <v>258</v>
      </c>
      <c r="U507" s="49" t="s">
        <v>259</v>
      </c>
      <c r="V507" s="49" t="s">
        <v>259</v>
      </c>
      <c r="W507" s="14" t="s">
        <v>260</v>
      </c>
      <c r="X507" s="14"/>
    </row>
    <row r="508" customFormat="false" ht="75.75" hidden="false" customHeight="true" outlineLevel="0" collapsed="false">
      <c r="A508" s="39" t="n">
        <v>503</v>
      </c>
      <c r="B508" s="40" t="n">
        <f aca="false">सारांश!$B$4+A508-1</f>
        <v>46843</v>
      </c>
      <c r="C508" s="39" t="str">
        <f aca="false">CHOOSE(WEEKDAY(B508,2),"सोमवार","मंगलवार","बुधवार","गुरुवार","शुक्रवार","शनिवार","रविवार")</f>
        <v>शुक्रवार</v>
      </c>
      <c r="D508" s="39" t="n">
        <f aca="false">IF(A508=1,0,INT((A508-2)/7)+1)</f>
        <v>72</v>
      </c>
      <c r="E508" s="39" t="n">
        <f aca="false">(YEAR(B508)-YEAR(सारांश!$B$4))*12+MONTH(B508)-MONTH(सारांश!$B$4)+IF(DAY(B508)&gt;=DAY(सारांश!$B$4),1,0)</f>
        <v>17</v>
      </c>
      <c r="F508" s="41" t="s">
        <v>22</v>
      </c>
      <c r="G508" s="14" t="s">
        <v>103</v>
      </c>
      <c r="H508" s="32" t="s">
        <v>1255</v>
      </c>
      <c r="I508" s="32" t="s">
        <v>1245</v>
      </c>
      <c r="J508" s="48" t="s">
        <v>249</v>
      </c>
      <c r="K508" s="48" t="s">
        <v>250</v>
      </c>
      <c r="L508" s="14" t="s">
        <v>104</v>
      </c>
      <c r="M508" s="32" t="s">
        <v>1250</v>
      </c>
      <c r="N508" s="32" t="s">
        <v>287</v>
      </c>
      <c r="O508" s="32" t="s">
        <v>1247</v>
      </c>
      <c r="P508" s="32" t="s">
        <v>1248</v>
      </c>
      <c r="Q508" s="14" t="n">
        <v>7.5</v>
      </c>
      <c r="R508" s="32" t="s">
        <v>300</v>
      </c>
      <c r="S508" s="32" t="s">
        <v>257</v>
      </c>
      <c r="T508" s="49" t="s">
        <v>258</v>
      </c>
      <c r="U508" s="49" t="s">
        <v>259</v>
      </c>
      <c r="V508" s="49" t="s">
        <v>259</v>
      </c>
      <c r="W508" s="14" t="s">
        <v>260</v>
      </c>
      <c r="X508" s="14"/>
    </row>
    <row r="509" customFormat="false" ht="75.75" hidden="false" customHeight="true" outlineLevel="0" collapsed="false">
      <c r="A509" s="39" t="n">
        <v>504</v>
      </c>
      <c r="B509" s="40" t="n">
        <f aca="false">सारांश!$B$4+A509-1</f>
        <v>46844</v>
      </c>
      <c r="C509" s="39" t="str">
        <f aca="false">CHOOSE(WEEKDAY(B509,2),"सोमवार","मंगलवार","बुधवार","गुरुवार","शुक्रवार","शनिवार","रविवार")</f>
        <v>शनिवार</v>
      </c>
      <c r="D509" s="39" t="n">
        <f aca="false">IF(A509=1,0,INT((A509-2)/7)+1)</f>
        <v>72</v>
      </c>
      <c r="E509" s="39" t="n">
        <f aca="false">(YEAR(B509)-YEAR(सारांश!$B$4))*12+MONTH(B509)-MONTH(सारांश!$B$4)+IF(DAY(B509)&gt;=DAY(सारांश!$B$4),1,0)</f>
        <v>17</v>
      </c>
      <c r="F509" s="41" t="s">
        <v>22</v>
      </c>
      <c r="G509" s="14" t="s">
        <v>103</v>
      </c>
      <c r="H509" s="32" t="s">
        <v>1257</v>
      </c>
      <c r="I509" s="32" t="s">
        <v>1245</v>
      </c>
      <c r="J509" s="48" t="s">
        <v>249</v>
      </c>
      <c r="K509" s="48" t="s">
        <v>250</v>
      </c>
      <c r="L509" s="14" t="s">
        <v>104</v>
      </c>
      <c r="M509" s="32" t="s">
        <v>1252</v>
      </c>
      <c r="N509" s="32" t="s">
        <v>290</v>
      </c>
      <c r="O509" s="32" t="s">
        <v>1247</v>
      </c>
      <c r="P509" s="32" t="s">
        <v>1248</v>
      </c>
      <c r="Q509" s="14" t="n">
        <v>7.5</v>
      </c>
      <c r="R509" s="32" t="s">
        <v>300</v>
      </c>
      <c r="S509" s="32" t="s">
        <v>257</v>
      </c>
      <c r="T509" s="49" t="s">
        <v>258</v>
      </c>
      <c r="U509" s="49" t="s">
        <v>259</v>
      </c>
      <c r="V509" s="49" t="s">
        <v>259</v>
      </c>
      <c r="W509" s="14" t="s">
        <v>260</v>
      </c>
      <c r="X509" s="14"/>
    </row>
    <row r="510" customFormat="false" ht="58.5" hidden="false" customHeight="true" outlineLevel="0" collapsed="false">
      <c r="A510" s="50" t="n">
        <v>505</v>
      </c>
      <c r="B510" s="51" t="n">
        <f aca="false">सारांश!$B$4+A510-1</f>
        <v>46845</v>
      </c>
      <c r="C510" s="50" t="str">
        <f aca="false">CHOOSE(WEEKDAY(B510,2),"सोमवार","मंगलवार","बुधवार","गुरुवार","शुक्रवार","शनिवार","रविवार")</f>
        <v>रविवार</v>
      </c>
      <c r="D510" s="50" t="n">
        <f aca="false">IF(A510=1,0,INT((A510-2)/7)+1)</f>
        <v>72</v>
      </c>
      <c r="E510" s="50" t="n">
        <f aca="false">(YEAR(B510)-YEAR(सारांश!$B$4))*12+MONTH(B510)-MONTH(सारांश!$B$4)+IF(DAY(B510)&gt;=DAY(सारांश!$B$4),1,0)</f>
        <v>17</v>
      </c>
      <c r="F510" s="52" t="s">
        <v>22</v>
      </c>
      <c r="G510" s="50" t="s">
        <v>291</v>
      </c>
      <c r="H510" s="52" t="s">
        <v>135</v>
      </c>
      <c r="I510" s="52" t="s">
        <v>1259</v>
      </c>
      <c r="J510" s="53" t="s">
        <v>293</v>
      </c>
      <c r="K510" s="53" t="s">
        <v>294</v>
      </c>
      <c r="L510" s="50" t="s">
        <v>295</v>
      </c>
      <c r="M510" s="52" t="s">
        <v>296</v>
      </c>
      <c r="N510" s="52" t="s">
        <v>297</v>
      </c>
      <c r="O510" s="52" t="s">
        <v>1260</v>
      </c>
      <c r="P510" s="52" t="s">
        <v>299</v>
      </c>
      <c r="Q510" s="50" t="n">
        <v>6</v>
      </c>
      <c r="R510" s="52" t="s">
        <v>300</v>
      </c>
      <c r="S510" s="52" t="s">
        <v>257</v>
      </c>
      <c r="T510" s="54" t="s">
        <v>258</v>
      </c>
      <c r="U510" s="54" t="s">
        <v>259</v>
      </c>
      <c r="V510" s="54" t="s">
        <v>259</v>
      </c>
      <c r="W510" s="50" t="s">
        <v>260</v>
      </c>
      <c r="X510" s="50"/>
    </row>
    <row r="511" customFormat="false" ht="75.75" hidden="false" customHeight="true" outlineLevel="0" collapsed="false">
      <c r="A511" s="39" t="n">
        <v>506</v>
      </c>
      <c r="B511" s="40" t="n">
        <f aca="false">सारांश!$B$4+A511-1</f>
        <v>46846</v>
      </c>
      <c r="C511" s="39" t="str">
        <f aca="false">CHOOSE(WEEKDAY(B511,2),"सोमवार","मंगलवार","बुधवार","गुरुवार","शुक्रवार","शनिवार","रविवार")</f>
        <v>सोमवार</v>
      </c>
      <c r="D511" s="39" t="n">
        <f aca="false">IF(A511=1,0,INT((A511-2)/7)+1)</f>
        <v>73</v>
      </c>
      <c r="E511" s="39" t="n">
        <f aca="false">(YEAR(B511)-YEAR(सारांश!$B$4))*12+MONTH(B511)-MONTH(सारांश!$B$4)+IF(DAY(B511)&gt;=DAY(सारांश!$B$4),1,0)</f>
        <v>17</v>
      </c>
      <c r="F511" s="41" t="s">
        <v>22</v>
      </c>
      <c r="G511" s="14" t="s">
        <v>103</v>
      </c>
      <c r="H511" s="32" t="s">
        <v>1244</v>
      </c>
      <c r="I511" s="32" t="s">
        <v>1245</v>
      </c>
      <c r="J511" s="48" t="s">
        <v>249</v>
      </c>
      <c r="K511" s="48" t="s">
        <v>250</v>
      </c>
      <c r="L511" s="14" t="s">
        <v>104</v>
      </c>
      <c r="M511" s="32" t="s">
        <v>1261</v>
      </c>
      <c r="N511" s="32" t="s">
        <v>268</v>
      </c>
      <c r="O511" s="32" t="s">
        <v>1247</v>
      </c>
      <c r="P511" s="32" t="s">
        <v>1248</v>
      </c>
      <c r="Q511" s="14" t="n">
        <v>7.5</v>
      </c>
      <c r="R511" s="32" t="s">
        <v>300</v>
      </c>
      <c r="S511" s="32" t="s">
        <v>257</v>
      </c>
      <c r="T511" s="49" t="s">
        <v>258</v>
      </c>
      <c r="U511" s="49" t="s">
        <v>259</v>
      </c>
      <c r="V511" s="49" t="s">
        <v>259</v>
      </c>
      <c r="W511" s="14" t="s">
        <v>260</v>
      </c>
      <c r="X511" s="14"/>
    </row>
    <row r="512" customFormat="false" ht="75.75" hidden="false" customHeight="true" outlineLevel="0" collapsed="false">
      <c r="A512" s="39" t="n">
        <v>507</v>
      </c>
      <c r="B512" s="40" t="n">
        <f aca="false">सारांश!$B$4+A512-1</f>
        <v>46847</v>
      </c>
      <c r="C512" s="39" t="str">
        <f aca="false">CHOOSE(WEEKDAY(B512,2),"सोमवार","मंगलवार","बुधवार","गुरुवार","शुक्रवार","शनिवार","रविवार")</f>
        <v>मंगलवार</v>
      </c>
      <c r="D512" s="39" t="n">
        <f aca="false">IF(A512=1,0,INT((A512-2)/7)+1)</f>
        <v>73</v>
      </c>
      <c r="E512" s="39" t="n">
        <f aca="false">(YEAR(B512)-YEAR(सारांश!$B$4))*12+MONTH(B512)-MONTH(सारांश!$B$4)+IF(DAY(B512)&gt;=DAY(सारांश!$B$4),1,0)</f>
        <v>17</v>
      </c>
      <c r="F512" s="41" t="s">
        <v>22</v>
      </c>
      <c r="G512" s="14" t="s">
        <v>103</v>
      </c>
      <c r="H512" s="32" t="s">
        <v>1249</v>
      </c>
      <c r="I512" s="32" t="s">
        <v>1245</v>
      </c>
      <c r="J512" s="48" t="s">
        <v>249</v>
      </c>
      <c r="K512" s="48" t="s">
        <v>250</v>
      </c>
      <c r="L512" s="14" t="s">
        <v>104</v>
      </c>
      <c r="M512" s="32" t="s">
        <v>1262</v>
      </c>
      <c r="N512" s="32" t="s">
        <v>276</v>
      </c>
      <c r="O512" s="32" t="s">
        <v>1247</v>
      </c>
      <c r="P512" s="32" t="s">
        <v>1248</v>
      </c>
      <c r="Q512" s="14" t="n">
        <v>7.5</v>
      </c>
      <c r="R512" s="32" t="s">
        <v>300</v>
      </c>
      <c r="S512" s="32" t="s">
        <v>257</v>
      </c>
      <c r="T512" s="49" t="s">
        <v>258</v>
      </c>
      <c r="U512" s="49" t="s">
        <v>259</v>
      </c>
      <c r="V512" s="49" t="s">
        <v>259</v>
      </c>
      <c r="W512" s="14" t="s">
        <v>260</v>
      </c>
      <c r="X512" s="14"/>
    </row>
    <row r="513" customFormat="false" ht="75.75" hidden="false" customHeight="true" outlineLevel="0" collapsed="false">
      <c r="A513" s="39" t="n">
        <v>508</v>
      </c>
      <c r="B513" s="40" t="n">
        <f aca="false">सारांश!$B$4+A513-1</f>
        <v>46848</v>
      </c>
      <c r="C513" s="39" t="str">
        <f aca="false">CHOOSE(WEEKDAY(B513,2),"सोमवार","मंगलवार","बुधवार","गुरुवार","शुक्रवार","शनिवार","रविवार")</f>
        <v>बुधवार</v>
      </c>
      <c r="D513" s="39" t="n">
        <f aca="false">IF(A513=1,0,INT((A513-2)/7)+1)</f>
        <v>73</v>
      </c>
      <c r="E513" s="39" t="n">
        <f aca="false">(YEAR(B513)-YEAR(सारांश!$B$4))*12+MONTH(B513)-MONTH(सारांश!$B$4)+IF(DAY(B513)&gt;=DAY(सारांश!$B$4),1,0)</f>
        <v>17</v>
      </c>
      <c r="F513" s="41" t="s">
        <v>22</v>
      </c>
      <c r="G513" s="14" t="s">
        <v>103</v>
      </c>
      <c r="H513" s="32" t="s">
        <v>1251</v>
      </c>
      <c r="I513" s="32" t="s">
        <v>1245</v>
      </c>
      <c r="J513" s="48" t="s">
        <v>249</v>
      </c>
      <c r="K513" s="48" t="s">
        <v>250</v>
      </c>
      <c r="L513" s="14" t="s">
        <v>104</v>
      </c>
      <c r="M513" s="32" t="s">
        <v>1246</v>
      </c>
      <c r="N513" s="32" t="s">
        <v>279</v>
      </c>
      <c r="O513" s="32" t="s">
        <v>1247</v>
      </c>
      <c r="P513" s="32" t="s">
        <v>1248</v>
      </c>
      <c r="Q513" s="14" t="n">
        <v>7.5</v>
      </c>
      <c r="R513" s="32" t="s">
        <v>300</v>
      </c>
      <c r="S513" s="32" t="s">
        <v>257</v>
      </c>
      <c r="T513" s="49" t="s">
        <v>258</v>
      </c>
      <c r="U513" s="49" t="s">
        <v>259</v>
      </c>
      <c r="V513" s="49" t="s">
        <v>259</v>
      </c>
      <c r="W513" s="14" t="s">
        <v>260</v>
      </c>
      <c r="X513" s="14"/>
    </row>
    <row r="514" customFormat="false" ht="75.75" hidden="false" customHeight="true" outlineLevel="0" collapsed="false">
      <c r="A514" s="39" t="n">
        <v>509</v>
      </c>
      <c r="B514" s="40" t="n">
        <f aca="false">सारांश!$B$4+A514-1</f>
        <v>46849</v>
      </c>
      <c r="C514" s="39" t="str">
        <f aca="false">CHOOSE(WEEKDAY(B514,2),"सोमवार","मंगलवार","बुधवार","गुरुवार","शुक्रवार","शनिवार","रविवार")</f>
        <v>गुरुवार</v>
      </c>
      <c r="D514" s="39" t="n">
        <f aca="false">IF(A514=1,0,INT((A514-2)/7)+1)</f>
        <v>73</v>
      </c>
      <c r="E514" s="39" t="n">
        <f aca="false">(YEAR(B514)-YEAR(सारांश!$B$4))*12+MONTH(B514)-MONTH(सारांश!$B$4)+IF(DAY(B514)&gt;=DAY(सारांश!$B$4),1,0)</f>
        <v>17</v>
      </c>
      <c r="F514" s="41" t="s">
        <v>22</v>
      </c>
      <c r="G514" s="14" t="s">
        <v>103</v>
      </c>
      <c r="H514" s="32" t="s">
        <v>1253</v>
      </c>
      <c r="I514" s="32" t="s">
        <v>1245</v>
      </c>
      <c r="J514" s="48" t="s">
        <v>249</v>
      </c>
      <c r="K514" s="48" t="s">
        <v>250</v>
      </c>
      <c r="L514" s="14" t="s">
        <v>104</v>
      </c>
      <c r="M514" s="32" t="s">
        <v>1250</v>
      </c>
      <c r="N514" s="32" t="s">
        <v>284</v>
      </c>
      <c r="O514" s="32" t="s">
        <v>1247</v>
      </c>
      <c r="P514" s="32" t="s">
        <v>1248</v>
      </c>
      <c r="Q514" s="14" t="n">
        <v>7.5</v>
      </c>
      <c r="R514" s="32" t="s">
        <v>300</v>
      </c>
      <c r="S514" s="32" t="s">
        <v>257</v>
      </c>
      <c r="T514" s="49" t="s">
        <v>258</v>
      </c>
      <c r="U514" s="49" t="s">
        <v>259</v>
      </c>
      <c r="V514" s="49" t="s">
        <v>259</v>
      </c>
      <c r="W514" s="14" t="s">
        <v>260</v>
      </c>
      <c r="X514" s="14"/>
    </row>
    <row r="515" customFormat="false" ht="75.75" hidden="false" customHeight="true" outlineLevel="0" collapsed="false">
      <c r="A515" s="39" t="n">
        <v>510</v>
      </c>
      <c r="B515" s="40" t="n">
        <f aca="false">सारांश!$B$4+A515-1</f>
        <v>46850</v>
      </c>
      <c r="C515" s="39" t="str">
        <f aca="false">CHOOSE(WEEKDAY(B515,2),"सोमवार","मंगलवार","बुधवार","गुरुवार","शुक्रवार","शनिवार","रविवार")</f>
        <v>शुक्रवार</v>
      </c>
      <c r="D515" s="39" t="n">
        <f aca="false">IF(A515=1,0,INT((A515-2)/7)+1)</f>
        <v>73</v>
      </c>
      <c r="E515" s="39" t="n">
        <f aca="false">(YEAR(B515)-YEAR(सारांश!$B$4))*12+MONTH(B515)-MONTH(सारांश!$B$4)+IF(DAY(B515)&gt;=DAY(सारांश!$B$4),1,0)</f>
        <v>17</v>
      </c>
      <c r="F515" s="41" t="s">
        <v>22</v>
      </c>
      <c r="G515" s="14" t="s">
        <v>103</v>
      </c>
      <c r="H515" s="32" t="s">
        <v>1255</v>
      </c>
      <c r="I515" s="32" t="s">
        <v>1245</v>
      </c>
      <c r="J515" s="48" t="s">
        <v>249</v>
      </c>
      <c r="K515" s="48" t="s">
        <v>250</v>
      </c>
      <c r="L515" s="14" t="s">
        <v>104</v>
      </c>
      <c r="M515" s="32" t="s">
        <v>1252</v>
      </c>
      <c r="N515" s="32" t="s">
        <v>287</v>
      </c>
      <c r="O515" s="32" t="s">
        <v>1247</v>
      </c>
      <c r="P515" s="32" t="s">
        <v>1248</v>
      </c>
      <c r="Q515" s="14" t="n">
        <v>7.5</v>
      </c>
      <c r="R515" s="32" t="s">
        <v>300</v>
      </c>
      <c r="S515" s="32" t="s">
        <v>257</v>
      </c>
      <c r="T515" s="49" t="s">
        <v>258</v>
      </c>
      <c r="U515" s="49" t="s">
        <v>259</v>
      </c>
      <c r="V515" s="49" t="s">
        <v>259</v>
      </c>
      <c r="W515" s="14" t="s">
        <v>260</v>
      </c>
      <c r="X515" s="14"/>
    </row>
    <row r="516" customFormat="false" ht="75.75" hidden="false" customHeight="true" outlineLevel="0" collapsed="false">
      <c r="A516" s="39" t="n">
        <v>511</v>
      </c>
      <c r="B516" s="40" t="n">
        <f aca="false">सारांश!$B$4+A516-1</f>
        <v>46851</v>
      </c>
      <c r="C516" s="39" t="str">
        <f aca="false">CHOOSE(WEEKDAY(B516,2),"सोमवार","मंगलवार","बुधवार","गुरुवार","शुक्रवार","शनिवार","रविवार")</f>
        <v>शनिवार</v>
      </c>
      <c r="D516" s="39" t="n">
        <f aca="false">IF(A516=1,0,INT((A516-2)/7)+1)</f>
        <v>73</v>
      </c>
      <c r="E516" s="39" t="n">
        <f aca="false">(YEAR(B516)-YEAR(सारांश!$B$4))*12+MONTH(B516)-MONTH(सारांश!$B$4)+IF(DAY(B516)&gt;=DAY(सारांश!$B$4),1,0)</f>
        <v>17</v>
      </c>
      <c r="F516" s="41" t="s">
        <v>22</v>
      </c>
      <c r="G516" s="14" t="s">
        <v>103</v>
      </c>
      <c r="H516" s="32" t="s">
        <v>1257</v>
      </c>
      <c r="I516" s="32" t="s">
        <v>1245</v>
      </c>
      <c r="J516" s="48" t="s">
        <v>249</v>
      </c>
      <c r="K516" s="48" t="s">
        <v>250</v>
      </c>
      <c r="L516" s="14" t="s">
        <v>104</v>
      </c>
      <c r="M516" s="32" t="s">
        <v>1254</v>
      </c>
      <c r="N516" s="32" t="s">
        <v>290</v>
      </c>
      <c r="O516" s="32" t="s">
        <v>1247</v>
      </c>
      <c r="P516" s="32" t="s">
        <v>1248</v>
      </c>
      <c r="Q516" s="14" t="n">
        <v>7.5</v>
      </c>
      <c r="R516" s="32" t="s">
        <v>300</v>
      </c>
      <c r="S516" s="32" t="s">
        <v>257</v>
      </c>
      <c r="T516" s="49" t="s">
        <v>258</v>
      </c>
      <c r="U516" s="49" t="s">
        <v>259</v>
      </c>
      <c r="V516" s="49" t="s">
        <v>259</v>
      </c>
      <c r="W516" s="14" t="s">
        <v>260</v>
      </c>
      <c r="X516" s="14"/>
    </row>
    <row r="517" customFormat="false" ht="58.5" hidden="false" customHeight="true" outlineLevel="0" collapsed="false">
      <c r="A517" s="50" t="n">
        <v>512</v>
      </c>
      <c r="B517" s="51" t="n">
        <f aca="false">सारांश!$B$4+A517-1</f>
        <v>46852</v>
      </c>
      <c r="C517" s="50" t="str">
        <f aca="false">CHOOSE(WEEKDAY(B517,2),"सोमवार","मंगलवार","बुधवार","गुरुवार","शुक्रवार","शनिवार","रविवार")</f>
        <v>रविवार</v>
      </c>
      <c r="D517" s="50" t="n">
        <f aca="false">IF(A517=1,0,INT((A517-2)/7)+1)</f>
        <v>73</v>
      </c>
      <c r="E517" s="50" t="n">
        <f aca="false">(YEAR(B517)-YEAR(सारांश!$B$4))*12+MONTH(B517)-MONTH(सारांश!$B$4)+IF(DAY(B517)&gt;=DAY(सारांश!$B$4),1,0)</f>
        <v>17</v>
      </c>
      <c r="F517" s="52" t="s">
        <v>22</v>
      </c>
      <c r="G517" s="50" t="s">
        <v>291</v>
      </c>
      <c r="H517" s="52" t="s">
        <v>127</v>
      </c>
      <c r="I517" s="52" t="s">
        <v>1259</v>
      </c>
      <c r="J517" s="53" t="s">
        <v>293</v>
      </c>
      <c r="K517" s="53" t="s">
        <v>294</v>
      </c>
      <c r="L517" s="50" t="s">
        <v>295</v>
      </c>
      <c r="M517" s="52" t="s">
        <v>296</v>
      </c>
      <c r="N517" s="52" t="s">
        <v>297</v>
      </c>
      <c r="O517" s="52" t="s">
        <v>1260</v>
      </c>
      <c r="P517" s="52" t="s">
        <v>299</v>
      </c>
      <c r="Q517" s="50" t="n">
        <v>6</v>
      </c>
      <c r="R517" s="52" t="s">
        <v>300</v>
      </c>
      <c r="S517" s="52" t="s">
        <v>257</v>
      </c>
      <c r="T517" s="54" t="s">
        <v>258</v>
      </c>
      <c r="U517" s="54" t="s">
        <v>259</v>
      </c>
      <c r="V517" s="54" t="s">
        <v>259</v>
      </c>
      <c r="W517" s="50" t="s">
        <v>260</v>
      </c>
      <c r="X517" s="50"/>
    </row>
    <row r="518" customFormat="false" ht="75.75" hidden="false" customHeight="true" outlineLevel="0" collapsed="false">
      <c r="A518" s="39" t="n">
        <v>513</v>
      </c>
      <c r="B518" s="40" t="n">
        <f aca="false">सारांश!$B$4+A518-1</f>
        <v>46853</v>
      </c>
      <c r="C518" s="39" t="str">
        <f aca="false">CHOOSE(WEEKDAY(B518,2),"सोमवार","मंगलवार","बुधवार","गुरुवार","शुक्रवार","शनिवार","रविवार")</f>
        <v>सोमवार</v>
      </c>
      <c r="D518" s="39" t="n">
        <f aca="false">IF(A518=1,0,INT((A518-2)/7)+1)</f>
        <v>74</v>
      </c>
      <c r="E518" s="39" t="n">
        <f aca="false">(YEAR(B518)-YEAR(सारांश!$B$4))*12+MONTH(B518)-MONTH(सारांश!$B$4)+IF(DAY(B518)&gt;=DAY(सारांश!$B$4),1,0)</f>
        <v>17</v>
      </c>
      <c r="F518" s="41" t="s">
        <v>22</v>
      </c>
      <c r="G518" s="14" t="s">
        <v>103</v>
      </c>
      <c r="H518" s="32" t="s">
        <v>1244</v>
      </c>
      <c r="I518" s="32" t="s">
        <v>1245</v>
      </c>
      <c r="J518" s="48" t="s">
        <v>249</v>
      </c>
      <c r="K518" s="48" t="s">
        <v>250</v>
      </c>
      <c r="L518" s="14" t="s">
        <v>104</v>
      </c>
      <c r="M518" s="32" t="s">
        <v>1262</v>
      </c>
      <c r="N518" s="32" t="s">
        <v>268</v>
      </c>
      <c r="O518" s="32" t="s">
        <v>1247</v>
      </c>
      <c r="P518" s="32" t="s">
        <v>1248</v>
      </c>
      <c r="Q518" s="14" t="n">
        <v>7.5</v>
      </c>
      <c r="R518" s="32" t="s">
        <v>300</v>
      </c>
      <c r="S518" s="32" t="s">
        <v>257</v>
      </c>
      <c r="T518" s="49" t="s">
        <v>258</v>
      </c>
      <c r="U518" s="49" t="s">
        <v>259</v>
      </c>
      <c r="V518" s="49" t="s">
        <v>259</v>
      </c>
      <c r="W518" s="14" t="s">
        <v>260</v>
      </c>
      <c r="X518" s="14"/>
    </row>
    <row r="519" customFormat="false" ht="75.75" hidden="false" customHeight="true" outlineLevel="0" collapsed="false">
      <c r="A519" s="39" t="n">
        <v>514</v>
      </c>
      <c r="B519" s="40" t="n">
        <f aca="false">सारांश!$B$4+A519-1</f>
        <v>46854</v>
      </c>
      <c r="C519" s="39" t="str">
        <f aca="false">CHOOSE(WEEKDAY(B519,2),"सोमवार","मंगलवार","बुधवार","गुरुवार","शुक्रवार","शनिवार","रविवार")</f>
        <v>मंगलवार</v>
      </c>
      <c r="D519" s="39" t="n">
        <f aca="false">IF(A519=1,0,INT((A519-2)/7)+1)</f>
        <v>74</v>
      </c>
      <c r="E519" s="39" t="n">
        <f aca="false">(YEAR(B519)-YEAR(सारांश!$B$4))*12+MONTH(B519)-MONTH(सारांश!$B$4)+IF(DAY(B519)&gt;=DAY(सारांश!$B$4),1,0)</f>
        <v>17</v>
      </c>
      <c r="F519" s="41" t="s">
        <v>22</v>
      </c>
      <c r="G519" s="14" t="s">
        <v>103</v>
      </c>
      <c r="H519" s="32" t="s">
        <v>1249</v>
      </c>
      <c r="I519" s="32" t="s">
        <v>1245</v>
      </c>
      <c r="J519" s="48" t="s">
        <v>249</v>
      </c>
      <c r="K519" s="48" t="s">
        <v>250</v>
      </c>
      <c r="L519" s="14" t="s">
        <v>104</v>
      </c>
      <c r="M519" s="32" t="s">
        <v>1246</v>
      </c>
      <c r="N519" s="32" t="s">
        <v>276</v>
      </c>
      <c r="O519" s="32" t="s">
        <v>1247</v>
      </c>
      <c r="P519" s="32" t="s">
        <v>1248</v>
      </c>
      <c r="Q519" s="14" t="n">
        <v>7.5</v>
      </c>
      <c r="R519" s="32" t="s">
        <v>300</v>
      </c>
      <c r="S519" s="32" t="s">
        <v>257</v>
      </c>
      <c r="T519" s="49" t="s">
        <v>258</v>
      </c>
      <c r="U519" s="49" t="s">
        <v>259</v>
      </c>
      <c r="V519" s="49" t="s">
        <v>259</v>
      </c>
      <c r="W519" s="14" t="s">
        <v>260</v>
      </c>
      <c r="X519" s="14"/>
    </row>
    <row r="520" customFormat="false" ht="75.75" hidden="false" customHeight="true" outlineLevel="0" collapsed="false">
      <c r="A520" s="39" t="n">
        <v>515</v>
      </c>
      <c r="B520" s="40" t="n">
        <f aca="false">सारांश!$B$4+A520-1</f>
        <v>46855</v>
      </c>
      <c r="C520" s="39" t="str">
        <f aca="false">CHOOSE(WEEKDAY(B520,2),"सोमवार","मंगलवार","बुधवार","गुरुवार","शुक्रवार","शनिवार","रविवार")</f>
        <v>बुधवार</v>
      </c>
      <c r="D520" s="39" t="n">
        <f aca="false">IF(A520=1,0,INT((A520-2)/7)+1)</f>
        <v>74</v>
      </c>
      <c r="E520" s="39" t="n">
        <f aca="false">(YEAR(B520)-YEAR(सारांश!$B$4))*12+MONTH(B520)-MONTH(सारांश!$B$4)+IF(DAY(B520)&gt;=DAY(सारांश!$B$4),1,0)</f>
        <v>17</v>
      </c>
      <c r="F520" s="41" t="s">
        <v>22</v>
      </c>
      <c r="G520" s="14" t="s">
        <v>103</v>
      </c>
      <c r="H520" s="32" t="s">
        <v>1251</v>
      </c>
      <c r="I520" s="32" t="s">
        <v>1245</v>
      </c>
      <c r="J520" s="48" t="s">
        <v>249</v>
      </c>
      <c r="K520" s="48" t="s">
        <v>250</v>
      </c>
      <c r="L520" s="14" t="s">
        <v>104</v>
      </c>
      <c r="M520" s="32" t="s">
        <v>1250</v>
      </c>
      <c r="N520" s="32" t="s">
        <v>279</v>
      </c>
      <c r="O520" s="32" t="s">
        <v>1247</v>
      </c>
      <c r="P520" s="32" t="s">
        <v>1248</v>
      </c>
      <c r="Q520" s="14" t="n">
        <v>7.5</v>
      </c>
      <c r="R520" s="32" t="s">
        <v>300</v>
      </c>
      <c r="S520" s="32" t="s">
        <v>257</v>
      </c>
      <c r="T520" s="49" t="s">
        <v>258</v>
      </c>
      <c r="U520" s="49" t="s">
        <v>259</v>
      </c>
      <c r="V520" s="49" t="s">
        <v>259</v>
      </c>
      <c r="W520" s="14" t="s">
        <v>260</v>
      </c>
      <c r="X520" s="14"/>
    </row>
    <row r="521" customFormat="false" ht="75.75" hidden="false" customHeight="true" outlineLevel="0" collapsed="false">
      <c r="A521" s="39" t="n">
        <v>516</v>
      </c>
      <c r="B521" s="40" t="n">
        <f aca="false">सारांश!$B$4+A521-1</f>
        <v>46856</v>
      </c>
      <c r="C521" s="39" t="str">
        <f aca="false">CHOOSE(WEEKDAY(B521,2),"सोमवार","मंगलवार","बुधवार","गुरुवार","शुक्रवार","शनिवार","रविवार")</f>
        <v>गुरुवार</v>
      </c>
      <c r="D521" s="39" t="n">
        <f aca="false">IF(A521=1,0,INT((A521-2)/7)+1)</f>
        <v>74</v>
      </c>
      <c r="E521" s="39" t="n">
        <f aca="false">(YEAR(B521)-YEAR(सारांश!$B$4))*12+MONTH(B521)-MONTH(सारांश!$B$4)+IF(DAY(B521)&gt;=DAY(सारांश!$B$4),1,0)</f>
        <v>17</v>
      </c>
      <c r="F521" s="41" t="s">
        <v>22</v>
      </c>
      <c r="G521" s="14" t="s">
        <v>103</v>
      </c>
      <c r="H521" s="32" t="s">
        <v>1253</v>
      </c>
      <c r="I521" s="32" t="s">
        <v>1245</v>
      </c>
      <c r="J521" s="48" t="s">
        <v>249</v>
      </c>
      <c r="K521" s="48" t="s">
        <v>250</v>
      </c>
      <c r="L521" s="14" t="s">
        <v>104</v>
      </c>
      <c r="M521" s="32" t="s">
        <v>1252</v>
      </c>
      <c r="N521" s="32" t="s">
        <v>284</v>
      </c>
      <c r="O521" s="32" t="s">
        <v>1247</v>
      </c>
      <c r="P521" s="32" t="s">
        <v>1248</v>
      </c>
      <c r="Q521" s="14" t="n">
        <v>7.5</v>
      </c>
      <c r="R521" s="32" t="s">
        <v>300</v>
      </c>
      <c r="S521" s="32" t="s">
        <v>257</v>
      </c>
      <c r="T521" s="49" t="s">
        <v>258</v>
      </c>
      <c r="U521" s="49" t="s">
        <v>259</v>
      </c>
      <c r="V521" s="49" t="s">
        <v>259</v>
      </c>
      <c r="W521" s="14" t="s">
        <v>260</v>
      </c>
      <c r="X521" s="14"/>
    </row>
    <row r="522" customFormat="false" ht="75.75" hidden="false" customHeight="true" outlineLevel="0" collapsed="false">
      <c r="A522" s="39" t="n">
        <v>517</v>
      </c>
      <c r="B522" s="40" t="n">
        <f aca="false">सारांश!$B$4+A522-1</f>
        <v>46857</v>
      </c>
      <c r="C522" s="39" t="str">
        <f aca="false">CHOOSE(WEEKDAY(B522,2),"सोमवार","मंगलवार","बुधवार","गुरुवार","शुक्रवार","शनिवार","रविवार")</f>
        <v>शुक्रवार</v>
      </c>
      <c r="D522" s="39" t="n">
        <f aca="false">IF(A522=1,0,INT((A522-2)/7)+1)</f>
        <v>74</v>
      </c>
      <c r="E522" s="39" t="n">
        <f aca="false">(YEAR(B522)-YEAR(सारांश!$B$4))*12+MONTH(B522)-MONTH(सारांश!$B$4)+IF(DAY(B522)&gt;=DAY(सारांश!$B$4),1,0)</f>
        <v>17</v>
      </c>
      <c r="F522" s="41" t="s">
        <v>22</v>
      </c>
      <c r="G522" s="14" t="s">
        <v>103</v>
      </c>
      <c r="H522" s="32" t="s">
        <v>1255</v>
      </c>
      <c r="I522" s="32" t="s">
        <v>1245</v>
      </c>
      <c r="J522" s="48" t="s">
        <v>249</v>
      </c>
      <c r="K522" s="48" t="s">
        <v>250</v>
      </c>
      <c r="L522" s="14" t="s">
        <v>104</v>
      </c>
      <c r="M522" s="32" t="s">
        <v>1254</v>
      </c>
      <c r="N522" s="32" t="s">
        <v>287</v>
      </c>
      <c r="O522" s="32" t="s">
        <v>1247</v>
      </c>
      <c r="P522" s="32" t="s">
        <v>1248</v>
      </c>
      <c r="Q522" s="14" t="n">
        <v>7.5</v>
      </c>
      <c r="R522" s="32" t="s">
        <v>300</v>
      </c>
      <c r="S522" s="32" t="s">
        <v>257</v>
      </c>
      <c r="T522" s="49" t="s">
        <v>258</v>
      </c>
      <c r="U522" s="49" t="s">
        <v>259</v>
      </c>
      <c r="V522" s="49" t="s">
        <v>259</v>
      </c>
      <c r="W522" s="14" t="s">
        <v>260</v>
      </c>
      <c r="X522" s="14"/>
    </row>
    <row r="523" customFormat="false" ht="75.75" hidden="false" customHeight="true" outlineLevel="0" collapsed="false">
      <c r="A523" s="39" t="n">
        <v>518</v>
      </c>
      <c r="B523" s="40" t="n">
        <f aca="false">सारांश!$B$4+A523-1</f>
        <v>46858</v>
      </c>
      <c r="C523" s="39" t="str">
        <f aca="false">CHOOSE(WEEKDAY(B523,2),"सोमवार","मंगलवार","बुधवार","गुरुवार","शुक्रवार","शनिवार","रविवार")</f>
        <v>शनिवार</v>
      </c>
      <c r="D523" s="39" t="n">
        <f aca="false">IF(A523=1,0,INT((A523-2)/7)+1)</f>
        <v>74</v>
      </c>
      <c r="E523" s="39" t="n">
        <f aca="false">(YEAR(B523)-YEAR(सारांश!$B$4))*12+MONTH(B523)-MONTH(सारांश!$B$4)+IF(DAY(B523)&gt;=DAY(सारांश!$B$4),1,0)</f>
        <v>18</v>
      </c>
      <c r="F523" s="41" t="s">
        <v>22</v>
      </c>
      <c r="G523" s="14" t="s">
        <v>103</v>
      </c>
      <c r="H523" s="32" t="s">
        <v>1257</v>
      </c>
      <c r="I523" s="32" t="s">
        <v>1245</v>
      </c>
      <c r="J523" s="48" t="s">
        <v>249</v>
      </c>
      <c r="K523" s="48" t="s">
        <v>250</v>
      </c>
      <c r="L523" s="14" t="s">
        <v>104</v>
      </c>
      <c r="M523" s="32" t="s">
        <v>1256</v>
      </c>
      <c r="N523" s="32" t="s">
        <v>290</v>
      </c>
      <c r="O523" s="32" t="s">
        <v>1247</v>
      </c>
      <c r="P523" s="32" t="s">
        <v>1248</v>
      </c>
      <c r="Q523" s="14" t="n">
        <v>7.5</v>
      </c>
      <c r="R523" s="32" t="s">
        <v>300</v>
      </c>
      <c r="S523" s="32" t="s">
        <v>257</v>
      </c>
      <c r="T523" s="49" t="s">
        <v>258</v>
      </c>
      <c r="U523" s="49" t="s">
        <v>259</v>
      </c>
      <c r="V523" s="49" t="s">
        <v>259</v>
      </c>
      <c r="W523" s="14" t="s">
        <v>260</v>
      </c>
      <c r="X523" s="14"/>
    </row>
    <row r="524" customFormat="false" ht="58.5" hidden="false" customHeight="true" outlineLevel="0" collapsed="false">
      <c r="A524" s="50" t="n">
        <v>519</v>
      </c>
      <c r="B524" s="51" t="n">
        <f aca="false">सारांश!$B$4+A524-1</f>
        <v>46859</v>
      </c>
      <c r="C524" s="50" t="str">
        <f aca="false">CHOOSE(WEEKDAY(B524,2),"सोमवार","मंगलवार","बुधवार","गुरुवार","शुक्रवार","शनिवार","रविवार")</f>
        <v>रविवार</v>
      </c>
      <c r="D524" s="50" t="n">
        <f aca="false">IF(A524=1,0,INT((A524-2)/7)+1)</f>
        <v>74</v>
      </c>
      <c r="E524" s="50" t="n">
        <f aca="false">(YEAR(B524)-YEAR(सारांश!$B$4))*12+MONTH(B524)-MONTH(सारांश!$B$4)+IF(DAY(B524)&gt;=DAY(सारांश!$B$4),1,0)</f>
        <v>18</v>
      </c>
      <c r="F524" s="52" t="s">
        <v>22</v>
      </c>
      <c r="G524" s="50" t="s">
        <v>291</v>
      </c>
      <c r="H524" s="52" t="s">
        <v>127</v>
      </c>
      <c r="I524" s="52" t="s">
        <v>1259</v>
      </c>
      <c r="J524" s="53" t="s">
        <v>293</v>
      </c>
      <c r="K524" s="53" t="s">
        <v>294</v>
      </c>
      <c r="L524" s="50" t="s">
        <v>295</v>
      </c>
      <c r="M524" s="52" t="s">
        <v>296</v>
      </c>
      <c r="N524" s="52" t="s">
        <v>297</v>
      </c>
      <c r="O524" s="52" t="s">
        <v>1260</v>
      </c>
      <c r="P524" s="52" t="s">
        <v>299</v>
      </c>
      <c r="Q524" s="50" t="n">
        <v>6</v>
      </c>
      <c r="R524" s="52" t="s">
        <v>300</v>
      </c>
      <c r="S524" s="52" t="s">
        <v>257</v>
      </c>
      <c r="T524" s="54" t="s">
        <v>258</v>
      </c>
      <c r="U524" s="54" t="s">
        <v>259</v>
      </c>
      <c r="V524" s="54" t="s">
        <v>259</v>
      </c>
      <c r="W524" s="50" t="s">
        <v>260</v>
      </c>
      <c r="X524" s="50"/>
    </row>
    <row r="525" customFormat="false" ht="58.5" hidden="false" customHeight="true" outlineLevel="0" collapsed="false">
      <c r="A525" s="42" t="n">
        <v>520</v>
      </c>
      <c r="B525" s="43" t="n">
        <f aca="false">सारांश!$B$4+A525-1</f>
        <v>46860</v>
      </c>
      <c r="C525" s="42" t="str">
        <f aca="false">CHOOSE(WEEKDAY(B525,2),"सोमवार","मंगलवार","बुधवार","गुरुवार","शुक्रवार","शनिवार","रविवार")</f>
        <v>सोमवार</v>
      </c>
      <c r="D525" s="42" t="n">
        <f aca="false">IF(A525=1,0,INT((A525-2)/7)+1)</f>
        <v>75</v>
      </c>
      <c r="E525" s="42" t="n">
        <f aca="false">(YEAR(B525)-YEAR(सारांश!$B$4))*12+MONTH(B525)-MONTH(सारांश!$B$4)+IF(DAY(B525)&gt;=DAY(सारांश!$B$4),1,0)</f>
        <v>18</v>
      </c>
      <c r="F525" s="44" t="s">
        <v>24</v>
      </c>
      <c r="G525" s="14" t="s">
        <v>103</v>
      </c>
      <c r="H525" s="32" t="s">
        <v>1263</v>
      </c>
      <c r="I525" s="32" t="s">
        <v>1264</v>
      </c>
      <c r="J525" s="48" t="s">
        <v>249</v>
      </c>
      <c r="K525" s="48" t="s">
        <v>250</v>
      </c>
      <c r="L525" s="14" t="s">
        <v>220</v>
      </c>
      <c r="M525" s="32" t="s">
        <v>1265</v>
      </c>
      <c r="N525" s="32" t="s">
        <v>268</v>
      </c>
      <c r="O525" s="32" t="s">
        <v>1266</v>
      </c>
      <c r="P525" s="32" t="s">
        <v>1267</v>
      </c>
      <c r="Q525" s="14" t="n">
        <v>7.5</v>
      </c>
      <c r="R525" s="32" t="s">
        <v>300</v>
      </c>
      <c r="S525" s="32" t="s">
        <v>257</v>
      </c>
      <c r="T525" s="49" t="s">
        <v>258</v>
      </c>
      <c r="U525" s="49" t="s">
        <v>259</v>
      </c>
      <c r="V525" s="49" t="s">
        <v>259</v>
      </c>
      <c r="W525" s="14" t="s">
        <v>260</v>
      </c>
      <c r="X525" s="14"/>
    </row>
    <row r="526" customFormat="false" ht="58.5" hidden="false" customHeight="true" outlineLevel="0" collapsed="false">
      <c r="A526" s="42" t="n">
        <v>521</v>
      </c>
      <c r="B526" s="43" t="n">
        <f aca="false">सारांश!$B$4+A526-1</f>
        <v>46861</v>
      </c>
      <c r="C526" s="42" t="str">
        <f aca="false">CHOOSE(WEEKDAY(B526,2),"सोमवार","मंगलवार","बुधवार","गुरुवार","शुक्रवार","शनिवार","रविवार")</f>
        <v>मंगलवार</v>
      </c>
      <c r="D526" s="42" t="n">
        <f aca="false">IF(A526=1,0,INT((A526-2)/7)+1)</f>
        <v>75</v>
      </c>
      <c r="E526" s="42" t="n">
        <f aca="false">(YEAR(B526)-YEAR(सारांश!$B$4))*12+MONTH(B526)-MONTH(सारांश!$B$4)+IF(DAY(B526)&gt;=DAY(सारांश!$B$4),1,0)</f>
        <v>18</v>
      </c>
      <c r="F526" s="44" t="s">
        <v>24</v>
      </c>
      <c r="G526" s="14" t="s">
        <v>103</v>
      </c>
      <c r="H526" s="32" t="s">
        <v>1268</v>
      </c>
      <c r="I526" s="32" t="s">
        <v>1264</v>
      </c>
      <c r="J526" s="48" t="s">
        <v>249</v>
      </c>
      <c r="K526" s="48" t="s">
        <v>250</v>
      </c>
      <c r="L526" s="14" t="s">
        <v>220</v>
      </c>
      <c r="M526" s="32" t="s">
        <v>1269</v>
      </c>
      <c r="N526" s="32" t="s">
        <v>276</v>
      </c>
      <c r="O526" s="32" t="s">
        <v>1266</v>
      </c>
      <c r="P526" s="32" t="s">
        <v>1267</v>
      </c>
      <c r="Q526" s="14" t="n">
        <v>7.5</v>
      </c>
      <c r="R526" s="32" t="s">
        <v>300</v>
      </c>
      <c r="S526" s="32" t="s">
        <v>257</v>
      </c>
      <c r="T526" s="49" t="s">
        <v>258</v>
      </c>
      <c r="U526" s="49" t="s">
        <v>259</v>
      </c>
      <c r="V526" s="49" t="s">
        <v>259</v>
      </c>
      <c r="W526" s="14" t="s">
        <v>260</v>
      </c>
      <c r="X526" s="14"/>
    </row>
    <row r="527" customFormat="false" ht="58.5" hidden="false" customHeight="true" outlineLevel="0" collapsed="false">
      <c r="A527" s="42" t="n">
        <v>522</v>
      </c>
      <c r="B527" s="43" t="n">
        <f aca="false">सारांश!$B$4+A527-1</f>
        <v>46862</v>
      </c>
      <c r="C527" s="42" t="str">
        <f aca="false">CHOOSE(WEEKDAY(B527,2),"सोमवार","मंगलवार","बुधवार","गुरुवार","शुक्रवार","शनिवार","रविवार")</f>
        <v>बुधवार</v>
      </c>
      <c r="D527" s="42" t="n">
        <f aca="false">IF(A527=1,0,INT((A527-2)/7)+1)</f>
        <v>75</v>
      </c>
      <c r="E527" s="42" t="n">
        <f aca="false">(YEAR(B527)-YEAR(सारांश!$B$4))*12+MONTH(B527)-MONTH(सारांश!$B$4)+IF(DAY(B527)&gt;=DAY(सारांश!$B$4),1,0)</f>
        <v>18</v>
      </c>
      <c r="F527" s="44" t="s">
        <v>24</v>
      </c>
      <c r="G527" s="14" t="s">
        <v>103</v>
      </c>
      <c r="H527" s="32" t="s">
        <v>1263</v>
      </c>
      <c r="I527" s="32" t="s">
        <v>1264</v>
      </c>
      <c r="J527" s="48" t="s">
        <v>249</v>
      </c>
      <c r="K527" s="48" t="s">
        <v>250</v>
      </c>
      <c r="L527" s="14" t="s">
        <v>220</v>
      </c>
      <c r="M527" s="32" t="s">
        <v>1270</v>
      </c>
      <c r="N527" s="32" t="s">
        <v>279</v>
      </c>
      <c r="O527" s="32" t="s">
        <v>1266</v>
      </c>
      <c r="P527" s="32" t="s">
        <v>1267</v>
      </c>
      <c r="Q527" s="14" t="n">
        <v>7.5</v>
      </c>
      <c r="R527" s="32" t="s">
        <v>300</v>
      </c>
      <c r="S527" s="32" t="s">
        <v>257</v>
      </c>
      <c r="T527" s="49" t="s">
        <v>258</v>
      </c>
      <c r="U527" s="49" t="s">
        <v>259</v>
      </c>
      <c r="V527" s="49" t="s">
        <v>259</v>
      </c>
      <c r="W527" s="14" t="s">
        <v>260</v>
      </c>
      <c r="X527" s="14"/>
    </row>
    <row r="528" customFormat="false" ht="58.5" hidden="false" customHeight="true" outlineLevel="0" collapsed="false">
      <c r="A528" s="42" t="n">
        <v>523</v>
      </c>
      <c r="B528" s="43" t="n">
        <f aca="false">सारांश!$B$4+A528-1</f>
        <v>46863</v>
      </c>
      <c r="C528" s="42" t="str">
        <f aca="false">CHOOSE(WEEKDAY(B528,2),"सोमवार","मंगलवार","बुधवार","गुरुवार","शुक्रवार","शनिवार","रविवार")</f>
        <v>गुरुवार</v>
      </c>
      <c r="D528" s="42" t="n">
        <f aca="false">IF(A528=1,0,INT((A528-2)/7)+1)</f>
        <v>75</v>
      </c>
      <c r="E528" s="42" t="n">
        <f aca="false">(YEAR(B528)-YEAR(सारांश!$B$4))*12+MONTH(B528)-MONTH(सारांश!$B$4)+IF(DAY(B528)&gt;=DAY(सारांश!$B$4),1,0)</f>
        <v>18</v>
      </c>
      <c r="F528" s="44" t="s">
        <v>24</v>
      </c>
      <c r="G528" s="14" t="s">
        <v>103</v>
      </c>
      <c r="H528" s="32" t="s">
        <v>1268</v>
      </c>
      <c r="I528" s="32" t="s">
        <v>1264</v>
      </c>
      <c r="J528" s="48" t="s">
        <v>249</v>
      </c>
      <c r="K528" s="48" t="s">
        <v>250</v>
      </c>
      <c r="L528" s="14" t="s">
        <v>220</v>
      </c>
      <c r="M528" s="32" t="s">
        <v>1271</v>
      </c>
      <c r="N528" s="32" t="s">
        <v>284</v>
      </c>
      <c r="O528" s="32" t="s">
        <v>1266</v>
      </c>
      <c r="P528" s="32" t="s">
        <v>1267</v>
      </c>
      <c r="Q528" s="14" t="n">
        <v>7.5</v>
      </c>
      <c r="R528" s="32" t="s">
        <v>300</v>
      </c>
      <c r="S528" s="32" t="s">
        <v>257</v>
      </c>
      <c r="T528" s="49" t="s">
        <v>258</v>
      </c>
      <c r="U528" s="49" t="s">
        <v>259</v>
      </c>
      <c r="V528" s="49" t="s">
        <v>259</v>
      </c>
      <c r="W528" s="14" t="s">
        <v>260</v>
      </c>
      <c r="X528" s="14"/>
    </row>
    <row r="529" customFormat="false" ht="58.5" hidden="false" customHeight="true" outlineLevel="0" collapsed="false">
      <c r="A529" s="42" t="n">
        <v>524</v>
      </c>
      <c r="B529" s="43" t="n">
        <f aca="false">सारांश!$B$4+A529-1</f>
        <v>46864</v>
      </c>
      <c r="C529" s="42" t="str">
        <f aca="false">CHOOSE(WEEKDAY(B529,2),"सोमवार","मंगलवार","बुधवार","गुरुवार","शुक्रवार","शनिवार","रविवार")</f>
        <v>शुक्रवार</v>
      </c>
      <c r="D529" s="42" t="n">
        <f aca="false">IF(A529=1,0,INT((A529-2)/7)+1)</f>
        <v>75</v>
      </c>
      <c r="E529" s="42" t="n">
        <f aca="false">(YEAR(B529)-YEAR(सारांश!$B$4))*12+MONTH(B529)-MONTH(सारांश!$B$4)+IF(DAY(B529)&gt;=DAY(सारांश!$B$4),1,0)</f>
        <v>18</v>
      </c>
      <c r="F529" s="44" t="s">
        <v>24</v>
      </c>
      <c r="G529" s="14" t="s">
        <v>103</v>
      </c>
      <c r="H529" s="32" t="s">
        <v>1263</v>
      </c>
      <c r="I529" s="32" t="s">
        <v>1264</v>
      </c>
      <c r="J529" s="48" t="s">
        <v>249</v>
      </c>
      <c r="K529" s="48" t="s">
        <v>250</v>
      </c>
      <c r="L529" s="14" t="s">
        <v>220</v>
      </c>
      <c r="M529" s="32" t="s">
        <v>1272</v>
      </c>
      <c r="N529" s="32" t="s">
        <v>287</v>
      </c>
      <c r="O529" s="32" t="s">
        <v>1266</v>
      </c>
      <c r="P529" s="32" t="s">
        <v>1267</v>
      </c>
      <c r="Q529" s="14" t="n">
        <v>7.5</v>
      </c>
      <c r="R529" s="32" t="s">
        <v>300</v>
      </c>
      <c r="S529" s="32" t="s">
        <v>257</v>
      </c>
      <c r="T529" s="49" t="s">
        <v>258</v>
      </c>
      <c r="U529" s="49" t="s">
        <v>259</v>
      </c>
      <c r="V529" s="49" t="s">
        <v>259</v>
      </c>
      <c r="W529" s="14" t="s">
        <v>260</v>
      </c>
      <c r="X529" s="14"/>
    </row>
    <row r="530" customFormat="false" ht="58.5" hidden="false" customHeight="true" outlineLevel="0" collapsed="false">
      <c r="A530" s="42" t="n">
        <v>525</v>
      </c>
      <c r="B530" s="43" t="n">
        <f aca="false">सारांश!$B$4+A530-1</f>
        <v>46865</v>
      </c>
      <c r="C530" s="42" t="str">
        <f aca="false">CHOOSE(WEEKDAY(B530,2),"सोमवार","मंगलवार","बुधवार","गुरुवार","शुक्रवार","शनिवार","रविवार")</f>
        <v>शनिवार</v>
      </c>
      <c r="D530" s="42" t="n">
        <f aca="false">IF(A530=1,0,INT((A530-2)/7)+1)</f>
        <v>75</v>
      </c>
      <c r="E530" s="42" t="n">
        <f aca="false">(YEAR(B530)-YEAR(सारांश!$B$4))*12+MONTH(B530)-MONTH(सारांश!$B$4)+IF(DAY(B530)&gt;=DAY(सारांश!$B$4),1,0)</f>
        <v>18</v>
      </c>
      <c r="F530" s="44" t="s">
        <v>24</v>
      </c>
      <c r="G530" s="14" t="s">
        <v>103</v>
      </c>
      <c r="H530" s="32" t="s">
        <v>1263</v>
      </c>
      <c r="I530" s="32" t="s">
        <v>1264</v>
      </c>
      <c r="J530" s="48" t="s">
        <v>249</v>
      </c>
      <c r="K530" s="48" t="s">
        <v>250</v>
      </c>
      <c r="L530" s="14" t="s">
        <v>220</v>
      </c>
      <c r="M530" s="32" t="s">
        <v>1273</v>
      </c>
      <c r="N530" s="32" t="s">
        <v>290</v>
      </c>
      <c r="O530" s="32" t="s">
        <v>1266</v>
      </c>
      <c r="P530" s="32" t="s">
        <v>1267</v>
      </c>
      <c r="Q530" s="14" t="n">
        <v>7.5</v>
      </c>
      <c r="R530" s="32" t="s">
        <v>300</v>
      </c>
      <c r="S530" s="32" t="s">
        <v>257</v>
      </c>
      <c r="T530" s="49" t="s">
        <v>258</v>
      </c>
      <c r="U530" s="49" t="s">
        <v>259</v>
      </c>
      <c r="V530" s="49" t="s">
        <v>259</v>
      </c>
      <c r="W530" s="14" t="s">
        <v>260</v>
      </c>
      <c r="X530" s="14"/>
    </row>
    <row r="531" customFormat="false" ht="58.5" hidden="false" customHeight="true" outlineLevel="0" collapsed="false">
      <c r="A531" s="50" t="n">
        <v>526</v>
      </c>
      <c r="B531" s="51" t="n">
        <f aca="false">सारांश!$B$4+A531-1</f>
        <v>46866</v>
      </c>
      <c r="C531" s="50" t="str">
        <f aca="false">CHOOSE(WEEKDAY(B531,2),"सोमवार","मंगलवार","बुधवार","गुरुवार","शुक्रवार","शनिवार","रविवार")</f>
        <v>रविवार</v>
      </c>
      <c r="D531" s="50" t="n">
        <f aca="false">IF(A531=1,0,INT((A531-2)/7)+1)</f>
        <v>75</v>
      </c>
      <c r="E531" s="50" t="n">
        <f aca="false">(YEAR(B531)-YEAR(सारांश!$B$4))*12+MONTH(B531)-MONTH(सारांश!$B$4)+IF(DAY(B531)&gt;=DAY(सारांश!$B$4),1,0)</f>
        <v>18</v>
      </c>
      <c r="F531" s="52" t="s">
        <v>24</v>
      </c>
      <c r="G531" s="50" t="s">
        <v>291</v>
      </c>
      <c r="H531" s="52" t="s">
        <v>127</v>
      </c>
      <c r="I531" s="52" t="s">
        <v>1259</v>
      </c>
      <c r="J531" s="53" t="s">
        <v>293</v>
      </c>
      <c r="K531" s="53" t="s">
        <v>294</v>
      </c>
      <c r="L531" s="50" t="s">
        <v>295</v>
      </c>
      <c r="M531" s="52" t="s">
        <v>296</v>
      </c>
      <c r="N531" s="52" t="s">
        <v>297</v>
      </c>
      <c r="O531" s="52" t="s">
        <v>1274</v>
      </c>
      <c r="P531" s="52" t="s">
        <v>299</v>
      </c>
      <c r="Q531" s="50" t="n">
        <v>6</v>
      </c>
      <c r="R531" s="52" t="s">
        <v>300</v>
      </c>
      <c r="S531" s="52" t="s">
        <v>257</v>
      </c>
      <c r="T531" s="54" t="s">
        <v>258</v>
      </c>
      <c r="U531" s="54" t="s">
        <v>259</v>
      </c>
      <c r="V531" s="54" t="s">
        <v>259</v>
      </c>
      <c r="W531" s="50" t="s">
        <v>260</v>
      </c>
      <c r="X531" s="50"/>
    </row>
    <row r="532" customFormat="false" ht="58.5" hidden="false" customHeight="true" outlineLevel="0" collapsed="false">
      <c r="A532" s="42" t="n">
        <v>527</v>
      </c>
      <c r="B532" s="43" t="n">
        <f aca="false">सारांश!$B$4+A532-1</f>
        <v>46867</v>
      </c>
      <c r="C532" s="42" t="str">
        <f aca="false">CHOOSE(WEEKDAY(B532,2),"सोमवार","मंगलवार","बुधवार","गुरुवार","शुक्रवार","शनिवार","रविवार")</f>
        <v>सोमवार</v>
      </c>
      <c r="D532" s="42" t="n">
        <f aca="false">IF(A532=1,0,INT((A532-2)/7)+1)</f>
        <v>76</v>
      </c>
      <c r="E532" s="42" t="n">
        <f aca="false">(YEAR(B532)-YEAR(सारांश!$B$4))*12+MONTH(B532)-MONTH(सारांश!$B$4)+IF(DAY(B532)&gt;=DAY(सारांश!$B$4),1,0)</f>
        <v>18</v>
      </c>
      <c r="F532" s="44" t="s">
        <v>24</v>
      </c>
      <c r="G532" s="14" t="s">
        <v>103</v>
      </c>
      <c r="H532" s="32" t="s">
        <v>1263</v>
      </c>
      <c r="I532" s="32" t="s">
        <v>1264</v>
      </c>
      <c r="J532" s="48" t="s">
        <v>249</v>
      </c>
      <c r="K532" s="48" t="s">
        <v>250</v>
      </c>
      <c r="L532" s="14" t="s">
        <v>220</v>
      </c>
      <c r="M532" s="32" t="s">
        <v>1265</v>
      </c>
      <c r="N532" s="32" t="s">
        <v>268</v>
      </c>
      <c r="O532" s="32" t="s">
        <v>1266</v>
      </c>
      <c r="P532" s="32" t="s">
        <v>1267</v>
      </c>
      <c r="Q532" s="14" t="n">
        <v>7.5</v>
      </c>
      <c r="R532" s="32" t="s">
        <v>300</v>
      </c>
      <c r="S532" s="32" t="s">
        <v>257</v>
      </c>
      <c r="T532" s="49" t="s">
        <v>258</v>
      </c>
      <c r="U532" s="49" t="s">
        <v>259</v>
      </c>
      <c r="V532" s="49" t="s">
        <v>259</v>
      </c>
      <c r="W532" s="14" t="s">
        <v>260</v>
      </c>
      <c r="X532" s="14"/>
    </row>
    <row r="533" customFormat="false" ht="58.5" hidden="false" customHeight="true" outlineLevel="0" collapsed="false">
      <c r="A533" s="42" t="n">
        <v>528</v>
      </c>
      <c r="B533" s="43" t="n">
        <f aca="false">सारांश!$B$4+A533-1</f>
        <v>46868</v>
      </c>
      <c r="C533" s="42" t="str">
        <f aca="false">CHOOSE(WEEKDAY(B533,2),"सोमवार","मंगलवार","बुधवार","गुरुवार","शुक्रवार","शनिवार","रविवार")</f>
        <v>मंगलवार</v>
      </c>
      <c r="D533" s="42" t="n">
        <f aca="false">IF(A533=1,0,INT((A533-2)/7)+1)</f>
        <v>76</v>
      </c>
      <c r="E533" s="42" t="n">
        <f aca="false">(YEAR(B533)-YEAR(सारांश!$B$4))*12+MONTH(B533)-MONTH(सारांश!$B$4)+IF(DAY(B533)&gt;=DAY(सारांश!$B$4),1,0)</f>
        <v>18</v>
      </c>
      <c r="F533" s="44" t="s">
        <v>24</v>
      </c>
      <c r="G533" s="14" t="s">
        <v>103</v>
      </c>
      <c r="H533" s="32" t="s">
        <v>1268</v>
      </c>
      <c r="I533" s="32" t="s">
        <v>1264</v>
      </c>
      <c r="J533" s="48" t="s">
        <v>249</v>
      </c>
      <c r="K533" s="48" t="s">
        <v>250</v>
      </c>
      <c r="L533" s="14" t="s">
        <v>220</v>
      </c>
      <c r="M533" s="32" t="s">
        <v>1269</v>
      </c>
      <c r="N533" s="32" t="s">
        <v>276</v>
      </c>
      <c r="O533" s="32" t="s">
        <v>1266</v>
      </c>
      <c r="P533" s="32" t="s">
        <v>1267</v>
      </c>
      <c r="Q533" s="14" t="n">
        <v>7.5</v>
      </c>
      <c r="R533" s="32" t="s">
        <v>300</v>
      </c>
      <c r="S533" s="32" t="s">
        <v>257</v>
      </c>
      <c r="T533" s="49" t="s">
        <v>258</v>
      </c>
      <c r="U533" s="49" t="s">
        <v>259</v>
      </c>
      <c r="V533" s="49" t="s">
        <v>259</v>
      </c>
      <c r="W533" s="14" t="s">
        <v>260</v>
      </c>
      <c r="X533" s="14"/>
    </row>
    <row r="534" customFormat="false" ht="58.5" hidden="false" customHeight="true" outlineLevel="0" collapsed="false">
      <c r="A534" s="42" t="n">
        <v>529</v>
      </c>
      <c r="B534" s="43" t="n">
        <f aca="false">सारांश!$B$4+A534-1</f>
        <v>46869</v>
      </c>
      <c r="C534" s="42" t="str">
        <f aca="false">CHOOSE(WEEKDAY(B534,2),"सोमवार","मंगलवार","बुधवार","गुरुवार","शुक्रवार","शनिवार","रविवार")</f>
        <v>बुधवार</v>
      </c>
      <c r="D534" s="42" t="n">
        <f aca="false">IF(A534=1,0,INT((A534-2)/7)+1)</f>
        <v>76</v>
      </c>
      <c r="E534" s="42" t="n">
        <f aca="false">(YEAR(B534)-YEAR(सारांश!$B$4))*12+MONTH(B534)-MONTH(सारांश!$B$4)+IF(DAY(B534)&gt;=DAY(सारांश!$B$4),1,0)</f>
        <v>18</v>
      </c>
      <c r="F534" s="44" t="s">
        <v>24</v>
      </c>
      <c r="G534" s="14" t="s">
        <v>103</v>
      </c>
      <c r="H534" s="32" t="s">
        <v>1263</v>
      </c>
      <c r="I534" s="32" t="s">
        <v>1264</v>
      </c>
      <c r="J534" s="48" t="s">
        <v>249</v>
      </c>
      <c r="K534" s="48" t="s">
        <v>250</v>
      </c>
      <c r="L534" s="14" t="s">
        <v>220</v>
      </c>
      <c r="M534" s="32" t="s">
        <v>1270</v>
      </c>
      <c r="N534" s="32" t="s">
        <v>279</v>
      </c>
      <c r="O534" s="32" t="s">
        <v>1266</v>
      </c>
      <c r="P534" s="32" t="s">
        <v>1267</v>
      </c>
      <c r="Q534" s="14" t="n">
        <v>7.5</v>
      </c>
      <c r="R534" s="32" t="s">
        <v>300</v>
      </c>
      <c r="S534" s="32" t="s">
        <v>257</v>
      </c>
      <c r="T534" s="49" t="s">
        <v>258</v>
      </c>
      <c r="U534" s="49" t="s">
        <v>259</v>
      </c>
      <c r="V534" s="49" t="s">
        <v>259</v>
      </c>
      <c r="W534" s="14" t="s">
        <v>260</v>
      </c>
      <c r="X534" s="14"/>
    </row>
    <row r="535" customFormat="false" ht="58.5" hidden="false" customHeight="true" outlineLevel="0" collapsed="false">
      <c r="A535" s="42" t="n">
        <v>530</v>
      </c>
      <c r="B535" s="43" t="n">
        <f aca="false">सारांश!$B$4+A535-1</f>
        <v>46870</v>
      </c>
      <c r="C535" s="42" t="str">
        <f aca="false">CHOOSE(WEEKDAY(B535,2),"सोमवार","मंगलवार","बुधवार","गुरुवार","शुक्रवार","शनिवार","रविवार")</f>
        <v>गुरुवार</v>
      </c>
      <c r="D535" s="42" t="n">
        <f aca="false">IF(A535=1,0,INT((A535-2)/7)+1)</f>
        <v>76</v>
      </c>
      <c r="E535" s="42" t="n">
        <f aca="false">(YEAR(B535)-YEAR(सारांश!$B$4))*12+MONTH(B535)-MONTH(सारांश!$B$4)+IF(DAY(B535)&gt;=DAY(सारांश!$B$4),1,0)</f>
        <v>18</v>
      </c>
      <c r="F535" s="44" t="s">
        <v>24</v>
      </c>
      <c r="G535" s="14" t="s">
        <v>103</v>
      </c>
      <c r="H535" s="32" t="s">
        <v>1268</v>
      </c>
      <c r="I535" s="32" t="s">
        <v>1264</v>
      </c>
      <c r="J535" s="48" t="s">
        <v>249</v>
      </c>
      <c r="K535" s="48" t="s">
        <v>250</v>
      </c>
      <c r="L535" s="14" t="s">
        <v>220</v>
      </c>
      <c r="M535" s="32" t="s">
        <v>1271</v>
      </c>
      <c r="N535" s="32" t="s">
        <v>284</v>
      </c>
      <c r="O535" s="32" t="s">
        <v>1266</v>
      </c>
      <c r="P535" s="32" t="s">
        <v>1267</v>
      </c>
      <c r="Q535" s="14" t="n">
        <v>7.5</v>
      </c>
      <c r="R535" s="32" t="s">
        <v>300</v>
      </c>
      <c r="S535" s="32" t="s">
        <v>257</v>
      </c>
      <c r="T535" s="49" t="s">
        <v>258</v>
      </c>
      <c r="U535" s="49" t="s">
        <v>259</v>
      </c>
      <c r="V535" s="49" t="s">
        <v>259</v>
      </c>
      <c r="W535" s="14" t="s">
        <v>260</v>
      </c>
      <c r="X535" s="14"/>
    </row>
    <row r="536" customFormat="false" ht="58.5" hidden="false" customHeight="true" outlineLevel="0" collapsed="false">
      <c r="A536" s="42" t="n">
        <v>531</v>
      </c>
      <c r="B536" s="43" t="n">
        <f aca="false">सारांश!$B$4+A536-1</f>
        <v>46871</v>
      </c>
      <c r="C536" s="42" t="str">
        <f aca="false">CHOOSE(WEEKDAY(B536,2),"सोमवार","मंगलवार","बुधवार","गुरुवार","शुक्रवार","शनिवार","रविवार")</f>
        <v>शुक्रवार</v>
      </c>
      <c r="D536" s="42" t="n">
        <f aca="false">IF(A536=1,0,INT((A536-2)/7)+1)</f>
        <v>76</v>
      </c>
      <c r="E536" s="42" t="n">
        <f aca="false">(YEAR(B536)-YEAR(सारांश!$B$4))*12+MONTH(B536)-MONTH(सारांश!$B$4)+IF(DAY(B536)&gt;=DAY(सारांश!$B$4),1,0)</f>
        <v>18</v>
      </c>
      <c r="F536" s="44" t="s">
        <v>24</v>
      </c>
      <c r="G536" s="14" t="s">
        <v>103</v>
      </c>
      <c r="H536" s="32" t="s">
        <v>1263</v>
      </c>
      <c r="I536" s="32" t="s">
        <v>1264</v>
      </c>
      <c r="J536" s="48" t="s">
        <v>249</v>
      </c>
      <c r="K536" s="48" t="s">
        <v>250</v>
      </c>
      <c r="L536" s="14" t="s">
        <v>220</v>
      </c>
      <c r="M536" s="32" t="s">
        <v>1272</v>
      </c>
      <c r="N536" s="32" t="s">
        <v>287</v>
      </c>
      <c r="O536" s="32" t="s">
        <v>1266</v>
      </c>
      <c r="P536" s="32" t="s">
        <v>1267</v>
      </c>
      <c r="Q536" s="14" t="n">
        <v>7.5</v>
      </c>
      <c r="R536" s="32" t="s">
        <v>300</v>
      </c>
      <c r="S536" s="32" t="s">
        <v>257</v>
      </c>
      <c r="T536" s="49" t="s">
        <v>258</v>
      </c>
      <c r="U536" s="49" t="s">
        <v>259</v>
      </c>
      <c r="V536" s="49" t="s">
        <v>259</v>
      </c>
      <c r="W536" s="14" t="s">
        <v>260</v>
      </c>
      <c r="X536" s="14"/>
    </row>
    <row r="537" customFormat="false" ht="58.5" hidden="false" customHeight="true" outlineLevel="0" collapsed="false">
      <c r="A537" s="42" t="n">
        <v>532</v>
      </c>
      <c r="B537" s="43" t="n">
        <f aca="false">सारांश!$B$4+A537-1</f>
        <v>46872</v>
      </c>
      <c r="C537" s="42" t="str">
        <f aca="false">CHOOSE(WEEKDAY(B537,2),"सोमवार","मंगलवार","बुधवार","गुरुवार","शुक्रवार","शनिवार","रविवार")</f>
        <v>शनिवार</v>
      </c>
      <c r="D537" s="42" t="n">
        <f aca="false">IF(A537=1,0,INT((A537-2)/7)+1)</f>
        <v>76</v>
      </c>
      <c r="E537" s="42" t="n">
        <f aca="false">(YEAR(B537)-YEAR(सारांश!$B$4))*12+MONTH(B537)-MONTH(सारांश!$B$4)+IF(DAY(B537)&gt;=DAY(सारांश!$B$4),1,0)</f>
        <v>18</v>
      </c>
      <c r="F537" s="44" t="s">
        <v>24</v>
      </c>
      <c r="G537" s="14" t="s">
        <v>103</v>
      </c>
      <c r="H537" s="32" t="s">
        <v>1263</v>
      </c>
      <c r="I537" s="32" t="s">
        <v>1264</v>
      </c>
      <c r="J537" s="48" t="s">
        <v>249</v>
      </c>
      <c r="K537" s="48" t="s">
        <v>250</v>
      </c>
      <c r="L537" s="14" t="s">
        <v>220</v>
      </c>
      <c r="M537" s="32" t="s">
        <v>1273</v>
      </c>
      <c r="N537" s="32" t="s">
        <v>290</v>
      </c>
      <c r="O537" s="32" t="s">
        <v>1266</v>
      </c>
      <c r="P537" s="32" t="s">
        <v>1267</v>
      </c>
      <c r="Q537" s="14" t="n">
        <v>7.5</v>
      </c>
      <c r="R537" s="32" t="s">
        <v>300</v>
      </c>
      <c r="S537" s="32" t="s">
        <v>257</v>
      </c>
      <c r="T537" s="49" t="s">
        <v>258</v>
      </c>
      <c r="U537" s="49" t="s">
        <v>259</v>
      </c>
      <c r="V537" s="49" t="s">
        <v>259</v>
      </c>
      <c r="W537" s="14" t="s">
        <v>260</v>
      </c>
      <c r="X537" s="14"/>
    </row>
    <row r="538" customFormat="false" ht="58.5" hidden="false" customHeight="true" outlineLevel="0" collapsed="false">
      <c r="A538" s="50" t="n">
        <v>533</v>
      </c>
      <c r="B538" s="51" t="n">
        <f aca="false">सारांश!$B$4+A538-1</f>
        <v>46873</v>
      </c>
      <c r="C538" s="50" t="str">
        <f aca="false">CHOOSE(WEEKDAY(B538,2),"सोमवार","मंगलवार","बुधवार","गुरुवार","शुक्रवार","शनिवार","रविवार")</f>
        <v>रविवार</v>
      </c>
      <c r="D538" s="50" t="n">
        <f aca="false">IF(A538=1,0,INT((A538-2)/7)+1)</f>
        <v>76</v>
      </c>
      <c r="E538" s="50" t="n">
        <f aca="false">(YEAR(B538)-YEAR(सारांश!$B$4))*12+MONTH(B538)-MONTH(सारांश!$B$4)+IF(DAY(B538)&gt;=DAY(सारांश!$B$4),1,0)</f>
        <v>18</v>
      </c>
      <c r="F538" s="52" t="s">
        <v>24</v>
      </c>
      <c r="G538" s="50" t="s">
        <v>291</v>
      </c>
      <c r="H538" s="52" t="s">
        <v>135</v>
      </c>
      <c r="I538" s="52" t="s">
        <v>1259</v>
      </c>
      <c r="J538" s="53" t="s">
        <v>293</v>
      </c>
      <c r="K538" s="53" t="s">
        <v>294</v>
      </c>
      <c r="L538" s="50" t="s">
        <v>295</v>
      </c>
      <c r="M538" s="52" t="s">
        <v>296</v>
      </c>
      <c r="N538" s="52" t="s">
        <v>297</v>
      </c>
      <c r="O538" s="52" t="s">
        <v>1274</v>
      </c>
      <c r="P538" s="52" t="s">
        <v>299</v>
      </c>
      <c r="Q538" s="50" t="n">
        <v>6</v>
      </c>
      <c r="R538" s="52" t="s">
        <v>300</v>
      </c>
      <c r="S538" s="52" t="s">
        <v>257</v>
      </c>
      <c r="T538" s="54" t="s">
        <v>258</v>
      </c>
      <c r="U538" s="54" t="s">
        <v>259</v>
      </c>
      <c r="V538" s="54" t="s">
        <v>259</v>
      </c>
      <c r="W538" s="50" t="s">
        <v>260</v>
      </c>
      <c r="X538" s="50"/>
    </row>
    <row r="539" customFormat="false" ht="58.5" hidden="false" customHeight="true" outlineLevel="0" collapsed="false">
      <c r="A539" s="42" t="n">
        <v>534</v>
      </c>
      <c r="B539" s="43" t="n">
        <f aca="false">सारांश!$B$4+A539-1</f>
        <v>46874</v>
      </c>
      <c r="C539" s="42" t="str">
        <f aca="false">CHOOSE(WEEKDAY(B539,2),"सोमवार","मंगलवार","बुधवार","गुरुवार","शुक्रवार","शनिवार","रविवार")</f>
        <v>सोमवार</v>
      </c>
      <c r="D539" s="42" t="n">
        <f aca="false">IF(A539=1,0,INT((A539-2)/7)+1)</f>
        <v>77</v>
      </c>
      <c r="E539" s="42" t="n">
        <f aca="false">(YEAR(B539)-YEAR(सारांश!$B$4))*12+MONTH(B539)-MONTH(सारांश!$B$4)+IF(DAY(B539)&gt;=DAY(सारांश!$B$4),1,0)</f>
        <v>18</v>
      </c>
      <c r="F539" s="44" t="s">
        <v>24</v>
      </c>
      <c r="G539" s="14" t="s">
        <v>103</v>
      </c>
      <c r="H539" s="32" t="s">
        <v>1263</v>
      </c>
      <c r="I539" s="32" t="s">
        <v>1264</v>
      </c>
      <c r="J539" s="48" t="s">
        <v>249</v>
      </c>
      <c r="K539" s="48" t="s">
        <v>250</v>
      </c>
      <c r="L539" s="14" t="s">
        <v>220</v>
      </c>
      <c r="M539" s="32" t="s">
        <v>1265</v>
      </c>
      <c r="N539" s="32" t="s">
        <v>268</v>
      </c>
      <c r="O539" s="32" t="s">
        <v>1266</v>
      </c>
      <c r="P539" s="32" t="s">
        <v>1267</v>
      </c>
      <c r="Q539" s="14" t="n">
        <v>7.5</v>
      </c>
      <c r="R539" s="32" t="s">
        <v>300</v>
      </c>
      <c r="S539" s="32" t="s">
        <v>257</v>
      </c>
      <c r="T539" s="49" t="s">
        <v>258</v>
      </c>
      <c r="U539" s="49" t="s">
        <v>259</v>
      </c>
      <c r="V539" s="49" t="s">
        <v>259</v>
      </c>
      <c r="W539" s="14" t="s">
        <v>260</v>
      </c>
      <c r="X539" s="14"/>
    </row>
    <row r="540" customFormat="false" ht="58.5" hidden="false" customHeight="true" outlineLevel="0" collapsed="false">
      <c r="A540" s="42" t="n">
        <v>535</v>
      </c>
      <c r="B540" s="43" t="n">
        <f aca="false">सारांश!$B$4+A540-1</f>
        <v>46875</v>
      </c>
      <c r="C540" s="42" t="str">
        <f aca="false">CHOOSE(WEEKDAY(B540,2),"सोमवार","मंगलवार","बुधवार","गुरुवार","शुक्रवार","शनिवार","रविवार")</f>
        <v>मंगलवार</v>
      </c>
      <c r="D540" s="42" t="n">
        <f aca="false">IF(A540=1,0,INT((A540-2)/7)+1)</f>
        <v>77</v>
      </c>
      <c r="E540" s="42" t="n">
        <f aca="false">(YEAR(B540)-YEAR(सारांश!$B$4))*12+MONTH(B540)-MONTH(सारांश!$B$4)+IF(DAY(B540)&gt;=DAY(सारांश!$B$4),1,0)</f>
        <v>18</v>
      </c>
      <c r="F540" s="44" t="s">
        <v>24</v>
      </c>
      <c r="G540" s="14" t="s">
        <v>103</v>
      </c>
      <c r="H540" s="32" t="s">
        <v>1268</v>
      </c>
      <c r="I540" s="32" t="s">
        <v>1264</v>
      </c>
      <c r="J540" s="48" t="s">
        <v>249</v>
      </c>
      <c r="K540" s="48" t="s">
        <v>250</v>
      </c>
      <c r="L540" s="14" t="s">
        <v>220</v>
      </c>
      <c r="M540" s="32" t="s">
        <v>1269</v>
      </c>
      <c r="N540" s="32" t="s">
        <v>276</v>
      </c>
      <c r="O540" s="32" t="s">
        <v>1266</v>
      </c>
      <c r="P540" s="32" t="s">
        <v>1267</v>
      </c>
      <c r="Q540" s="14" t="n">
        <v>7.5</v>
      </c>
      <c r="R540" s="32" t="s">
        <v>300</v>
      </c>
      <c r="S540" s="32" t="s">
        <v>257</v>
      </c>
      <c r="T540" s="49" t="s">
        <v>258</v>
      </c>
      <c r="U540" s="49" t="s">
        <v>259</v>
      </c>
      <c r="V540" s="49" t="s">
        <v>259</v>
      </c>
      <c r="W540" s="14" t="s">
        <v>260</v>
      </c>
      <c r="X540" s="14"/>
    </row>
    <row r="541" customFormat="false" ht="58.5" hidden="false" customHeight="true" outlineLevel="0" collapsed="false">
      <c r="A541" s="42" t="n">
        <v>536</v>
      </c>
      <c r="B541" s="43" t="n">
        <f aca="false">सारांश!$B$4+A541-1</f>
        <v>46876</v>
      </c>
      <c r="C541" s="42" t="str">
        <f aca="false">CHOOSE(WEEKDAY(B541,2),"सोमवार","मंगलवार","बुधवार","गुरुवार","शुक्रवार","शनिवार","रविवार")</f>
        <v>बुधवार</v>
      </c>
      <c r="D541" s="42" t="n">
        <f aca="false">IF(A541=1,0,INT((A541-2)/7)+1)</f>
        <v>77</v>
      </c>
      <c r="E541" s="42" t="n">
        <f aca="false">(YEAR(B541)-YEAR(सारांश!$B$4))*12+MONTH(B541)-MONTH(सारांश!$B$4)+IF(DAY(B541)&gt;=DAY(सारांश!$B$4),1,0)</f>
        <v>18</v>
      </c>
      <c r="F541" s="44" t="s">
        <v>24</v>
      </c>
      <c r="G541" s="14" t="s">
        <v>103</v>
      </c>
      <c r="H541" s="32" t="s">
        <v>1263</v>
      </c>
      <c r="I541" s="32" t="s">
        <v>1264</v>
      </c>
      <c r="J541" s="48" t="s">
        <v>249</v>
      </c>
      <c r="K541" s="48" t="s">
        <v>250</v>
      </c>
      <c r="L541" s="14" t="s">
        <v>220</v>
      </c>
      <c r="M541" s="32" t="s">
        <v>1270</v>
      </c>
      <c r="N541" s="32" t="s">
        <v>279</v>
      </c>
      <c r="O541" s="32" t="s">
        <v>1266</v>
      </c>
      <c r="P541" s="32" t="s">
        <v>1267</v>
      </c>
      <c r="Q541" s="14" t="n">
        <v>7.5</v>
      </c>
      <c r="R541" s="32" t="s">
        <v>300</v>
      </c>
      <c r="S541" s="32" t="s">
        <v>257</v>
      </c>
      <c r="T541" s="49" t="s">
        <v>258</v>
      </c>
      <c r="U541" s="49" t="s">
        <v>259</v>
      </c>
      <c r="V541" s="49" t="s">
        <v>259</v>
      </c>
      <c r="W541" s="14" t="s">
        <v>260</v>
      </c>
      <c r="X541" s="14"/>
    </row>
    <row r="542" customFormat="false" ht="58.5" hidden="false" customHeight="true" outlineLevel="0" collapsed="false">
      <c r="A542" s="42" t="n">
        <v>537</v>
      </c>
      <c r="B542" s="43" t="n">
        <f aca="false">सारांश!$B$4+A542-1</f>
        <v>46877</v>
      </c>
      <c r="C542" s="42" t="str">
        <f aca="false">CHOOSE(WEEKDAY(B542,2),"सोमवार","मंगलवार","बुधवार","गुरुवार","शुक्रवार","शनिवार","रविवार")</f>
        <v>गुरुवार</v>
      </c>
      <c r="D542" s="42" t="n">
        <f aca="false">IF(A542=1,0,INT((A542-2)/7)+1)</f>
        <v>77</v>
      </c>
      <c r="E542" s="42" t="n">
        <f aca="false">(YEAR(B542)-YEAR(सारांश!$B$4))*12+MONTH(B542)-MONTH(सारांश!$B$4)+IF(DAY(B542)&gt;=DAY(सारांश!$B$4),1,0)</f>
        <v>18</v>
      </c>
      <c r="F542" s="44" t="s">
        <v>24</v>
      </c>
      <c r="G542" s="14" t="s">
        <v>103</v>
      </c>
      <c r="H542" s="32" t="s">
        <v>1268</v>
      </c>
      <c r="I542" s="32" t="s">
        <v>1264</v>
      </c>
      <c r="J542" s="48" t="s">
        <v>249</v>
      </c>
      <c r="K542" s="48" t="s">
        <v>250</v>
      </c>
      <c r="L542" s="14" t="s">
        <v>220</v>
      </c>
      <c r="M542" s="32" t="s">
        <v>1271</v>
      </c>
      <c r="N542" s="32" t="s">
        <v>284</v>
      </c>
      <c r="O542" s="32" t="s">
        <v>1266</v>
      </c>
      <c r="P542" s="32" t="s">
        <v>1267</v>
      </c>
      <c r="Q542" s="14" t="n">
        <v>7.5</v>
      </c>
      <c r="R542" s="32" t="s">
        <v>300</v>
      </c>
      <c r="S542" s="32" t="s">
        <v>257</v>
      </c>
      <c r="T542" s="49" t="s">
        <v>258</v>
      </c>
      <c r="U542" s="49" t="s">
        <v>259</v>
      </c>
      <c r="V542" s="49" t="s">
        <v>259</v>
      </c>
      <c r="W542" s="14" t="s">
        <v>260</v>
      </c>
      <c r="X542" s="14"/>
    </row>
    <row r="543" customFormat="false" ht="58.5" hidden="false" customHeight="true" outlineLevel="0" collapsed="false">
      <c r="A543" s="42" t="n">
        <v>538</v>
      </c>
      <c r="B543" s="43" t="n">
        <f aca="false">सारांश!$B$4+A543-1</f>
        <v>46878</v>
      </c>
      <c r="C543" s="42" t="str">
        <f aca="false">CHOOSE(WEEKDAY(B543,2),"सोमवार","मंगलवार","बुधवार","गुरुवार","शुक्रवार","शनिवार","रविवार")</f>
        <v>शुक्रवार</v>
      </c>
      <c r="D543" s="42" t="n">
        <f aca="false">IF(A543=1,0,INT((A543-2)/7)+1)</f>
        <v>77</v>
      </c>
      <c r="E543" s="42" t="n">
        <f aca="false">(YEAR(B543)-YEAR(सारांश!$B$4))*12+MONTH(B543)-MONTH(सारांश!$B$4)+IF(DAY(B543)&gt;=DAY(सारांश!$B$4),1,0)</f>
        <v>18</v>
      </c>
      <c r="F543" s="44" t="s">
        <v>24</v>
      </c>
      <c r="G543" s="14" t="s">
        <v>103</v>
      </c>
      <c r="H543" s="32" t="s">
        <v>1263</v>
      </c>
      <c r="I543" s="32" t="s">
        <v>1264</v>
      </c>
      <c r="J543" s="48" t="s">
        <v>249</v>
      </c>
      <c r="K543" s="48" t="s">
        <v>250</v>
      </c>
      <c r="L543" s="14" t="s">
        <v>220</v>
      </c>
      <c r="M543" s="32" t="s">
        <v>1272</v>
      </c>
      <c r="N543" s="32" t="s">
        <v>287</v>
      </c>
      <c r="O543" s="32" t="s">
        <v>1266</v>
      </c>
      <c r="P543" s="32" t="s">
        <v>1267</v>
      </c>
      <c r="Q543" s="14" t="n">
        <v>7.5</v>
      </c>
      <c r="R543" s="32" t="s">
        <v>300</v>
      </c>
      <c r="S543" s="32" t="s">
        <v>257</v>
      </c>
      <c r="T543" s="49" t="s">
        <v>258</v>
      </c>
      <c r="U543" s="49" t="s">
        <v>259</v>
      </c>
      <c r="V543" s="49" t="s">
        <v>259</v>
      </c>
      <c r="W543" s="14" t="s">
        <v>260</v>
      </c>
      <c r="X543" s="14"/>
    </row>
    <row r="544" customFormat="false" ht="58.5" hidden="false" customHeight="true" outlineLevel="0" collapsed="false">
      <c r="A544" s="42" t="n">
        <v>539</v>
      </c>
      <c r="B544" s="43" t="n">
        <f aca="false">सारांश!$B$4+A544-1</f>
        <v>46879</v>
      </c>
      <c r="C544" s="42" t="str">
        <f aca="false">CHOOSE(WEEKDAY(B544,2),"सोमवार","मंगलवार","बुधवार","गुरुवार","शुक्रवार","शनिवार","रविवार")</f>
        <v>शनिवार</v>
      </c>
      <c r="D544" s="42" t="n">
        <f aca="false">IF(A544=1,0,INT((A544-2)/7)+1)</f>
        <v>77</v>
      </c>
      <c r="E544" s="42" t="n">
        <f aca="false">(YEAR(B544)-YEAR(सारांश!$B$4))*12+MONTH(B544)-MONTH(सारांश!$B$4)+IF(DAY(B544)&gt;=DAY(सारांश!$B$4),1,0)</f>
        <v>18</v>
      </c>
      <c r="F544" s="44" t="s">
        <v>24</v>
      </c>
      <c r="G544" s="14" t="s">
        <v>103</v>
      </c>
      <c r="H544" s="32" t="s">
        <v>1263</v>
      </c>
      <c r="I544" s="32" t="s">
        <v>1264</v>
      </c>
      <c r="J544" s="48" t="s">
        <v>249</v>
      </c>
      <c r="K544" s="48" t="s">
        <v>250</v>
      </c>
      <c r="L544" s="14" t="s">
        <v>220</v>
      </c>
      <c r="M544" s="32" t="s">
        <v>1273</v>
      </c>
      <c r="N544" s="32" t="s">
        <v>290</v>
      </c>
      <c r="O544" s="32" t="s">
        <v>1266</v>
      </c>
      <c r="P544" s="32" t="s">
        <v>1267</v>
      </c>
      <c r="Q544" s="14" t="n">
        <v>7.5</v>
      </c>
      <c r="R544" s="32" t="s">
        <v>300</v>
      </c>
      <c r="S544" s="32" t="s">
        <v>257</v>
      </c>
      <c r="T544" s="49" t="s">
        <v>258</v>
      </c>
      <c r="U544" s="49" t="s">
        <v>259</v>
      </c>
      <c r="V544" s="49" t="s">
        <v>259</v>
      </c>
      <c r="W544" s="14" t="s">
        <v>260</v>
      </c>
      <c r="X544" s="14"/>
    </row>
    <row r="545" customFormat="false" ht="58.5" hidden="false" customHeight="true" outlineLevel="0" collapsed="false">
      <c r="A545" s="50" t="n">
        <v>540</v>
      </c>
      <c r="B545" s="51" t="n">
        <f aca="false">सारांश!$B$4+A545-1</f>
        <v>46880</v>
      </c>
      <c r="C545" s="50" t="str">
        <f aca="false">CHOOSE(WEEKDAY(B545,2),"सोमवार","मंगलवार","बुधवार","गुरुवार","शुक्रवार","शनिवार","रविवार")</f>
        <v>रविवार</v>
      </c>
      <c r="D545" s="50" t="n">
        <f aca="false">IF(A545=1,0,INT((A545-2)/7)+1)</f>
        <v>77</v>
      </c>
      <c r="E545" s="50" t="n">
        <f aca="false">(YEAR(B545)-YEAR(सारांश!$B$4))*12+MONTH(B545)-MONTH(सारांश!$B$4)+IF(DAY(B545)&gt;=DAY(सारांश!$B$4),1,0)</f>
        <v>18</v>
      </c>
      <c r="F545" s="52" t="s">
        <v>24</v>
      </c>
      <c r="G545" s="50" t="s">
        <v>291</v>
      </c>
      <c r="H545" s="52" t="s">
        <v>127</v>
      </c>
      <c r="I545" s="52" t="s">
        <v>1259</v>
      </c>
      <c r="J545" s="53" t="s">
        <v>293</v>
      </c>
      <c r="K545" s="53" t="s">
        <v>294</v>
      </c>
      <c r="L545" s="50" t="s">
        <v>295</v>
      </c>
      <c r="M545" s="52" t="s">
        <v>296</v>
      </c>
      <c r="N545" s="52" t="s">
        <v>297</v>
      </c>
      <c r="O545" s="52" t="s">
        <v>1274</v>
      </c>
      <c r="P545" s="52" t="s">
        <v>299</v>
      </c>
      <c r="Q545" s="50" t="n">
        <v>6</v>
      </c>
      <c r="R545" s="52" t="s">
        <v>300</v>
      </c>
      <c r="S545" s="52" t="s">
        <v>257</v>
      </c>
      <c r="T545" s="54" t="s">
        <v>258</v>
      </c>
      <c r="U545" s="54" t="s">
        <v>259</v>
      </c>
      <c r="V545" s="54" t="s">
        <v>259</v>
      </c>
      <c r="W545" s="50" t="s">
        <v>260</v>
      </c>
      <c r="X545" s="50"/>
    </row>
    <row r="546" customFormat="false" ht="58.5" hidden="false" customHeight="true" outlineLevel="0" collapsed="false">
      <c r="A546" s="42" t="n">
        <v>541</v>
      </c>
      <c r="B546" s="43" t="n">
        <f aca="false">सारांश!$B$4+A546-1</f>
        <v>46881</v>
      </c>
      <c r="C546" s="42" t="str">
        <f aca="false">CHOOSE(WEEKDAY(B546,2),"सोमवार","मंगलवार","बुधवार","गुरुवार","शुक्रवार","शनिवार","रविवार")</f>
        <v>सोमवार</v>
      </c>
      <c r="D546" s="42" t="n">
        <f aca="false">IF(A546=1,0,INT((A546-2)/7)+1)</f>
        <v>78</v>
      </c>
      <c r="E546" s="42" t="n">
        <f aca="false">(YEAR(B546)-YEAR(सारांश!$B$4))*12+MONTH(B546)-MONTH(सारांश!$B$4)+IF(DAY(B546)&gt;=DAY(सारांश!$B$4),1,0)</f>
        <v>18</v>
      </c>
      <c r="F546" s="44" t="s">
        <v>24</v>
      </c>
      <c r="G546" s="14" t="s">
        <v>220</v>
      </c>
      <c r="H546" s="32" t="s">
        <v>1275</v>
      </c>
      <c r="I546" s="32" t="s">
        <v>1276</v>
      </c>
      <c r="J546" s="48" t="s">
        <v>249</v>
      </c>
      <c r="K546" s="48" t="s">
        <v>250</v>
      </c>
      <c r="L546" s="14" t="s">
        <v>220</v>
      </c>
      <c r="M546" s="32" t="s">
        <v>1277</v>
      </c>
      <c r="N546" s="32" t="s">
        <v>1278</v>
      </c>
      <c r="O546" s="32" t="s">
        <v>255</v>
      </c>
      <c r="P546" s="32" t="s">
        <v>255</v>
      </c>
      <c r="Q546" s="14" t="n">
        <v>4</v>
      </c>
      <c r="R546" s="32" t="s">
        <v>300</v>
      </c>
      <c r="S546" s="32" t="s">
        <v>257</v>
      </c>
      <c r="T546" s="49" t="s">
        <v>258</v>
      </c>
      <c r="U546" s="49" t="s">
        <v>259</v>
      </c>
      <c r="V546" s="49" t="s">
        <v>259</v>
      </c>
      <c r="W546" s="14" t="s">
        <v>260</v>
      </c>
      <c r="X546" s="14"/>
    </row>
    <row r="547" customFormat="false" ht="58.5" hidden="false" customHeight="true" outlineLevel="0" collapsed="false">
      <c r="A547" s="42" t="n">
        <v>542</v>
      </c>
      <c r="B547" s="43" t="n">
        <f aca="false">सारांश!$B$4+A547-1</f>
        <v>46882</v>
      </c>
      <c r="C547" s="42" t="str">
        <f aca="false">CHOOSE(WEEKDAY(B547,2),"सोमवार","मंगलवार","बुधवार","गुरुवार","शुक्रवार","शनिवार","रविवार")</f>
        <v>मंगलवार</v>
      </c>
      <c r="D547" s="42" t="n">
        <f aca="false">IF(A547=1,0,INT((A547-2)/7)+1)</f>
        <v>78</v>
      </c>
      <c r="E547" s="42" t="n">
        <f aca="false">(YEAR(B547)-YEAR(सारांश!$B$4))*12+MONTH(B547)-MONTH(सारांश!$B$4)+IF(DAY(B547)&gt;=DAY(सारांश!$B$4),1,0)</f>
        <v>18</v>
      </c>
      <c r="F547" s="44" t="s">
        <v>24</v>
      </c>
      <c r="G547" s="14" t="s">
        <v>220</v>
      </c>
      <c r="H547" s="32" t="s">
        <v>1279</v>
      </c>
      <c r="I547" s="32" t="s">
        <v>1276</v>
      </c>
      <c r="J547" s="48" t="s">
        <v>249</v>
      </c>
      <c r="K547" s="48" t="s">
        <v>250</v>
      </c>
      <c r="L547" s="14" t="s">
        <v>220</v>
      </c>
      <c r="M547" s="32" t="s">
        <v>1277</v>
      </c>
      <c r="N547" s="32" t="s">
        <v>1278</v>
      </c>
      <c r="O547" s="32" t="s">
        <v>255</v>
      </c>
      <c r="P547" s="32" t="s">
        <v>255</v>
      </c>
      <c r="Q547" s="14" t="n">
        <v>4</v>
      </c>
      <c r="R547" s="32" t="s">
        <v>300</v>
      </c>
      <c r="S547" s="32" t="s">
        <v>257</v>
      </c>
      <c r="T547" s="49" t="s">
        <v>258</v>
      </c>
      <c r="U547" s="49" t="s">
        <v>259</v>
      </c>
      <c r="V547" s="49" t="s">
        <v>259</v>
      </c>
      <c r="W547" s="14" t="s">
        <v>260</v>
      </c>
      <c r="X547" s="14"/>
    </row>
    <row r="548" customFormat="false" ht="58.5" hidden="false" customHeight="true" outlineLevel="0" collapsed="false">
      <c r="A548" s="42" t="n">
        <v>543</v>
      </c>
      <c r="B548" s="43" t="n">
        <f aca="false">सारांश!$B$4+A548-1</f>
        <v>46883</v>
      </c>
      <c r="C548" s="42" t="str">
        <f aca="false">CHOOSE(WEEKDAY(B548,2),"सोमवार","मंगलवार","बुधवार","गुरुवार","शुक्रवार","शनिवार","रविवार")</f>
        <v>बुधवार</v>
      </c>
      <c r="D548" s="42" t="n">
        <f aca="false">IF(A548=1,0,INT((A548-2)/7)+1)</f>
        <v>78</v>
      </c>
      <c r="E548" s="42" t="n">
        <f aca="false">(YEAR(B548)-YEAR(सारांश!$B$4))*12+MONTH(B548)-MONTH(सारांश!$B$4)+IF(DAY(B548)&gt;=DAY(सारांश!$B$4),1,0)</f>
        <v>18</v>
      </c>
      <c r="F548" s="44" t="s">
        <v>24</v>
      </c>
      <c r="G548" s="14" t="s">
        <v>220</v>
      </c>
      <c r="H548" s="32" t="s">
        <v>1280</v>
      </c>
      <c r="I548" s="32" t="s">
        <v>1276</v>
      </c>
      <c r="J548" s="48" t="s">
        <v>249</v>
      </c>
      <c r="K548" s="48" t="s">
        <v>250</v>
      </c>
      <c r="L548" s="14" t="s">
        <v>220</v>
      </c>
      <c r="M548" s="32" t="s">
        <v>1277</v>
      </c>
      <c r="N548" s="32" t="s">
        <v>1278</v>
      </c>
      <c r="O548" s="32" t="s">
        <v>255</v>
      </c>
      <c r="P548" s="32" t="s">
        <v>255</v>
      </c>
      <c r="Q548" s="14" t="n">
        <v>4</v>
      </c>
      <c r="R548" s="32" t="s">
        <v>300</v>
      </c>
      <c r="S548" s="32" t="s">
        <v>257</v>
      </c>
      <c r="T548" s="49" t="s">
        <v>258</v>
      </c>
      <c r="U548" s="49" t="s">
        <v>259</v>
      </c>
      <c r="V548" s="49" t="s">
        <v>259</v>
      </c>
      <c r="W548" s="14" t="s">
        <v>260</v>
      </c>
      <c r="X548" s="14"/>
    </row>
    <row r="549" customFormat="false" ht="58.5" hidden="false" customHeight="true" outlineLevel="0" collapsed="false">
      <c r="A549" s="42" t="n">
        <v>544</v>
      </c>
      <c r="B549" s="43" t="n">
        <f aca="false">सारांश!$B$4+A549-1</f>
        <v>46884</v>
      </c>
      <c r="C549" s="42" t="str">
        <f aca="false">CHOOSE(WEEKDAY(B549,2),"सोमवार","मंगलवार","बुधवार","गुरुवार","शुक्रवार","शनिवार","रविवार")</f>
        <v>गुरुवार</v>
      </c>
      <c r="D549" s="42" t="n">
        <f aca="false">IF(A549=1,0,INT((A549-2)/7)+1)</f>
        <v>78</v>
      </c>
      <c r="E549" s="42" t="n">
        <f aca="false">(YEAR(B549)-YEAR(सारांश!$B$4))*12+MONTH(B549)-MONTH(सारांश!$B$4)+IF(DAY(B549)&gt;=DAY(सारांश!$B$4),1,0)</f>
        <v>18</v>
      </c>
      <c r="F549" s="44" t="s">
        <v>24</v>
      </c>
      <c r="G549" s="14" t="s">
        <v>220</v>
      </c>
      <c r="H549" s="32" t="s">
        <v>1281</v>
      </c>
      <c r="I549" s="32" t="s">
        <v>1276</v>
      </c>
      <c r="J549" s="48" t="s">
        <v>249</v>
      </c>
      <c r="K549" s="48" t="s">
        <v>250</v>
      </c>
      <c r="L549" s="14" t="s">
        <v>220</v>
      </c>
      <c r="M549" s="32" t="s">
        <v>1277</v>
      </c>
      <c r="N549" s="32" t="s">
        <v>1278</v>
      </c>
      <c r="O549" s="32" t="s">
        <v>255</v>
      </c>
      <c r="P549" s="32" t="s">
        <v>255</v>
      </c>
      <c r="Q549" s="14" t="n">
        <v>4</v>
      </c>
      <c r="R549" s="32" t="s">
        <v>300</v>
      </c>
      <c r="S549" s="32" t="s">
        <v>257</v>
      </c>
      <c r="T549" s="49" t="s">
        <v>258</v>
      </c>
      <c r="U549" s="49" t="s">
        <v>259</v>
      </c>
      <c r="V549" s="49" t="s">
        <v>259</v>
      </c>
      <c r="W549" s="14" t="s">
        <v>260</v>
      </c>
      <c r="X549" s="14"/>
    </row>
    <row r="550" customFormat="false" ht="58.5" hidden="false" customHeight="true" outlineLevel="0" collapsed="false">
      <c r="A550" s="42" t="n">
        <v>545</v>
      </c>
      <c r="B550" s="43" t="n">
        <f aca="false">सारांश!$B$4+A550-1</f>
        <v>46885</v>
      </c>
      <c r="C550" s="42" t="str">
        <f aca="false">CHOOSE(WEEKDAY(B550,2),"सोमवार","मंगलवार","बुधवार","गुरुवार","शुक्रवार","शनिवार","रविवार")</f>
        <v>शुक्रवार</v>
      </c>
      <c r="D550" s="42" t="n">
        <f aca="false">IF(A550=1,0,INT((A550-2)/7)+1)</f>
        <v>78</v>
      </c>
      <c r="E550" s="42" t="n">
        <f aca="false">(YEAR(B550)-YEAR(सारांश!$B$4))*12+MONTH(B550)-MONTH(सारांश!$B$4)+IF(DAY(B550)&gt;=DAY(सारांश!$B$4),1,0)</f>
        <v>18</v>
      </c>
      <c r="F550" s="44" t="s">
        <v>24</v>
      </c>
      <c r="G550" s="14" t="s">
        <v>220</v>
      </c>
      <c r="H550" s="32" t="s">
        <v>1282</v>
      </c>
      <c r="I550" s="32" t="s">
        <v>1276</v>
      </c>
      <c r="J550" s="48" t="s">
        <v>249</v>
      </c>
      <c r="K550" s="48" t="s">
        <v>250</v>
      </c>
      <c r="L550" s="14" t="s">
        <v>220</v>
      </c>
      <c r="M550" s="32" t="s">
        <v>1277</v>
      </c>
      <c r="N550" s="32" t="s">
        <v>1278</v>
      </c>
      <c r="O550" s="32" t="s">
        <v>255</v>
      </c>
      <c r="P550" s="32" t="s">
        <v>255</v>
      </c>
      <c r="Q550" s="14" t="n">
        <v>4</v>
      </c>
      <c r="R550" s="32" t="s">
        <v>300</v>
      </c>
      <c r="S550" s="32" t="s">
        <v>257</v>
      </c>
      <c r="T550" s="49" t="s">
        <v>258</v>
      </c>
      <c r="U550" s="49" t="s">
        <v>259</v>
      </c>
      <c r="V550" s="49" t="s">
        <v>259</v>
      </c>
      <c r="W550" s="14" t="s">
        <v>260</v>
      </c>
      <c r="X550" s="14"/>
    </row>
    <row r="551" customFormat="false" ht="58.5" hidden="false" customHeight="true" outlineLevel="0" collapsed="false">
      <c r="A551" s="42" t="n">
        <v>546</v>
      </c>
      <c r="B551" s="43" t="n">
        <f aca="false">सारांश!$B$4+A551-1</f>
        <v>46886</v>
      </c>
      <c r="C551" s="42" t="str">
        <f aca="false">CHOOSE(WEEKDAY(B551,2),"सोमवार","मंगलवार","बुधवार","गुरुवार","शुक्रवार","शनिवार","रविवार")</f>
        <v>शनिवार</v>
      </c>
      <c r="D551" s="42" t="n">
        <f aca="false">IF(A551=1,0,INT((A551-2)/7)+1)</f>
        <v>78</v>
      </c>
      <c r="E551" s="42" t="n">
        <f aca="false">(YEAR(B551)-YEAR(सारांश!$B$4))*12+MONTH(B551)-MONTH(सारांश!$B$4)+IF(DAY(B551)&gt;=DAY(सारांश!$B$4),1,0)</f>
        <v>18</v>
      </c>
      <c r="F551" s="44" t="s">
        <v>24</v>
      </c>
      <c r="G551" s="14" t="s">
        <v>220</v>
      </c>
      <c r="H551" s="32" t="s">
        <v>1283</v>
      </c>
      <c r="I551" s="32" t="s">
        <v>1276</v>
      </c>
      <c r="J551" s="48" t="s">
        <v>249</v>
      </c>
      <c r="K551" s="48" t="s">
        <v>250</v>
      </c>
      <c r="L551" s="14" t="s">
        <v>220</v>
      </c>
      <c r="M551" s="32" t="s">
        <v>1277</v>
      </c>
      <c r="N551" s="32" t="s">
        <v>1278</v>
      </c>
      <c r="O551" s="32" t="s">
        <v>255</v>
      </c>
      <c r="P551" s="32" t="s">
        <v>255</v>
      </c>
      <c r="Q551" s="14" t="n">
        <v>4</v>
      </c>
      <c r="R551" s="32" t="s">
        <v>300</v>
      </c>
      <c r="S551" s="32" t="s">
        <v>257</v>
      </c>
      <c r="T551" s="49" t="s">
        <v>258</v>
      </c>
      <c r="U551" s="49" t="s">
        <v>259</v>
      </c>
      <c r="V551" s="49" t="s">
        <v>259</v>
      </c>
      <c r="W551" s="14" t="s">
        <v>260</v>
      </c>
      <c r="X551" s="14"/>
    </row>
    <row r="552" customFormat="false" ht="58.5" hidden="false" customHeight="true" outlineLevel="0" collapsed="false">
      <c r="A552" s="50" t="n">
        <v>547</v>
      </c>
      <c r="B552" s="51" t="n">
        <f aca="false">सारांश!$B$4+A552-1</f>
        <v>46887</v>
      </c>
      <c r="C552" s="50" t="str">
        <f aca="false">CHOOSE(WEEKDAY(B552,2),"सोमवार","मंगलवार","बुधवार","गुरुवार","शुक्रवार","शनिवार","रविवार")</f>
        <v>रविवार</v>
      </c>
      <c r="D552" s="50" t="n">
        <f aca="false">IF(A552=1,0,INT((A552-2)/7)+1)</f>
        <v>78</v>
      </c>
      <c r="E552" s="50" t="n">
        <f aca="false">(YEAR(B552)-YEAR(सारांश!$B$4))*12+MONTH(B552)-MONTH(सारांश!$B$4)+IF(DAY(B552)&gt;=DAY(सारांश!$B$4),1,0)</f>
        <v>18</v>
      </c>
      <c r="F552" s="52" t="s">
        <v>24</v>
      </c>
      <c r="G552" s="50" t="s">
        <v>291</v>
      </c>
      <c r="H552" s="52" t="s">
        <v>222</v>
      </c>
      <c r="I552" s="52" t="s">
        <v>1284</v>
      </c>
      <c r="J552" s="53" t="s">
        <v>293</v>
      </c>
      <c r="K552" s="53" t="s">
        <v>294</v>
      </c>
      <c r="L552" s="50" t="s">
        <v>295</v>
      </c>
      <c r="M552" s="52" t="s">
        <v>1285</v>
      </c>
      <c r="N552" s="52" t="s">
        <v>297</v>
      </c>
      <c r="O552" s="52" t="s">
        <v>255</v>
      </c>
      <c r="P552" s="52" t="s">
        <v>1286</v>
      </c>
      <c r="Q552" s="50" t="n">
        <v>2</v>
      </c>
      <c r="R552" s="52" t="s">
        <v>300</v>
      </c>
      <c r="S552" s="52" t="s">
        <v>257</v>
      </c>
      <c r="T552" s="54" t="s">
        <v>258</v>
      </c>
      <c r="U552" s="54" t="s">
        <v>259</v>
      </c>
      <c r="V552" s="54" t="s">
        <v>259</v>
      </c>
      <c r="W552" s="50" t="s">
        <v>260</v>
      </c>
      <c r="X552" s="50"/>
    </row>
  </sheetData>
  <autoFilter ref="A5:Y552"/>
  <conditionalFormatting sqref="A6:X552">
    <cfRule type="expression" priority="2" aboveAverage="0" equalAverage="0" bottom="0" percent="0" rank="0" text="" dxfId="11">
      <formula>OR($W6="पूर्ण",$W6="दोहराया")</formula>
    </cfRule>
    <cfRule type="expression" priority="3" aboveAverage="0" equalAverage="0" bottom="0" percent="0" rank="0" text="" dxfId="12">
      <formula>$W6="छोड़ा"</formula>
    </cfRule>
  </conditionalFormatting>
  <dataValidations count="1">
    <dataValidation allowBlank="false" errorStyle="stop" operator="between" showDropDown="false" showErrorMessage="false" showInputMessage="false" sqref="W6:W552" type="list">
      <formula1>"शुरू नहीं हुआ,जारी,पूर्ण,दोहराया,छोड़ा"</formula1>
      <formula2>0</formula2>
    </dataValidation>
  </dataValidations>
  <hyperlinks>
    <hyperlink ref="J6" r:id="rId1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6" r:id="rId2" display="वेबसाइट पर पढ़ें: bpsc.bihar.gov.in • drishtiias.com • visionias.in (क्लिक करें)"/>
    <hyperlink ref="T6" r:id="rId3" display="▶ दृष्टि IAS"/>
    <hyperlink ref="U6" r:id="rId4" display="▶ BPSC वाला"/>
    <hyperlink ref="V6" r:id="rId5" display="▶ BPSC वाला"/>
    <hyperlink ref="J7" r:id="rId6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7" r:id="rId7" display="वेबसाइट पर पढ़ें: drishtiias.com • visionias.in • ncert.nic.in (क्लिक करें)"/>
    <hyperlink ref="T7" r:id="rId8" display="▶ दृष्टि IAS"/>
    <hyperlink ref="U7" r:id="rId9" display="▶ BPSC वाला"/>
    <hyperlink ref="V7" r:id="rId10" display="▶ BPSC वाला"/>
    <hyperlink ref="Y7" r:id="rId11" display="📖 पढ़ें: दृष्टि • विजन • NCERT • जागरण जोश • GKToday"/>
    <hyperlink ref="J8" r:id="rId12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8" r:id="rId13" display="वेबसाइट पर पढ़ें: drishtiias.com • visionias.in • ncert.nic.in (क्लिक करें)"/>
    <hyperlink ref="T8" r:id="rId14" display="▶ दृष्टि IAS"/>
    <hyperlink ref="U8" r:id="rId15" display="▶ BPSC वाला"/>
    <hyperlink ref="V8" r:id="rId16" display="▶ BPSC वाला"/>
    <hyperlink ref="Y8" r:id="rId17" display="📖 पढ़ें: दृष्टि • विजन • NCERT • जागरण जोश • GKToday"/>
    <hyperlink ref="J9" r:id="rId18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9" r:id="rId19" display="वेबसाइट पर पढ़ें: drishtiias.com • visionias.in • ncert.nic.in (क्लिक करें)"/>
    <hyperlink ref="T9" r:id="rId20" display="▶ दृष्टि IAS"/>
    <hyperlink ref="U9" r:id="rId21" display="▶ BPSC वाला"/>
    <hyperlink ref="V9" r:id="rId22" display="▶ BPSC वाला"/>
    <hyperlink ref="Y9" r:id="rId23" display="📖 पढ़ें: दृष्टि • विजन • NCERT • जागरण जोश • GKToday"/>
    <hyperlink ref="J10" r:id="rId24" display="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"/>
    <hyperlink ref="K10" r:id="rId25" display="वेबसाइट पर पढ़ें: drishtiias.com • visionias.in • ncert.nic.in (क्लिक करें)"/>
    <hyperlink ref="T10" r:id="rId26" display="▶ दृष्टि IAS"/>
    <hyperlink ref="U10" r:id="rId27" display="▶ BPSC वाला"/>
    <hyperlink ref="V10" r:id="rId28" display="▶ BPSC वाला"/>
    <hyperlink ref="Y10" r:id="rId29" display="📖 पढ़ें: दृष्टि • विजन • NCERT • जागरण जोश • GKToday"/>
    <hyperlink ref="J11" r:id="rId30" display="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"/>
    <hyperlink ref="K11" r:id="rId31" display="वेबसाइट पर पढ़ें: drishtiias.com • visionias.in • ncert.nic.in (क्लिक करें)"/>
    <hyperlink ref="T11" r:id="rId32" display="▶ दृष्टि IAS"/>
    <hyperlink ref="U11" r:id="rId33" display="▶ BPSC वाला"/>
    <hyperlink ref="V11" r:id="rId34" display="▶ BPSC वाला"/>
    <hyperlink ref="Y11" r:id="rId35" display="📖 पढ़ें: दृष्टि • विजन • NCERT • जागरण जोश • GKToday"/>
    <hyperlink ref="J12" r:id="rId36" display="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"/>
    <hyperlink ref="K12" r:id="rId37" display="वेबसाइट पर पढ़ें: drishtiias.com • visionias.in • ncert.nic.in (क्लिक करें)"/>
    <hyperlink ref="T12" r:id="rId38" display="▶ दृष्टि IAS"/>
    <hyperlink ref="U12" r:id="rId39" display="▶ BPSC वाला"/>
    <hyperlink ref="V12" r:id="rId40" display="▶ BPSC वाला"/>
    <hyperlink ref="Y12" r:id="rId41" display="📖 पढ़ें: दृष्टि • विजन • NCERT • जागरण जोश • GKToday"/>
    <hyperlink ref="J13" r:id="rId42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3" r:id="rId43" display="वेबसाइट पर पढ़ें: drishtiias.com • visionias.in • pib.gov.in (क्लिक करें)"/>
    <hyperlink ref="T13" r:id="rId44" display="▶ दृष्टि IAS"/>
    <hyperlink ref="U13" r:id="rId45" display="▶ BPSC वाला"/>
    <hyperlink ref="V13" r:id="rId46" display="▶ BPSC वाला"/>
    <hyperlink ref="J14" r:id="rId47" display="पढ़ें: जैन, बौद्ध एवं अन्य नास्तिक संप्रदा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जैन, बौद्ध एवं अन्य नास्तिक.pdf')। तैयार PDF नोट्स खोजने हेतु क्लिक करें।"/>
    <hyperlink ref="K14" r:id="rId48" display="वेबसाइट पर पढ़ें: drishtiias.com • visionias.in • ncert.nic.in (क्लिक करें)"/>
    <hyperlink ref="T14" r:id="rId49" display="▶ दृष्टि IAS"/>
    <hyperlink ref="U14" r:id="rId50" display="▶ BPSC वाला"/>
    <hyperlink ref="V14" r:id="rId51" display="▶ BPSC वाला"/>
    <hyperlink ref="Y14" r:id="rId52" display="📖 पढ़ें: दृष्टि • विजन • NCERT • जागरण जोश • GKToday"/>
    <hyperlink ref="J15" r:id="rId53" display="पढ़ें: जैन, बौद्ध एवं अन्य नास्तिक संप्रदा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जैन, बौद्ध एवं अन्य नास्तिक.pdf')। तैयार PDF नोट्स खोजने हेतु क्लिक करें।"/>
    <hyperlink ref="K15" r:id="rId54" display="वेबसाइट पर पढ़ें: drishtiias.com • visionias.in • ncert.nic.in (क्लिक करें)"/>
    <hyperlink ref="T15" r:id="rId55" display="▶ दृष्टि IAS"/>
    <hyperlink ref="U15" r:id="rId56" display="▶ BPSC वाला"/>
    <hyperlink ref="V15" r:id="rId57" display="▶ BPSC वाला"/>
    <hyperlink ref="Y15" r:id="rId58" display="📖 पढ़ें: दृष्टि • विजन • NCERT • जागरण जोश • GKToday"/>
    <hyperlink ref="J16" r:id="rId59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16" r:id="rId60" display="वेबसाइट पर पढ़ें: drishtiias.com • visionias.in • ncert.nic.in (क्लिक करें)"/>
    <hyperlink ref="T16" r:id="rId61" display="▶ दृष्टि IAS"/>
    <hyperlink ref="U16" r:id="rId62" display="▶ BPSC वाला"/>
    <hyperlink ref="V16" r:id="rId63" display="▶ BPSC वाला"/>
    <hyperlink ref="Y16" r:id="rId64" display="📖 पढ़ें: दृष्टि • विजन • NCERT • जागरण जोश • GKToday"/>
    <hyperlink ref="J17" r:id="rId65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17" r:id="rId66" display="वेबसाइट पर पढ़ें: drishtiias.com • visionias.in • ncert.nic.in (क्लिक करें)"/>
    <hyperlink ref="T17" r:id="rId67" display="▶ दृष्टि IAS"/>
    <hyperlink ref="U17" r:id="rId68" display="▶ BPSC वाला"/>
    <hyperlink ref="V17" r:id="rId69" display="▶ BPSC वाला"/>
    <hyperlink ref="Y17" r:id="rId70" display="📖 पढ़ें: दृष्टि • विजन • NCERT • जागरण जोश • GKToday"/>
    <hyperlink ref="J18" r:id="rId71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18" r:id="rId72" display="वेबसाइट पर पढ़ें: drishtiias.com • visionias.in • ncert.nic.in (क्लिक करें)"/>
    <hyperlink ref="T18" r:id="rId73" display="▶ दृष्टि IAS"/>
    <hyperlink ref="U18" r:id="rId74" display="▶ BPSC वाला"/>
    <hyperlink ref="V18" r:id="rId75" display="▶ BPSC वाला"/>
    <hyperlink ref="Y18" r:id="rId76" display="📖 पढ़ें: दृष्टि • विजन • NCERT • जागरण जोश • GKToday"/>
    <hyperlink ref="J19" r:id="rId77" display="पढ़ें: मौर्योत्तर काल (शुंग, कुषाण, सातवाहन, संगम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ोत्तर काल (शुंग, कुषाण,.pdf')। तैयार PDF नोट्स खोजने हेतु क्लिक करें।"/>
    <hyperlink ref="K19" r:id="rId78" display="वेबसाइट पर पढ़ें: drishtiias.com • visionias.in • ncert.nic.in (क्लिक करें)"/>
    <hyperlink ref="T19" r:id="rId79" display="▶ दृष्टि IAS"/>
    <hyperlink ref="U19" r:id="rId80" display="▶ BPSC वाला"/>
    <hyperlink ref="V19" r:id="rId81" display="▶ BPSC वाला"/>
    <hyperlink ref="Y19" r:id="rId82" display="📖 पढ़ें: दृष्टि • विजन • NCERT • जागरण जोश • GKToday"/>
    <hyperlink ref="J20" r:id="rId8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0" r:id="rId84" display="वेबसाइट पर पढ़ें: drishtiias.com • visionias.in • pib.gov.in (क्लिक करें)"/>
    <hyperlink ref="T20" r:id="rId85" display="▶ दृष्टि IAS"/>
    <hyperlink ref="U20" r:id="rId86" display="▶ BPSC वाला"/>
    <hyperlink ref="V20" r:id="rId87" display="▶ BPSC वाला"/>
    <hyperlink ref="J21" r:id="rId88" display="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"/>
    <hyperlink ref="K21" r:id="rId89" display="वेबसाइट पर पढ़ें: drishtiias.com • visionias.in • ncert.nic.in (क्लिक करें)"/>
    <hyperlink ref="T21" r:id="rId90" display="▶ दृष्टि IAS"/>
    <hyperlink ref="U21" r:id="rId91" display="▶ BPSC वाला"/>
    <hyperlink ref="V21" r:id="rId92" display="▶ BPSC वाला"/>
    <hyperlink ref="Y21" r:id="rId93" display="📖 पढ़ें: दृष्टि • विजन • NCERT • जागरण जोश • GKToday"/>
    <hyperlink ref="J22" r:id="rId94" display="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"/>
    <hyperlink ref="K22" r:id="rId95" display="वेबसाइट पर पढ़ें: drishtiias.com • visionias.in • ncert.nic.in (क्लिक करें)"/>
    <hyperlink ref="T22" r:id="rId96" display="▶ दृष्टि IAS"/>
    <hyperlink ref="U22" r:id="rId97" display="▶ BPSC वाला"/>
    <hyperlink ref="V22" r:id="rId98" display="▶ BPSC वाला"/>
    <hyperlink ref="Y22" r:id="rId99" display="📖 पढ़ें: दृष्टि • विजन • NCERT • जागरण जोश • GKToday"/>
    <hyperlink ref="J23" r:id="rId100" display="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"/>
    <hyperlink ref="K23" r:id="rId101" display="वेबसाइट पर पढ़ें: drishtiias.com • visionias.in • ncert.nic.in (क्लिक करें)"/>
    <hyperlink ref="T23" r:id="rId102" display="▶ दृष्टि IAS"/>
    <hyperlink ref="U23" r:id="rId103" display="▶ BPSC वाला"/>
    <hyperlink ref="V23" r:id="rId104" display="▶ BPSC वाला"/>
    <hyperlink ref="Y23" r:id="rId105" display="📖 पढ़ें: दृष्टि • विजन • NCERT • जागरण जोश • GKToday"/>
    <hyperlink ref="J24" r:id="rId106" display="पढ़ें: पूर्व मध्यकालीन भारत (राजपूत, चोल, चालुक्य, पल्लव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ूर्व मध्यकालीन भारत (राजपूत,.pdf')। तैयार PDF नोट्स खोजने हेतु क्लिक करें।"/>
    <hyperlink ref="K24" r:id="rId107" display="वेबसाइट पर पढ़ें: drishtiias.com • visionias.in • ncert.nic.in (क्लिक करें)"/>
    <hyperlink ref="T24" r:id="rId108" display="▶ दृष्टि IAS"/>
    <hyperlink ref="U24" r:id="rId109" display="▶ BPSC वाला"/>
    <hyperlink ref="V24" r:id="rId110" display="▶ BPSC वाला"/>
    <hyperlink ref="Y24" r:id="rId111" display="📖 पढ़ें: दृष्टि • विजन • NCERT • जागरण जोश • GKToday"/>
    <hyperlink ref="J25" r:id="rId112" display="पढ़ें: पूर्व मध्यकालीन भारत (राजपूत, चोल, चालुक्य, पल्लव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ूर्व मध्यकालीन भारत (राजपूत,.pdf')। तैयार PDF नोट्स खोजने हेतु क्लिक करें।"/>
    <hyperlink ref="K25" r:id="rId113" display="वेबसाइट पर पढ़ें: drishtiias.com • visionias.in • ncert.nic.in (क्लिक करें)"/>
    <hyperlink ref="T25" r:id="rId114" display="▶ दृष्टि IAS"/>
    <hyperlink ref="U25" r:id="rId115" display="▶ BPSC वाला"/>
    <hyperlink ref="V25" r:id="rId116" display="▶ BPSC वाला"/>
    <hyperlink ref="Y25" r:id="rId117" display="📖 पढ़ें: दृष्टि • विजन • NCERT • जागरण जोश • GKToday"/>
    <hyperlink ref="J26" r:id="rId118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26" r:id="rId119" display="वेबसाइट पर पढ़ें: drishtiias.com • visionias.in • ncert.nic.in (क्लिक करें)"/>
    <hyperlink ref="T26" r:id="rId120" display="▶ दृष्टि IAS"/>
    <hyperlink ref="U26" r:id="rId121" display="▶ BPSC वाला"/>
    <hyperlink ref="V26" r:id="rId122" display="▶ BPSC वाला"/>
    <hyperlink ref="Y26" r:id="rId123" display="📖 पढ़ें: दृष्टि • विजन • NCERT • जागरण जोश • GKToday"/>
    <hyperlink ref="J27" r:id="rId124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7" r:id="rId125" display="वेबसाइट पर पढ़ें: drishtiias.com • visionias.in • pib.gov.in (क्लिक करें)"/>
    <hyperlink ref="T27" r:id="rId126" display="▶ दृष्टि IAS"/>
    <hyperlink ref="U27" r:id="rId127" display="▶ BPSC वाला"/>
    <hyperlink ref="V27" r:id="rId128" display="▶ BPSC वाला"/>
    <hyperlink ref="J28" r:id="rId129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28" r:id="rId130" display="वेबसाइट पर पढ़ें: drishtiias.com • visionias.in • ncert.nic.in (क्लिक करें)"/>
    <hyperlink ref="T28" r:id="rId131" display="▶ दृष्टि IAS"/>
    <hyperlink ref="U28" r:id="rId132" display="▶ BPSC वाला"/>
    <hyperlink ref="V28" r:id="rId133" display="▶ BPSC वाला"/>
    <hyperlink ref="Y28" r:id="rId134" display="📖 पढ़ें: दृष्टि • विजन • NCERT • जागरण जोश • GKToday"/>
    <hyperlink ref="J29" r:id="rId135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29" r:id="rId136" display="वेबसाइट पर पढ़ें: drishtiias.com • visionias.in • ncert.nic.in (क्लिक करें)"/>
    <hyperlink ref="T29" r:id="rId137" display="▶ दृष्टि IAS"/>
    <hyperlink ref="U29" r:id="rId138" display="▶ BPSC वाला"/>
    <hyperlink ref="V29" r:id="rId139" display="▶ BPSC वाला"/>
    <hyperlink ref="Y29" r:id="rId140" display="📖 पढ़ें: दृष्टि • विजन • NCERT • जागरण जोश • GKToday"/>
    <hyperlink ref="J30" r:id="rId141" display="पढ़ें: भक्ति एवं सूफी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क्ति एवं सूफी आंदोलन.pdf')। तैयार PDF नोट्स खोजने हेतु क्लिक करें।"/>
    <hyperlink ref="K30" r:id="rId142" display="वेबसाइट पर पढ़ें: drishtiias.com • visionias.in • ncert.nic.in (क्लिक करें)"/>
    <hyperlink ref="T30" r:id="rId143" display="▶ दृष्टि IAS"/>
    <hyperlink ref="U30" r:id="rId144" display="▶ BPSC वाला"/>
    <hyperlink ref="V30" r:id="rId145" display="▶ BPSC वाला"/>
    <hyperlink ref="Y30" r:id="rId146" display="📖 पढ़ें: दृष्टि • विजन • NCERT • जागरण जोश • GKToday"/>
    <hyperlink ref="J31" r:id="rId147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31" r:id="rId148" display="वेबसाइट पर पढ़ें: drishtiias.com • visionias.in • ncert.nic.in (क्लिक करें)"/>
    <hyperlink ref="T31" r:id="rId149" display="▶ दृष्टि IAS"/>
    <hyperlink ref="U31" r:id="rId150" display="▶ BPSC वाला"/>
    <hyperlink ref="V31" r:id="rId151" display="▶ BPSC वाला"/>
    <hyperlink ref="Y31" r:id="rId152" display="📖 पढ़ें: दृष्टि • विजन • NCERT • जागरण जोश • GKToday"/>
    <hyperlink ref="J32" r:id="rId153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32" r:id="rId154" display="वेबसाइट पर पढ़ें: drishtiias.com • visionias.in • ncert.nic.in (क्लिक करें)"/>
    <hyperlink ref="T32" r:id="rId155" display="▶ दृष्टि IAS"/>
    <hyperlink ref="U32" r:id="rId156" display="▶ BPSC वाला"/>
    <hyperlink ref="V32" r:id="rId157" display="▶ BPSC वाला"/>
    <hyperlink ref="Y32" r:id="rId158" display="📖 पढ़ें: दृष्टि • विजन • NCERT • जागरण जोश • GKToday"/>
    <hyperlink ref="J33" r:id="rId159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33" r:id="rId160" display="वेबसाइट पर पढ़ें: drishtiias.com • visionias.in • ncert.nic.in (क्लिक करें)"/>
    <hyperlink ref="T33" r:id="rId161" display="▶ दृष्टि IAS"/>
    <hyperlink ref="U33" r:id="rId162" display="▶ BPSC वाला"/>
    <hyperlink ref="V33" r:id="rId163" display="▶ BPSC वाला"/>
    <hyperlink ref="Y33" r:id="rId164" display="📖 पढ़ें: दृष्टि • विजन • NCERT • जागरण जोश • GKToday"/>
    <hyperlink ref="J34" r:id="rId165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4" r:id="rId166" display="वेबसाइट पर पढ़ें: drishtiias.com • visionias.in • pib.gov.in (क्लिक करें)"/>
    <hyperlink ref="T34" r:id="rId167" display="▶ दृष्टि IAS"/>
    <hyperlink ref="U34" r:id="rId168" display="▶ BPSC वाला"/>
    <hyperlink ref="V34" r:id="rId169" display="▶ BPSC वाला"/>
    <hyperlink ref="J35" r:id="rId170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35" r:id="rId171" display="वेबसाइट पर पढ़ें: drishtiias.com • visionias.in • ncert.nic.in (क्लिक करें)"/>
    <hyperlink ref="T35" r:id="rId172" display="▶ दृष्टि IAS"/>
    <hyperlink ref="U35" r:id="rId173" display="▶ BPSC वाला"/>
    <hyperlink ref="V35" r:id="rId174" display="▶ BPSC वाला"/>
    <hyperlink ref="Y35" r:id="rId175" display="📖 पढ़ें: दृष्टि • विजन • NCERT • जागरण जोश • GKToday"/>
    <hyperlink ref="J36" r:id="rId176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36" r:id="rId177" display="वेबसाइट पर पढ़ें: drishtiias.com • visionias.in • ncert.nic.in (क्लिक करें)"/>
    <hyperlink ref="T36" r:id="rId178" display="▶ दृष्टि IAS"/>
    <hyperlink ref="U36" r:id="rId179" display="▶ BPSC वाला"/>
    <hyperlink ref="V36" r:id="rId180" display="▶ BPSC वाला"/>
    <hyperlink ref="Y36" r:id="rId181" display="📖 पढ़ें: दृष्टि • विजन • NCERT • जागरण जोश • GKToday"/>
    <hyperlink ref="J37" r:id="rId182" display="पढ़ें: मराठा एवं क्षेत्रीय शक्तियाँ (18वीं शताब्दी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राठा एवं क्षेत्रीय शक्तियाँ.pdf')। तैयार PDF नोट्स खोजने हेतु क्लिक करें।"/>
    <hyperlink ref="K37" r:id="rId183" display="वेबसाइट पर पढ़ें: drishtiias.com • visionias.in • ncert.nic.in (क्लिक करें)"/>
    <hyperlink ref="T37" r:id="rId184" display="▶ दृष्टि IAS"/>
    <hyperlink ref="U37" r:id="rId185" display="▶ BPSC वाला"/>
    <hyperlink ref="V37" r:id="rId186" display="▶ BPSC वाला"/>
    <hyperlink ref="Y37" r:id="rId187" display="📖 पढ़ें: दृष्टि • विजन • NCERT • जागरण जोश • GKToday"/>
    <hyperlink ref="J38" r:id="rId188" display="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"/>
    <hyperlink ref="K38" r:id="rId189" display="वेबसाइट पर पढ़ें: drishtiias.com • visionias.in • ncert.nic.in (क्लिक करें)"/>
    <hyperlink ref="T38" r:id="rId190" display="▶ दृष्टि IAS"/>
    <hyperlink ref="U38" r:id="rId191" display="▶ BPSC वाला"/>
    <hyperlink ref="V38" r:id="rId192" display="▶ BPSC वाला"/>
    <hyperlink ref="Y38" r:id="rId193" display="📖 पढ़ें: दृष्टि • विजन • NCERT • जागरण जोश • GKToday"/>
    <hyperlink ref="J39" r:id="rId194" display="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"/>
    <hyperlink ref="K39" r:id="rId195" display="वेबसाइट पर पढ़ें: drishtiias.com • visionias.in • ncert.nic.in (क्लिक करें)"/>
    <hyperlink ref="T39" r:id="rId196" display="▶ दृष्टि IAS"/>
    <hyperlink ref="U39" r:id="rId197" display="▶ BPSC वाला"/>
    <hyperlink ref="V39" r:id="rId198" display="▶ BPSC वाला"/>
    <hyperlink ref="Y39" r:id="rId199" display="📖 पढ़ें: दृष्टि • विजन • NCERT • जागरण जोश • GKToday"/>
    <hyperlink ref="J40" r:id="rId200" display="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"/>
    <hyperlink ref="K40" r:id="rId201" display="वेबसाइट पर पढ़ें: drishtiias.com • visionias.in • ncert.nic.in (क्लिक करें)"/>
    <hyperlink ref="T40" r:id="rId202" display="▶ दृष्टि IAS"/>
    <hyperlink ref="U40" r:id="rId203" display="▶ BPSC वाला"/>
    <hyperlink ref="V40" r:id="rId204" display="▶ BPSC वाला"/>
    <hyperlink ref="Y40" r:id="rId205" display="📖 पढ़ें: दृष्टि • विजन • NCERT • जागरण जोश • GKToday"/>
    <hyperlink ref="J41" r:id="rId206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1" r:id="rId207" display="वेबसाइट पर पढ़ें: drishtiias.com • visionias.in • pib.gov.in (क्लिक करें)"/>
    <hyperlink ref="T41" r:id="rId208" display="▶ दृष्टि IAS"/>
    <hyperlink ref="U41" r:id="rId209" display="▶ BPSC वाला"/>
    <hyperlink ref="V41" r:id="rId210" display="▶ BPSC वाला"/>
    <hyperlink ref="J42" r:id="rId211" display="पढ़ें: 1857 का विद्रोह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1857 का विद्रोह.pdf')। तैयार PDF नोट्स खोजने हेतु क्लिक करें।"/>
    <hyperlink ref="K42" r:id="rId212" display="वेबसाइट पर पढ़ें: drishtiias.com • visionias.in • ncert.nic.in (क्लिक करें)"/>
    <hyperlink ref="T42" r:id="rId213" display="▶ दृष्टि IAS"/>
    <hyperlink ref="U42" r:id="rId214" display="▶ BPSC वाला"/>
    <hyperlink ref="V42" r:id="rId215" display="▶ BPSC वाला"/>
    <hyperlink ref="Y42" r:id="rId216" display="📖 पढ़ें: दृष्टि • विजन • NCERT • जागरण जोश • GKToday"/>
    <hyperlink ref="J43" r:id="rId217" display="पढ़ें: 1857 का विद्रोह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1857 का विद्रोह.pdf')। तैयार PDF नोट्स खोजने हेतु क्लिक करें।"/>
    <hyperlink ref="K43" r:id="rId218" display="वेबसाइट पर पढ़ें: drishtiias.com • visionias.in • ncert.nic.in (क्लिक करें)"/>
    <hyperlink ref="T43" r:id="rId219" display="▶ दृष्टि IAS"/>
    <hyperlink ref="U43" r:id="rId220" display="▶ BPSC वाला"/>
    <hyperlink ref="V43" r:id="rId221" display="▶ BPSC वाला"/>
    <hyperlink ref="Y43" r:id="rId222" display="📖 पढ़ें: दृष्टि • विजन • NCERT • जागरण जोश • GKToday"/>
    <hyperlink ref="J44" r:id="rId223" display="पढ़ें: सामाजिक-धार्मिक सुधार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ामाजिक-धार्मिक सुधार आंदोलन.pdf')। तैयार PDF नोट्स खोजने हेतु क्लिक करें।"/>
    <hyperlink ref="K44" r:id="rId224" display="वेबसाइट पर पढ़ें: drishtiias.com • visionias.in • ncert.nic.in (क्लिक करें)"/>
    <hyperlink ref="T44" r:id="rId225" display="▶ दृष्टि IAS"/>
    <hyperlink ref="U44" r:id="rId226" display="▶ BPSC वाला"/>
    <hyperlink ref="V44" r:id="rId227" display="▶ BPSC वाला"/>
    <hyperlink ref="Y44" r:id="rId228" display="📖 पढ़ें: दृष्टि • विजन • NCERT • जागरण जोश • GKToday"/>
    <hyperlink ref="J45" r:id="rId229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45" r:id="rId230" display="वेबसाइट पर पढ़ें: drishtiias.com • visionias.in • ncert.nic.in (क्लिक करें)"/>
    <hyperlink ref="T45" r:id="rId231" display="▶ दृष्टि IAS"/>
    <hyperlink ref="U45" r:id="rId232" display="▶ BPSC वाला"/>
    <hyperlink ref="V45" r:id="rId233" display="▶ BPSC वाला"/>
    <hyperlink ref="Y45" r:id="rId234" display="📖 पढ़ें: दृष्टि • विजन • NCERT • जागरण जोश • GKToday"/>
    <hyperlink ref="J46" r:id="rId235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46" r:id="rId236" display="वेबसाइट पर पढ़ें: drishtiias.com • visionias.in • ncert.nic.in (क्लिक करें)"/>
    <hyperlink ref="T46" r:id="rId237" display="▶ दृष्टि IAS"/>
    <hyperlink ref="U46" r:id="rId238" display="▶ BPSC वाला"/>
    <hyperlink ref="V46" r:id="rId239" display="▶ BPSC वाला"/>
    <hyperlink ref="Y46" r:id="rId240" display="📖 पढ़ें: दृष्टि • विजन • NCERT • जागरण जोश • GKToday"/>
    <hyperlink ref="J47" r:id="rId241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47" r:id="rId242" display="वेबसाइट पर पढ़ें: drishtiias.com • visionias.in • ncert.nic.in (क्लिक करें)"/>
    <hyperlink ref="T47" r:id="rId243" display="▶ दृष्टि IAS"/>
    <hyperlink ref="U47" r:id="rId244" display="▶ BPSC वाला"/>
    <hyperlink ref="V47" r:id="rId245" display="▶ BPSC वाला"/>
    <hyperlink ref="Y47" r:id="rId246" display="📖 पढ़ें: दृष्टि • विजन • NCERT • जागरण जोश • GKToday"/>
    <hyperlink ref="J48" r:id="rId247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8" r:id="rId248" display="वेबसाइट पर पढ़ें: drishtiias.com • visionias.in • pib.gov.in (क्लिक करें)"/>
    <hyperlink ref="T48" r:id="rId249" display="▶ दृष्टि IAS"/>
    <hyperlink ref="U48" r:id="rId250" display="▶ BPSC वाला"/>
    <hyperlink ref="V48" r:id="rId251" display="▶ BPSC वाला"/>
    <hyperlink ref="J49" r:id="rId252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49" r:id="rId253" display="वेबसाइट पर पढ़ें: drishtiias.com • visionias.in • ncert.nic.in (क्लिक करें)"/>
    <hyperlink ref="T49" r:id="rId254" display="▶ दृष्टि IAS"/>
    <hyperlink ref="U49" r:id="rId255" display="▶ BPSC वाला"/>
    <hyperlink ref="V49" r:id="rId256" display="▶ BPSC वाला"/>
    <hyperlink ref="Y49" r:id="rId257" display="📖 पढ़ें: दृष्टि • विजन • NCERT • जागरण जोश • GKToday"/>
    <hyperlink ref="J50" r:id="rId258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50" r:id="rId259" display="वेबसाइट पर पढ़ें: drishtiias.com • visionias.in • ncert.nic.in (क्लिक करें)"/>
    <hyperlink ref="T50" r:id="rId260" display="▶ दृष्टि IAS"/>
    <hyperlink ref="U50" r:id="rId261" display="▶ BPSC वाला"/>
    <hyperlink ref="V50" r:id="rId262" display="▶ BPSC वाला"/>
    <hyperlink ref="Y50" r:id="rId263" display="📖 पढ़ें: दृष्टि • विजन • NCERT • जागरण जोश • GKToday"/>
    <hyperlink ref="J51" r:id="rId264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51" r:id="rId265" display="वेबसाइट पर पढ़ें: drishtiias.com • visionias.in • ncert.nic.in (क्लिक करें)"/>
    <hyperlink ref="T51" r:id="rId266" display="▶ दृष्टि IAS"/>
    <hyperlink ref="U51" r:id="rId267" display="▶ BPSC वाला"/>
    <hyperlink ref="V51" r:id="rId268" display="▶ BPSC वाला"/>
    <hyperlink ref="Y51" r:id="rId269" display="📖 पढ़ें: दृष्टि • विजन • NCERT • जागरण जोश • GKToday"/>
    <hyperlink ref="J52" r:id="rId270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52" r:id="rId271" display="वेबसाइट पर पढ़ें: drishtiias.com • visionias.in • ncert.nic.in (क्लिक करें)"/>
    <hyperlink ref="T52" r:id="rId272" display="▶ दृष्टि IAS"/>
    <hyperlink ref="U52" r:id="rId273" display="▶ BPSC वाला"/>
    <hyperlink ref="V52" r:id="rId274" display="▶ BPSC वाला"/>
    <hyperlink ref="Y52" r:id="rId275" display="📖 पढ़ें: दृष्टि • विजन • NCERT • जागरण जोश • GKToday"/>
    <hyperlink ref="J53" r:id="rId276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53" r:id="rId277" display="वेबसाइट पर पढ़ें: drishtiias.com • visionias.in • ncert.nic.in (क्लिक करें)"/>
    <hyperlink ref="T53" r:id="rId278" display="▶ दृष्टि IAS"/>
    <hyperlink ref="U53" r:id="rId279" display="▶ BPSC वाला"/>
    <hyperlink ref="V53" r:id="rId280" display="▶ BPSC वाला"/>
    <hyperlink ref="Y53" r:id="rId281" display="📖 पढ़ें: दृष्टि • विजन • NCERT • जागरण जोश • GKToday"/>
    <hyperlink ref="J54" r:id="rId282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54" r:id="rId283" display="वेबसाइट पर पढ़ें: drishtiias.com • visionias.in • ncert.nic.in (क्लिक करें)"/>
    <hyperlink ref="T54" r:id="rId284" display="▶ दृष्टि IAS"/>
    <hyperlink ref="U54" r:id="rId285" display="▶ BPSC वाला"/>
    <hyperlink ref="V54" r:id="rId286" display="▶ BPSC वाला"/>
    <hyperlink ref="Y54" r:id="rId287" display="📖 पढ़ें: दृष्टि • विजन • NCERT • जागरण जोश • GKToday"/>
    <hyperlink ref="J55" r:id="rId28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5" r:id="rId289" display="वेबसाइट पर पढ़ें: drishtiias.com • visionias.in • pib.gov.in (क्लिक करें)"/>
    <hyperlink ref="T55" r:id="rId290" display="▶ दृष्टि IAS"/>
    <hyperlink ref="U55" r:id="rId291" display="▶ BPSC वाला"/>
    <hyperlink ref="V55" r:id="rId292" display="▶ BPSC वाला"/>
    <hyperlink ref="J56" r:id="rId293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56" r:id="rId294" display="वेबसाइट पर पढ़ें: drishtiias.com • visionias.in • ncert.nic.in (क्लिक करें)"/>
    <hyperlink ref="T56" r:id="rId295" display="▶ दृष्टि IAS"/>
    <hyperlink ref="U56" r:id="rId296" display="▶ BPSC वाला"/>
    <hyperlink ref="V56" r:id="rId297" display="▶ BPSC वाला"/>
    <hyperlink ref="Y56" r:id="rId298" display="📖 पढ़ें: दृष्टि • विजन • NCERT • जागरण जोश • GKToday"/>
    <hyperlink ref="J57" r:id="rId299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57" r:id="rId300" display="वेबसाइट पर पढ़ें: drishtiias.com • visionias.in • ncert.nic.in (क्लिक करें)"/>
    <hyperlink ref="T57" r:id="rId301" display="▶ दृष्टि IAS"/>
    <hyperlink ref="U57" r:id="rId302" display="▶ BPSC वाला"/>
    <hyperlink ref="V57" r:id="rId303" display="▶ BPSC वाला"/>
    <hyperlink ref="Y57" r:id="rId304" display="📖 पढ़ें: दृष्टि • विजन • NCERT • जागरण जोश • GKToday"/>
    <hyperlink ref="J58" r:id="rId305" display="पढ़ें: स्वातंत्र्योत्तर भारत (1947 के बाद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्वातंत्र्योत्तर भारत (1947 के.pdf')। तैयार PDF नोट्स खोजने हेतु क्लिक करें।"/>
    <hyperlink ref="K58" r:id="rId306" display="वेबसाइट पर पढ़ें: drishtiias.com • visionias.in • ncert.nic.in (क्लिक करें)"/>
    <hyperlink ref="T58" r:id="rId307" display="▶ दृष्टि IAS"/>
    <hyperlink ref="U58" r:id="rId308" display="▶ BPSC वाला"/>
    <hyperlink ref="V58" r:id="rId309" display="▶ BPSC वाला"/>
    <hyperlink ref="Y58" r:id="rId310" display="📖 पढ़ें: दृष्टि • विजन • NCERT • जागरण जोश • GKToday"/>
    <hyperlink ref="J59" r:id="rId311" display="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"/>
    <hyperlink ref="K59" r:id="rId312" display="वेबसाइट पर पढ़ें: drishtiias.com • visionias.in • ncert.nic.in (क्लिक करें)"/>
    <hyperlink ref="T59" r:id="rId313" display="▶ दृष्टि IAS"/>
    <hyperlink ref="U59" r:id="rId314" display="▶ BPSC वाला"/>
    <hyperlink ref="V59" r:id="rId315" display="▶ BPSC वाला"/>
    <hyperlink ref="Y59" r:id="rId316" display="📖 पढ़ें: दृष्टि • विजन • NCERT • जागरण जोश • GKToday"/>
    <hyperlink ref="J60" r:id="rId317" display="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"/>
    <hyperlink ref="K60" r:id="rId318" display="वेबसाइट पर पढ़ें: drishtiias.com • visionias.in • ncert.nic.in (क्लिक करें)"/>
    <hyperlink ref="T60" r:id="rId319" display="▶ दृष्टि IAS"/>
    <hyperlink ref="U60" r:id="rId320" display="▶ BPSC वाला"/>
    <hyperlink ref="V60" r:id="rId321" display="▶ BPSC वाला"/>
    <hyperlink ref="Y60" r:id="rId322" display="📖 पढ़ें: दृष्टि • विजन • NCERT • जागरण जोश • GKToday"/>
    <hyperlink ref="J61" r:id="rId323" display="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"/>
    <hyperlink ref="K61" r:id="rId324" display="वेबसाइट पर पढ़ें: drishtiias.com • visionias.in • ncert.nic.in (क्लिक करें)"/>
    <hyperlink ref="T61" r:id="rId325" display="▶ दृष्टि IAS"/>
    <hyperlink ref="U61" r:id="rId326" display="▶ BPSC वाला"/>
    <hyperlink ref="V61" r:id="rId327" display="▶ BPSC वाला"/>
    <hyperlink ref="Y61" r:id="rId328" display="📖 पढ़ें: दृष्टि • विजन • NCERT • जागरण जोश • GKToday"/>
    <hyperlink ref="J62" r:id="rId329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62" r:id="rId330" display="वेबसाइट पर पढ़ें: drishtiias.com • visionias.in • pib.gov.in (क्लिक करें)"/>
    <hyperlink ref="T62" r:id="rId331" display="▶ दृष्टि IAS"/>
    <hyperlink ref="U62" r:id="rId332" display="▶ BPSC वाला"/>
    <hyperlink ref="V62" r:id="rId333" display="▶ BPSC वाला"/>
    <hyperlink ref="J63" r:id="rId334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63" r:id="rId335" display="वेबसाइट पर पढ़ें: drishtiias.com • visionias.in • ncert.nic.in (क्लिक करें)"/>
    <hyperlink ref="T63" r:id="rId336" display="▶ दृष्टि IAS"/>
    <hyperlink ref="U63" r:id="rId337" display="▶ BPSC वाला"/>
    <hyperlink ref="V63" r:id="rId338" display="▶ BPSC वाला"/>
    <hyperlink ref="Y63" r:id="rId339" display="📖 पढ़ें: दृष्टि • विजन • NCERT • जागरण जोश • GKToday"/>
    <hyperlink ref="J64" r:id="rId340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64" r:id="rId341" display="वेबसाइट पर पढ़ें: drishtiias.com • visionias.in • ncert.nic.in (क्लिक करें)"/>
    <hyperlink ref="T64" r:id="rId342" display="▶ दृष्टि IAS"/>
    <hyperlink ref="U64" r:id="rId343" display="▶ BPSC वाला"/>
    <hyperlink ref="V64" r:id="rId344" display="▶ BPSC वाला"/>
    <hyperlink ref="Y64" r:id="rId345" display="📖 पढ़ें: दृष्टि • विजन • NCERT • जागरण जोश • GKToday"/>
    <hyperlink ref="J65" r:id="rId346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65" r:id="rId347" display="वेबसाइट पर पढ़ें: drishtiias.com • visionias.in • ncert.nic.in (क्लिक करें)"/>
    <hyperlink ref="T65" r:id="rId348" display="▶ दृष्टि IAS"/>
    <hyperlink ref="U65" r:id="rId349" display="▶ BPSC वाला"/>
    <hyperlink ref="V65" r:id="rId350" display="▶ BPSC वाला"/>
    <hyperlink ref="Y65" r:id="rId351" display="📖 पढ़ें: दृष्टि • विजन • NCERT • जागरण जोश • GKToday"/>
    <hyperlink ref="J66" r:id="rId352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66" r:id="rId353" display="वेबसाइट पर पढ़ें: drishtiias.com • visionias.in • ncert.nic.in (क्लिक करें)"/>
    <hyperlink ref="T66" r:id="rId354" display="▶ दृष्टि IAS"/>
    <hyperlink ref="U66" r:id="rId355" display="▶ BPSC वाला"/>
    <hyperlink ref="V66" r:id="rId356" display="▶ BPSC वाला"/>
    <hyperlink ref="Y66" r:id="rId357" display="📖 पढ़ें: दृष्टि • विजन • NCERT • जागरण जोश • GKToday"/>
    <hyperlink ref="J67" r:id="rId358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67" r:id="rId359" display="वेबसाइट पर पढ़ें: drishtiias.com • visionias.in • ncert.nic.in (क्लिक करें)"/>
    <hyperlink ref="T67" r:id="rId360" display="▶ दृष्टि IAS"/>
    <hyperlink ref="U67" r:id="rId361" display="▶ BPSC वाला"/>
    <hyperlink ref="V67" r:id="rId362" display="▶ BPSC वाला"/>
    <hyperlink ref="Y67" r:id="rId363" display="📖 पढ़ें: दृष्टि • विजन • NCERT • जागरण जोश • GKToday"/>
    <hyperlink ref="J68" r:id="rId364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68" r:id="rId365" display="वेबसाइट पर पढ़ें: drishtiias.com • visionias.in • ncert.nic.in (क्लिक करें)"/>
    <hyperlink ref="T68" r:id="rId366" display="▶ दृष्टि IAS"/>
    <hyperlink ref="U68" r:id="rId367" display="▶ BPSC वाला"/>
    <hyperlink ref="V68" r:id="rId368" display="▶ BPSC वाला"/>
    <hyperlink ref="Y68" r:id="rId369" display="📖 पढ़ें: दृष्टि • विजन • NCERT • जागरण जोश • GKToday"/>
    <hyperlink ref="J69" r:id="rId370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69" r:id="rId371" display="वेबसाइट पर पढ़ें: drishtiias.com • visionias.in • pib.gov.in (क्लिक करें)"/>
    <hyperlink ref="T69" r:id="rId372" display="▶ दृष्टि IAS"/>
    <hyperlink ref="U69" r:id="rId373" display="▶ BPSC वाला"/>
    <hyperlink ref="V69" r:id="rId374" display="▶ BPSC वाला"/>
    <hyperlink ref="J70" r:id="rId375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70" r:id="rId376" display="वेबसाइट पर पढ़ें: drishtiias.com • visionias.in • ncert.nic.in (क्लिक करें)"/>
    <hyperlink ref="T70" r:id="rId377" display="▶ दृष्टि IAS"/>
    <hyperlink ref="U70" r:id="rId378" display="▶ BPSC वाला"/>
    <hyperlink ref="V70" r:id="rId379" display="▶ BPSC वाला"/>
    <hyperlink ref="Y70" r:id="rId380" display="📖 पढ़ें: दृष्टि • विजन • NCERT • जागरण जोश • GKToday"/>
    <hyperlink ref="J71" r:id="rId381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71" r:id="rId382" display="वेबसाइट पर पढ़ें: drishtiias.com • visionias.in • ncert.nic.in (क्लिक करें)"/>
    <hyperlink ref="T71" r:id="rId383" display="▶ दृष्टि IAS"/>
    <hyperlink ref="U71" r:id="rId384" display="▶ BPSC वाला"/>
    <hyperlink ref="V71" r:id="rId385" display="▶ BPSC वाला"/>
    <hyperlink ref="Y71" r:id="rId386" display="📖 पढ़ें: दृष्टि • विजन • NCERT • जागरण जोश • GKToday"/>
    <hyperlink ref="J72" r:id="rId387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72" r:id="rId388" display="वेबसाइट पर पढ़ें: drishtiias.com • visionias.in • ncert.nic.in (क्लिक करें)"/>
    <hyperlink ref="T72" r:id="rId389" display="▶ दृष्टि IAS"/>
    <hyperlink ref="U72" r:id="rId390" display="▶ BPSC वाला"/>
    <hyperlink ref="V72" r:id="rId391" display="▶ BPSC वाला"/>
    <hyperlink ref="Y72" r:id="rId392" display="📖 पढ़ें: दृष्टि • विजन • NCERT • जागरण जोश • GKToday"/>
    <hyperlink ref="J73" r:id="rId393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73" r:id="rId394" display="वेबसाइट पर पढ़ें: drishtiias.com • visionias.in • ncert.nic.in (क्लिक करें)"/>
    <hyperlink ref="T73" r:id="rId395" display="▶ दृष्टि IAS"/>
    <hyperlink ref="U73" r:id="rId396" display="▶ BPSC वाला"/>
    <hyperlink ref="V73" r:id="rId397" display="▶ BPSC वाला"/>
    <hyperlink ref="Y73" r:id="rId398" display="📖 पढ़ें: दृष्टि • विजन • NCERT • जागरण जोश • GKToday"/>
    <hyperlink ref="J74" r:id="rId399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74" r:id="rId400" display="वेबसाइट पर पढ़ें: drishtiias.com • visionias.in • ncert.nic.in (क्लिक करें)"/>
    <hyperlink ref="T74" r:id="rId401" display="▶ दृष्टि IAS"/>
    <hyperlink ref="U74" r:id="rId402" display="▶ BPSC वाला"/>
    <hyperlink ref="V74" r:id="rId403" display="▶ BPSC वाला"/>
    <hyperlink ref="Y74" r:id="rId404" display="📖 पढ़ें: दृष्टि • विजन • NCERT • जागरण जोश • GKToday"/>
    <hyperlink ref="J75" r:id="rId405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75" r:id="rId406" display="वेबसाइट पर पढ़ें: drishtiias.com • visionias.in • ncert.nic.in (क्लिक करें)"/>
    <hyperlink ref="T75" r:id="rId407" display="▶ दृष्टि IAS"/>
    <hyperlink ref="U75" r:id="rId408" display="▶ BPSC वाला"/>
    <hyperlink ref="V75" r:id="rId409" display="▶ BPSC वाला"/>
    <hyperlink ref="Y75" r:id="rId410" display="📖 पढ़ें: दृष्टि • विजन • NCERT • जागरण जोश • GKToday"/>
    <hyperlink ref="J76" r:id="rId411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76" r:id="rId412" display="वेबसाइट पर पढ़ें: drishtiias.com • visionias.in • pib.gov.in (क्लिक करें)"/>
    <hyperlink ref="T76" r:id="rId413" display="▶ दृष्टि IAS"/>
    <hyperlink ref="U76" r:id="rId414" display="▶ BPSC वाला"/>
    <hyperlink ref="V76" r:id="rId415" display="▶ BPSC वाला"/>
    <hyperlink ref="J77" r:id="rId416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77" r:id="rId417" display="वेबसाइट पर पढ़ें: drishtiias.com • visionias.in • ncert.nic.in (क्लिक करें)"/>
    <hyperlink ref="T77" r:id="rId418" display="▶ दृष्टि IAS"/>
    <hyperlink ref="U77" r:id="rId419" display="▶ BPSC वाला"/>
    <hyperlink ref="V77" r:id="rId420" display="▶ BPSC वाला"/>
    <hyperlink ref="Y77" r:id="rId421" display="📖 पढ़ें: दृष्टि • विजन • NCERT • जागरण जोश • GKToday"/>
    <hyperlink ref="J78" r:id="rId422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78" r:id="rId423" display="वेबसाइट पर पढ़ें: drishtiias.com • visionias.in • ncert.nic.in (क्लिक करें)"/>
    <hyperlink ref="T78" r:id="rId424" display="▶ दृष्टि IAS"/>
    <hyperlink ref="U78" r:id="rId425" display="▶ BPSC वाला"/>
    <hyperlink ref="V78" r:id="rId426" display="▶ BPSC वाला"/>
    <hyperlink ref="Y78" r:id="rId427" display="📖 पढ़ें: दृष्टि • विजन • NCERT • जागरण जोश • GKToday"/>
    <hyperlink ref="J79" r:id="rId428" display="पढ़ें: समुद्र विज्ञान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समुद्र विज्ञान.pdf')। तैयार PDF नोट्स खोजने हेतु क्लिक करें।"/>
    <hyperlink ref="K79" r:id="rId429" display="वेबसाइट पर पढ़ें: drishtiias.com • visionias.in • ncert.nic.in (क्लिक करें)"/>
    <hyperlink ref="T79" r:id="rId430" display="▶ दृष्टि IAS"/>
    <hyperlink ref="U79" r:id="rId431" display="▶ BPSC वाला"/>
    <hyperlink ref="V79" r:id="rId432" display="▶ BPSC वाला"/>
    <hyperlink ref="Y79" r:id="rId433" display="📖 पढ़ें: दृष्टि • विजन • NCERT • जागरण जोश • GKToday"/>
    <hyperlink ref="J80" r:id="rId434" display="पढ़ें: समुद्र विज्ञान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समुद्र विज्ञान.pdf')। तैयार PDF नोट्स खोजने हेतु क्लिक करें।"/>
    <hyperlink ref="K80" r:id="rId435" display="वेबसाइट पर पढ़ें: drishtiias.com • visionias.in • ncert.nic.in (क्लिक करें)"/>
    <hyperlink ref="T80" r:id="rId436" display="▶ दृष्टि IAS"/>
    <hyperlink ref="U80" r:id="rId437" display="▶ BPSC वाला"/>
    <hyperlink ref="V80" r:id="rId438" display="▶ BPSC वाला"/>
    <hyperlink ref="Y80" r:id="rId439" display="📖 पढ़ें: दृष्टि • विजन • NCERT • जागरण जोश • GKToday"/>
    <hyperlink ref="J81" r:id="rId440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81" r:id="rId441" display="वेबसाइट पर पढ़ें: drishtiias.com • visionias.in • ncert.nic.in (क्लिक करें)"/>
    <hyperlink ref="T81" r:id="rId442" display="▶ दृष्टि IAS"/>
    <hyperlink ref="U81" r:id="rId443" display="▶ BPSC वाला"/>
    <hyperlink ref="V81" r:id="rId444" display="▶ BPSC वाला"/>
    <hyperlink ref="Y81" r:id="rId445" display="📖 पढ़ें: दृष्टि • विजन • NCERT • जागरण जोश • GKToday"/>
    <hyperlink ref="J82" r:id="rId446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82" r:id="rId447" display="वेबसाइट पर पढ़ें: drishtiias.com • visionias.in • ncert.nic.in (क्लिक करें)"/>
    <hyperlink ref="T82" r:id="rId448" display="▶ दृष्टि IAS"/>
    <hyperlink ref="U82" r:id="rId449" display="▶ BPSC वाला"/>
    <hyperlink ref="V82" r:id="rId450" display="▶ BPSC वाला"/>
    <hyperlink ref="Y82" r:id="rId451" display="📖 पढ़ें: दृष्टि • विजन • NCERT • जागरण जोश • GKToday"/>
    <hyperlink ref="J83" r:id="rId452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83" r:id="rId453" display="वेबसाइट पर पढ़ें: drishtiias.com • visionias.in • pib.gov.in (क्लिक करें)"/>
    <hyperlink ref="T83" r:id="rId454" display="▶ दृष्टि IAS"/>
    <hyperlink ref="U83" r:id="rId455" display="▶ BPSC वाला"/>
    <hyperlink ref="V83" r:id="rId456" display="▶ BPSC वाला"/>
    <hyperlink ref="J84" r:id="rId457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84" r:id="rId458" display="वेबसाइट पर पढ़ें: drishtiias.com • visionias.in • ncert.nic.in (क्लिक करें)"/>
    <hyperlink ref="T84" r:id="rId459" display="▶ दृष्टि IAS"/>
    <hyperlink ref="U84" r:id="rId460" display="▶ BPSC वाला"/>
    <hyperlink ref="V84" r:id="rId461" display="▶ BPSC वाला"/>
    <hyperlink ref="Y84" r:id="rId462" display="📖 पढ़ें: दृष्टि • विजन • NCERT • जागरण जोश • GKToday"/>
    <hyperlink ref="J85" r:id="rId463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85" r:id="rId464" display="वेबसाइट पर पढ़ें: drishtiias.com • visionias.in • ncert.nic.in (क्लिक करें)"/>
    <hyperlink ref="T85" r:id="rId465" display="▶ दृष्टि IAS"/>
    <hyperlink ref="U85" r:id="rId466" display="▶ BPSC वाला"/>
    <hyperlink ref="V85" r:id="rId467" display="▶ BPSC वाला"/>
    <hyperlink ref="Y85" r:id="rId468" display="📖 पढ़ें: दृष्टि • विजन • NCERT • जागरण जोश • GKToday"/>
    <hyperlink ref="J86" r:id="rId469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86" r:id="rId470" display="वेबसाइट पर पढ़ें: drishtiias.com • visionias.in • ncert.nic.in (क्लिक करें)"/>
    <hyperlink ref="T86" r:id="rId471" display="▶ दृष्टि IAS"/>
    <hyperlink ref="U86" r:id="rId472" display="▶ BPSC वाला"/>
    <hyperlink ref="V86" r:id="rId473" display="▶ BPSC वाला"/>
    <hyperlink ref="Y86" r:id="rId474" display="📖 पढ़ें: दृष्टि • विजन • NCERT • जागरण जोश • GKToday"/>
    <hyperlink ref="J87" r:id="rId475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87" r:id="rId476" display="वेबसाइट पर पढ़ें: drishtiias.com • visionias.in • ncert.nic.in (क्लिक करें)"/>
    <hyperlink ref="T87" r:id="rId477" display="▶ दृष्टि IAS"/>
    <hyperlink ref="U87" r:id="rId478" display="▶ BPSC वाला"/>
    <hyperlink ref="V87" r:id="rId479" display="▶ BPSC वाला"/>
    <hyperlink ref="Y87" r:id="rId480" display="📖 पढ़ें: दृष्टि • विजन • NCERT • जागरण जोश • GKToday"/>
    <hyperlink ref="J88" r:id="rId481" display="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"/>
    <hyperlink ref="K88" r:id="rId482" display="वेबसाइट पर पढ़ें: drishtiias.com • visionias.in • ncert.nic.in (क्लिक करें)"/>
    <hyperlink ref="T88" r:id="rId483" display="▶ दृष्टि IAS"/>
    <hyperlink ref="U88" r:id="rId484" display="▶ BPSC वाला"/>
    <hyperlink ref="V88" r:id="rId485" display="▶ BPSC वाला"/>
    <hyperlink ref="Y88" r:id="rId486" display="📖 पढ़ें: दृष्टि • विजन • NCERT • जागरण जोश • GKToday"/>
    <hyperlink ref="J89" r:id="rId487" display="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"/>
    <hyperlink ref="K89" r:id="rId488" display="वेबसाइट पर पढ़ें: drishtiias.com • visionias.in • ncert.nic.in (क्लिक करें)"/>
    <hyperlink ref="T89" r:id="rId489" display="▶ दृष्टि IAS"/>
    <hyperlink ref="U89" r:id="rId490" display="▶ BPSC वाला"/>
    <hyperlink ref="V89" r:id="rId491" display="▶ BPSC वाला"/>
    <hyperlink ref="Y89" r:id="rId492" display="📖 पढ़ें: दृष्टि • विजन • NCERT • जागरण जोश • GKToday"/>
    <hyperlink ref="J90" r:id="rId49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90" r:id="rId494" display="वेबसाइट पर पढ़ें: drishtiias.com • visionias.in • pib.gov.in (क्लिक करें)"/>
    <hyperlink ref="T90" r:id="rId495" display="▶ दृष्टि IAS"/>
    <hyperlink ref="U90" r:id="rId496" display="▶ BPSC वाला"/>
    <hyperlink ref="V90" r:id="rId497" display="▶ BPSC वाला"/>
    <hyperlink ref="J91" r:id="rId498" display="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"/>
    <hyperlink ref="K91" r:id="rId499" display="वेबसाइट पर पढ़ें: drishtiias.com • visionias.in • ncert.nic.in (क्लिक करें)"/>
    <hyperlink ref="T91" r:id="rId500" display="▶ दृष्टि IAS"/>
    <hyperlink ref="U91" r:id="rId501" display="▶ BPSC वाला"/>
    <hyperlink ref="V91" r:id="rId502" display="▶ BPSC वाला"/>
    <hyperlink ref="Y91" r:id="rId503" display="📖 पढ़ें: दृष्टि • विजन • NCERT • जागरण जोश • GKToday"/>
    <hyperlink ref="J92" r:id="rId504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92" r:id="rId505" display="वेबसाइट पर पढ़ें: drishtiias.com • visionias.in • ncert.nic.in (क्लिक करें)"/>
    <hyperlink ref="T92" r:id="rId506" display="▶ दृष्टि IAS"/>
    <hyperlink ref="U92" r:id="rId507" display="▶ BPSC वाला"/>
    <hyperlink ref="V92" r:id="rId508" display="▶ BPSC वाला"/>
    <hyperlink ref="Y92" r:id="rId509" display="📖 पढ़ें: दृष्टि • विजन • NCERT • जागरण जोश • GKToday"/>
    <hyperlink ref="J93" r:id="rId510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93" r:id="rId511" display="वेबसाइट पर पढ़ें: drishtiias.com • visionias.in • ncert.nic.in (क्लिक करें)"/>
    <hyperlink ref="T93" r:id="rId512" display="▶ दृष्टि IAS"/>
    <hyperlink ref="U93" r:id="rId513" display="▶ BPSC वाला"/>
    <hyperlink ref="V93" r:id="rId514" display="▶ BPSC वाला"/>
    <hyperlink ref="Y93" r:id="rId515" display="📖 पढ़ें: दृष्टि • विजन • NCERT • जागरण जोश • GKToday"/>
    <hyperlink ref="J94" r:id="rId516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94" r:id="rId517" display="वेबसाइट पर पढ़ें: drishtiias.com • visionias.in • ncert.nic.in (क्लिक करें)"/>
    <hyperlink ref="T94" r:id="rId518" display="▶ दृष्टि IAS"/>
    <hyperlink ref="U94" r:id="rId519" display="▶ BPSC वाला"/>
    <hyperlink ref="V94" r:id="rId520" display="▶ BPSC वाला"/>
    <hyperlink ref="Y94" r:id="rId521" display="📖 पढ़ें: दृष्टि • विजन • NCERT • जागरण जोश • GKToday"/>
    <hyperlink ref="J95" r:id="rId522" display="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"/>
    <hyperlink ref="K95" r:id="rId523" display="वेबसाइट पर पढ़ें: drishtiias.com • visionias.in • ncert.nic.in (क्लिक करें)"/>
    <hyperlink ref="T95" r:id="rId524" display="▶ दृष्टि IAS"/>
    <hyperlink ref="U95" r:id="rId525" display="▶ BPSC वाला"/>
    <hyperlink ref="V95" r:id="rId526" display="▶ BPSC वाला"/>
    <hyperlink ref="Y95" r:id="rId527" display="📖 पढ़ें: दृष्टि • विजन • NCERT • जागरण जोश • GKToday"/>
    <hyperlink ref="J96" r:id="rId528" display="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"/>
    <hyperlink ref="K96" r:id="rId529" display="वेबसाइट पर पढ़ें: drishtiias.com • visionias.in • ncert.nic.in (क्लिक करें)"/>
    <hyperlink ref="T96" r:id="rId530" display="▶ दृष्टि IAS"/>
    <hyperlink ref="U96" r:id="rId531" display="▶ BPSC वाला"/>
    <hyperlink ref="V96" r:id="rId532" display="▶ BPSC वाला"/>
    <hyperlink ref="Y96" r:id="rId533" display="📖 पढ़ें: दृष्टि • विजन • NCERT • जागरण जोश • GKToday"/>
    <hyperlink ref="J97" r:id="rId534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97" r:id="rId535" display="वेबसाइट पर पढ़ें: drishtiias.com • visionias.in • pib.gov.in (क्लिक करें)"/>
    <hyperlink ref="T97" r:id="rId536" display="▶ दृष्टि IAS"/>
    <hyperlink ref="U97" r:id="rId537" display="▶ BPSC वाला"/>
    <hyperlink ref="V97" r:id="rId538" display="▶ BPSC वाला"/>
    <hyperlink ref="J98" r:id="rId539" display="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"/>
    <hyperlink ref="K98" r:id="rId540" display="वेबसाइट पर पढ़ें: drishtiias.com • visionias.in • ncert.nic.in (क्लिक करें)"/>
    <hyperlink ref="T98" r:id="rId541" display="▶ दृष्टि IAS"/>
    <hyperlink ref="U98" r:id="rId542" display="▶ BPSC वाला"/>
    <hyperlink ref="V98" r:id="rId543" display="▶ BPSC वाला"/>
    <hyperlink ref="Y98" r:id="rId544" display="📖 पढ़ें: दृष्टि • विजन • NCERT • जागरण जोश • GKToday"/>
    <hyperlink ref="J99" r:id="rId545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99" r:id="rId546" display="वेबसाइट पर पढ़ें: drishtiias.com • visionias.in • ncert.nic.in (क्लिक करें)"/>
    <hyperlink ref="T99" r:id="rId547" display="▶ दृष्टि IAS"/>
    <hyperlink ref="U99" r:id="rId548" display="▶ BPSC वाला"/>
    <hyperlink ref="V99" r:id="rId549" display="▶ BPSC वाला"/>
    <hyperlink ref="Y99" r:id="rId550" display="📖 पढ़ें: दृष्टि • विजन • NCERT • जागरण जोश • GKToday"/>
    <hyperlink ref="J100" r:id="rId551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100" r:id="rId552" display="वेबसाइट पर पढ़ें: drishtiias.com • visionias.in • ncert.nic.in (क्लिक करें)"/>
    <hyperlink ref="T100" r:id="rId553" display="▶ दृष्टि IAS"/>
    <hyperlink ref="U100" r:id="rId554" display="▶ BPSC वाला"/>
    <hyperlink ref="V100" r:id="rId555" display="▶ BPSC वाला"/>
    <hyperlink ref="Y100" r:id="rId556" display="📖 पढ़ें: दृष्टि • विजन • NCERT • जागरण जोश • GKToday"/>
    <hyperlink ref="J101" r:id="rId557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101" r:id="rId558" display="वेबसाइट पर पढ़ें: drishtiias.com • visionias.in • ncert.nic.in (क्लिक करें)"/>
    <hyperlink ref="T101" r:id="rId559" display="▶ दृष्टि IAS"/>
    <hyperlink ref="U101" r:id="rId560" display="▶ BPSC वाला"/>
    <hyperlink ref="V101" r:id="rId561" display="▶ BPSC वाला"/>
    <hyperlink ref="Y101" r:id="rId562" display="📖 पढ़ें: दृष्टि • विजन • NCERT • जागरण जोश • GKToday"/>
    <hyperlink ref="J102" r:id="rId563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102" r:id="rId564" display="वेबसाइट पर पढ़ें: drishtiias.com • visionias.in • ncert.nic.in (क्लिक करें)"/>
    <hyperlink ref="T102" r:id="rId565" display="▶ दृष्टि IAS"/>
    <hyperlink ref="U102" r:id="rId566" display="▶ BPSC वाला"/>
    <hyperlink ref="V102" r:id="rId567" display="▶ BPSC वाला"/>
    <hyperlink ref="Y102" r:id="rId568" display="📖 पढ़ें: दृष्टि • विजन • NCERT • जागरण जोश • GKToday"/>
    <hyperlink ref="J103" r:id="rId569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103" r:id="rId570" display="वेबसाइट पर पढ़ें: drishtiias.com • visionias.in • ncert.nic.in (क्लिक करें)"/>
    <hyperlink ref="T103" r:id="rId571" display="▶ दृष्टि IAS"/>
    <hyperlink ref="U103" r:id="rId572" display="▶ BPSC वाला"/>
    <hyperlink ref="V103" r:id="rId573" display="▶ BPSC वाला"/>
    <hyperlink ref="Y103" r:id="rId574" display="📖 पढ़ें: दृष्टि • विजन • NCERT • जागरण जोश • GKToday"/>
    <hyperlink ref="J104" r:id="rId575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04" r:id="rId576" display="वेबसाइट पर पढ़ें: drishtiias.com • visionias.in • pib.gov.in (क्लिक करें)"/>
    <hyperlink ref="T104" r:id="rId577" display="▶ दृष्टि IAS"/>
    <hyperlink ref="U104" r:id="rId578" display="▶ BPSC वाला"/>
    <hyperlink ref="V104" r:id="rId579" display="▶ BPSC वाला"/>
    <hyperlink ref="J105" r:id="rId580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105" r:id="rId581" display="वेबसाइट पर पढ़ें: drishtiias.com • visionias.in • ncert.nic.in (क्लिक करें)"/>
    <hyperlink ref="T105" r:id="rId582" display="▶ दृष्टि IAS"/>
    <hyperlink ref="U105" r:id="rId583" display="▶ BPSC वाला"/>
    <hyperlink ref="V105" r:id="rId584" display="▶ BPSC वाला"/>
    <hyperlink ref="Y105" r:id="rId585" display="📖 पढ़ें: दृष्टि • विजन • NCERT • जागरण जोश • GKToday"/>
    <hyperlink ref="J106" r:id="rId586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106" r:id="rId587" display="वेबसाइट पर पढ़ें: drishtiias.com • visionias.in • ncert.nic.in (क्लिक करें)"/>
    <hyperlink ref="T106" r:id="rId588" display="▶ दृष्टि IAS"/>
    <hyperlink ref="U106" r:id="rId589" display="▶ BPSC वाला"/>
    <hyperlink ref="V106" r:id="rId590" display="▶ BPSC वाला"/>
    <hyperlink ref="Y106" r:id="rId591" display="📖 पढ़ें: दृष्टि • विजन • NCERT • जागरण जोश • GKToday"/>
    <hyperlink ref="J107" r:id="rId592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107" r:id="rId593" display="वेबसाइट पर पढ़ें: drishtiias.com • visionias.in • prsindia.org (क्लिक करें)"/>
    <hyperlink ref="T107" r:id="rId594" display="▶ दृष्टि IAS"/>
    <hyperlink ref="U107" r:id="rId595" display="▶ BPSC वाला"/>
    <hyperlink ref="V107" r:id="rId596" display="▶ BPSC वाला"/>
    <hyperlink ref="Y107" r:id="rId597" display="📖 पढ़ें: दृष्टि • विजन • NCERT • जागरण जोश • GKToday"/>
    <hyperlink ref="J108" r:id="rId598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108" r:id="rId599" display="वेबसाइट पर पढ़ें: drishtiias.com • visionias.in • prsindia.org (क्लिक करें)"/>
    <hyperlink ref="T108" r:id="rId600" display="▶ दृष्टि IAS"/>
    <hyperlink ref="U108" r:id="rId601" display="▶ BPSC वाला"/>
    <hyperlink ref="V108" r:id="rId602" display="▶ BPSC वाला"/>
    <hyperlink ref="Y108" r:id="rId603" display="📖 पढ़ें: दृष्टि • विजन • NCERT • जागरण जोश • GKToday"/>
    <hyperlink ref="J109" r:id="rId604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109" r:id="rId605" display="वेबसाइट पर पढ़ें: drishtiias.com • visionias.in • prsindia.org (क्लिक करें)"/>
    <hyperlink ref="T109" r:id="rId606" display="▶ दृष्टि IAS"/>
    <hyperlink ref="U109" r:id="rId607" display="▶ BPSC वाला"/>
    <hyperlink ref="V109" r:id="rId608" display="▶ BPSC वाला"/>
    <hyperlink ref="Y109" r:id="rId609" display="📖 पढ़ें: दृष्टि • विजन • NCERT • जागरण जोश • GKToday"/>
    <hyperlink ref="J110" r:id="rId610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110" r:id="rId611" display="वेबसाइट पर पढ़ें: drishtiias.com • visionias.in • prsindia.org (क्लिक करें)"/>
    <hyperlink ref="T110" r:id="rId612" display="▶ दृष्टि IAS"/>
    <hyperlink ref="U110" r:id="rId613" display="▶ BPSC वाला"/>
    <hyperlink ref="V110" r:id="rId614" display="▶ BPSC वाला"/>
    <hyperlink ref="Y110" r:id="rId615" display="📖 पढ़ें: दृष्टि • विजन • NCERT • जागरण जोश • GKToday"/>
    <hyperlink ref="J111" r:id="rId616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11" r:id="rId617" display="वेबसाइट पर पढ़ें: drishtiias.com • visionias.in • pib.gov.in (क्लिक करें)"/>
    <hyperlink ref="T111" r:id="rId618" display="▶ दृष्टि IAS"/>
    <hyperlink ref="U111" r:id="rId619" display="▶ BPSC वाला"/>
    <hyperlink ref="V111" r:id="rId620" display="▶ BPSC वाला"/>
    <hyperlink ref="J112" r:id="rId621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112" r:id="rId622" display="वेबसाइट पर पढ़ें: drishtiias.com • visionias.in • prsindia.org (क्लिक करें)"/>
    <hyperlink ref="T112" r:id="rId623" display="▶ दृष्टि IAS"/>
    <hyperlink ref="U112" r:id="rId624" display="▶ BPSC वाला"/>
    <hyperlink ref="V112" r:id="rId625" display="▶ BPSC वाला"/>
    <hyperlink ref="Y112" r:id="rId626" display="📖 पढ़ें: दृष्टि • विजन • NCERT • जागरण जोश • GKToday"/>
    <hyperlink ref="J113" r:id="rId627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113" r:id="rId628" display="वेबसाइट पर पढ़ें: drishtiias.com • visionias.in • prsindia.org (क्लिक करें)"/>
    <hyperlink ref="T113" r:id="rId629" display="▶ दृष्टि IAS"/>
    <hyperlink ref="U113" r:id="rId630" display="▶ BPSC वाला"/>
    <hyperlink ref="V113" r:id="rId631" display="▶ BPSC वाला"/>
    <hyperlink ref="Y113" r:id="rId632" display="📖 पढ़ें: दृष्टि • विजन • NCERT • जागरण जोश • GKToday"/>
    <hyperlink ref="J114" r:id="rId633" display="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"/>
    <hyperlink ref="K114" r:id="rId634" display="वेबसाइट पर पढ़ें: drishtiias.com • visionias.in • prsindia.org (क्लिक करें)"/>
    <hyperlink ref="T114" r:id="rId635" display="▶ दृष्टि IAS"/>
    <hyperlink ref="U114" r:id="rId636" display="▶ BPSC वाला"/>
    <hyperlink ref="V114" r:id="rId637" display="▶ BPSC वाला"/>
    <hyperlink ref="Y114" r:id="rId638" display="📖 पढ़ें: दृष्टि • विजन • NCERT • जागरण जोश • GKToday"/>
    <hyperlink ref="J115" r:id="rId639" display="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"/>
    <hyperlink ref="K115" r:id="rId640" display="वेबसाइट पर पढ़ें: drishtiias.com • visionias.in • prsindia.org (क्लिक करें)"/>
    <hyperlink ref="T115" r:id="rId641" display="▶ दृष्टि IAS"/>
    <hyperlink ref="U115" r:id="rId642" display="▶ BPSC वाला"/>
    <hyperlink ref="V115" r:id="rId643" display="▶ BPSC वाला"/>
    <hyperlink ref="Y115" r:id="rId644" display="📖 पढ़ें: दृष्टि • विजन • NCERT • जागरण जोश • GKToday"/>
    <hyperlink ref="J116" r:id="rId645" display="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"/>
    <hyperlink ref="K116" r:id="rId646" display="वेबसाइट पर पढ़ें: drishtiias.com • visionias.in • prsindia.org (क्लिक करें)"/>
    <hyperlink ref="T116" r:id="rId647" display="▶ दृष्टि IAS"/>
    <hyperlink ref="U116" r:id="rId648" display="▶ BPSC वाला"/>
    <hyperlink ref="V116" r:id="rId649" display="▶ BPSC वाला"/>
    <hyperlink ref="Y116" r:id="rId650" display="📖 पढ़ें: दृष्टि • विजन • NCERT • जागरण जोश • GKToday"/>
    <hyperlink ref="J117" r:id="rId651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117" r:id="rId652" display="वेबसाइट पर पढ़ें: drishtiias.com • visionias.in • prsindia.org (क्लिक करें)"/>
    <hyperlink ref="T117" r:id="rId653" display="▶ दृष्टि IAS"/>
    <hyperlink ref="U117" r:id="rId654" display="▶ BPSC वाला"/>
    <hyperlink ref="V117" r:id="rId655" display="▶ BPSC वाला"/>
    <hyperlink ref="Y117" r:id="rId656" display="📖 पढ़ें: दृष्टि • विजन • NCERT • जागरण जोश • GKToday"/>
    <hyperlink ref="J118" r:id="rId657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18" r:id="rId658" display="वेबसाइट पर पढ़ें: drishtiias.com • visionias.in • pib.gov.in (क्लिक करें)"/>
    <hyperlink ref="T118" r:id="rId659" display="▶ दृष्टि IAS"/>
    <hyperlink ref="U118" r:id="rId660" display="▶ BPSC वाला"/>
    <hyperlink ref="V118" r:id="rId661" display="▶ BPSC वाला"/>
    <hyperlink ref="J119" r:id="rId662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119" r:id="rId663" display="वेबसाइट पर पढ़ें: drishtiias.com • visionias.in • prsindia.org (क्लिक करें)"/>
    <hyperlink ref="T119" r:id="rId664" display="▶ दृष्टि IAS"/>
    <hyperlink ref="U119" r:id="rId665" display="▶ BPSC वाला"/>
    <hyperlink ref="V119" r:id="rId666" display="▶ BPSC वाला"/>
    <hyperlink ref="Y119" r:id="rId667" display="📖 पढ़ें: दृष्टि • विजन • NCERT • जागरण जोश • GKToday"/>
    <hyperlink ref="J120" r:id="rId668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120" r:id="rId669" display="वेबसाइट पर पढ़ें: drishtiias.com • visionias.in • prsindia.org (क्लिक करें)"/>
    <hyperlink ref="T120" r:id="rId670" display="▶ दृष्टि IAS"/>
    <hyperlink ref="U120" r:id="rId671" display="▶ BPSC वाला"/>
    <hyperlink ref="V120" r:id="rId672" display="▶ BPSC वाला"/>
    <hyperlink ref="Y120" r:id="rId673" display="📖 पढ़ें: दृष्टि • विजन • NCERT • जागरण जोश • GKToday"/>
    <hyperlink ref="J121" r:id="rId674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121" r:id="rId675" display="वेबसाइट पर पढ़ें: drishtiias.com • visionias.in • prsindia.org (क्लिक करें)"/>
    <hyperlink ref="T121" r:id="rId676" display="▶ दृष्टि IAS"/>
    <hyperlink ref="U121" r:id="rId677" display="▶ BPSC वाला"/>
    <hyperlink ref="V121" r:id="rId678" display="▶ BPSC वाला"/>
    <hyperlink ref="Y121" r:id="rId679" display="📖 पढ़ें: दृष्टि • विजन • NCERT • जागरण जोश • GKToday"/>
    <hyperlink ref="J122" r:id="rId680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122" r:id="rId681" display="वेबसाइट पर पढ़ें: drishtiias.com • visionias.in • prsindia.org (क्लिक करें)"/>
    <hyperlink ref="T122" r:id="rId682" display="▶ दृष्टि IAS"/>
    <hyperlink ref="U122" r:id="rId683" display="▶ BPSC वाला"/>
    <hyperlink ref="V122" r:id="rId684" display="▶ BPSC वाला"/>
    <hyperlink ref="Y122" r:id="rId685" display="📖 पढ़ें: दृष्टि • विजन • NCERT • जागरण जोश • GKToday"/>
    <hyperlink ref="J123" r:id="rId686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123" r:id="rId687" display="वेबसाइट पर पढ़ें: drishtiias.com • visionias.in • prsindia.org (क्लिक करें)"/>
    <hyperlink ref="T123" r:id="rId688" display="▶ दृष्टि IAS"/>
    <hyperlink ref="U123" r:id="rId689" display="▶ BPSC वाला"/>
    <hyperlink ref="V123" r:id="rId690" display="▶ BPSC वाला"/>
    <hyperlink ref="Y123" r:id="rId691" display="📖 पढ़ें: दृष्टि • विजन • NCERT • जागरण जोश • GKToday"/>
    <hyperlink ref="J124" r:id="rId692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124" r:id="rId693" display="वेबसाइट पर पढ़ें: drishtiias.com • visionias.in • prsindia.org (क्लिक करें)"/>
    <hyperlink ref="T124" r:id="rId694" display="▶ दृष्टि IAS"/>
    <hyperlink ref="U124" r:id="rId695" display="▶ BPSC वाला"/>
    <hyperlink ref="V124" r:id="rId696" display="▶ BPSC वाला"/>
    <hyperlink ref="Y124" r:id="rId697" display="📖 पढ़ें: दृष्टि • विजन • NCERT • जागरण जोश • GKToday"/>
    <hyperlink ref="J125" r:id="rId69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25" r:id="rId699" display="वेबसाइट पर पढ़ें: drishtiias.com • visionias.in • pib.gov.in (क्लिक करें)"/>
    <hyperlink ref="T125" r:id="rId700" display="▶ दृष्टि IAS"/>
    <hyperlink ref="U125" r:id="rId701" display="▶ BPSC वाला"/>
    <hyperlink ref="V125" r:id="rId702" display="▶ BPSC वाला"/>
    <hyperlink ref="J126" r:id="rId703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126" r:id="rId704" display="वेबसाइट पर पढ़ें: drishtiias.com • visionias.in • prsindia.org (क्लिक करें)"/>
    <hyperlink ref="T126" r:id="rId705" display="▶ दृष्टि IAS"/>
    <hyperlink ref="U126" r:id="rId706" display="▶ BPSC वाला"/>
    <hyperlink ref="V126" r:id="rId707" display="▶ BPSC वाला"/>
    <hyperlink ref="Y126" r:id="rId708" display="📖 पढ़ें: दृष्टि • विजन • NCERT • जागरण जोश • GKToday"/>
    <hyperlink ref="J127" r:id="rId709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127" r:id="rId710" display="वेबसाइट पर पढ़ें: drishtiias.com • visionias.in • prsindia.org (क्लिक करें)"/>
    <hyperlink ref="T127" r:id="rId711" display="▶ दृष्टि IAS"/>
    <hyperlink ref="U127" r:id="rId712" display="▶ BPSC वाला"/>
    <hyperlink ref="V127" r:id="rId713" display="▶ BPSC वाला"/>
    <hyperlink ref="Y127" r:id="rId714" display="📖 पढ़ें: दृष्टि • विजन • NCERT • जागरण जोश • GKToday"/>
    <hyperlink ref="J128" r:id="rId715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128" r:id="rId716" display="वेबसाइट पर पढ़ें: drishtiias.com • visionias.in • prsindia.org (क्लिक करें)"/>
    <hyperlink ref="T128" r:id="rId717" display="▶ दृष्टि IAS"/>
    <hyperlink ref="U128" r:id="rId718" display="▶ BPSC वाला"/>
    <hyperlink ref="V128" r:id="rId719" display="▶ BPSC वाला"/>
    <hyperlink ref="Y128" r:id="rId720" display="📖 पढ़ें: दृष्टि • विजन • NCERT • जागरण जोश • GKToday"/>
    <hyperlink ref="J129" r:id="rId721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129" r:id="rId722" display="वेबसाइट पर पढ़ें: drishtiias.com • visionias.in • prsindia.org (क्लिक करें)"/>
    <hyperlink ref="T129" r:id="rId723" display="▶ दृष्टि IAS"/>
    <hyperlink ref="U129" r:id="rId724" display="▶ BPSC वाला"/>
    <hyperlink ref="V129" r:id="rId725" display="▶ BPSC वाला"/>
    <hyperlink ref="Y129" r:id="rId726" display="📖 पढ़ें: दृष्टि • विजन • NCERT • जागरण जोश • GKToday"/>
    <hyperlink ref="J130" r:id="rId727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130" r:id="rId728" display="वेबसाइट पर पढ़ें: drishtiias.com • visionias.in • prsindia.org (क्लिक करें)"/>
    <hyperlink ref="T130" r:id="rId729" display="▶ दृष्टि IAS"/>
    <hyperlink ref="U130" r:id="rId730" display="▶ BPSC वाला"/>
    <hyperlink ref="V130" r:id="rId731" display="▶ BPSC वाला"/>
    <hyperlink ref="Y130" r:id="rId732" display="📖 पढ़ें: दृष्टि • विजन • NCERT • जागरण जोश • GKToday"/>
    <hyperlink ref="J131" r:id="rId733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131" r:id="rId734" display="वेबसाइट पर पढ़ें: drishtiias.com • visionias.in • prsindia.org (क्लिक करें)"/>
    <hyperlink ref="T131" r:id="rId735" display="▶ दृष्टि IAS"/>
    <hyperlink ref="U131" r:id="rId736" display="▶ BPSC वाला"/>
    <hyperlink ref="V131" r:id="rId737" display="▶ BPSC वाला"/>
    <hyperlink ref="Y131" r:id="rId738" display="📖 पढ़ें: दृष्टि • विजन • NCERT • जागरण जोश • GKToday"/>
    <hyperlink ref="J132" r:id="rId739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32" r:id="rId740" display="वेबसाइट पर पढ़ें: drishtiias.com • visionias.in • pib.gov.in (क्लिक करें)"/>
    <hyperlink ref="T132" r:id="rId741" display="▶ दृष्टि IAS"/>
    <hyperlink ref="U132" r:id="rId742" display="▶ BPSC वाला"/>
    <hyperlink ref="V132" r:id="rId743" display="▶ BPSC वाला"/>
    <hyperlink ref="J133" r:id="rId744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133" r:id="rId745" display="वेबसाइट पर पढ़ें: drishtiias.com • visionias.in • prsindia.org (क्लिक करें)"/>
    <hyperlink ref="T133" r:id="rId746" display="▶ दृष्टि IAS"/>
    <hyperlink ref="U133" r:id="rId747" display="▶ BPSC वाला"/>
    <hyperlink ref="V133" r:id="rId748" display="▶ BPSC वाला"/>
    <hyperlink ref="Y133" r:id="rId749" display="📖 पढ़ें: दृष्टि • विजन • NCERT • जागरण जोश • GKToday"/>
    <hyperlink ref="J134" r:id="rId750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134" r:id="rId751" display="वेबसाइट पर पढ़ें: drishtiias.com • visionias.in • prsindia.org (क्लिक करें)"/>
    <hyperlink ref="T134" r:id="rId752" display="▶ दृष्टि IAS"/>
    <hyperlink ref="U134" r:id="rId753" display="▶ BPSC वाला"/>
    <hyperlink ref="V134" r:id="rId754" display="▶ BPSC वाला"/>
    <hyperlink ref="Y134" r:id="rId755" display="📖 पढ़ें: दृष्टि • विजन • NCERT • जागरण जोश • GKToday"/>
    <hyperlink ref="J135" r:id="rId756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135" r:id="rId757" display="वेबसाइट पर पढ़ें: drishtiias.com • visionias.in • prsindia.org (क्लिक करें)"/>
    <hyperlink ref="T135" r:id="rId758" display="▶ दृष्टि IAS"/>
    <hyperlink ref="U135" r:id="rId759" display="▶ BPSC वाला"/>
    <hyperlink ref="V135" r:id="rId760" display="▶ BPSC वाला"/>
    <hyperlink ref="Y135" r:id="rId761" display="📖 पढ़ें: दृष्टि • विजन • NCERT • जागरण जोश • GKToday"/>
    <hyperlink ref="J136" r:id="rId762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136" r:id="rId763" display="वेबसाइट पर पढ़ें: drishtiias.com • visionias.in • prsindia.org (क्लिक करें)"/>
    <hyperlink ref="T136" r:id="rId764" display="▶ दृष्टि IAS"/>
    <hyperlink ref="U136" r:id="rId765" display="▶ BPSC वाला"/>
    <hyperlink ref="V136" r:id="rId766" display="▶ BPSC वाला"/>
    <hyperlink ref="Y136" r:id="rId767" display="📖 पढ़ें: दृष्टि • विजन • NCERT • जागरण जोश • GKToday"/>
    <hyperlink ref="J137" r:id="rId768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137" r:id="rId769" display="वेबसाइट पर पढ़ें: drishtiias.com • visionias.in • prsindia.org (क्लिक करें)"/>
    <hyperlink ref="T137" r:id="rId770" display="▶ दृष्टि IAS"/>
    <hyperlink ref="U137" r:id="rId771" display="▶ BPSC वाला"/>
    <hyperlink ref="V137" r:id="rId772" display="▶ BPSC वाला"/>
    <hyperlink ref="Y137" r:id="rId773" display="📖 पढ़ें: दृष्टि • विजन • NCERT • जागरण जोश • GKToday"/>
    <hyperlink ref="J138" r:id="rId774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138" r:id="rId775" display="वेबसाइट पर पढ़ें: drishtiias.com • visionias.in • prsindia.org (क्लिक करें)"/>
    <hyperlink ref="T138" r:id="rId776" display="▶ दृष्टि IAS"/>
    <hyperlink ref="U138" r:id="rId777" display="▶ BPSC वाला"/>
    <hyperlink ref="V138" r:id="rId778" display="▶ BPSC वाला"/>
    <hyperlink ref="Y138" r:id="rId779" display="📖 पढ़ें: दृष्टि • विजन • NCERT • जागरण जोश • GKToday"/>
    <hyperlink ref="J139" r:id="rId780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39" r:id="rId781" display="वेबसाइट पर पढ़ें: drishtiias.com • visionias.in • pib.gov.in (क्लिक करें)"/>
    <hyperlink ref="T139" r:id="rId782" display="▶ दृष्टि IAS"/>
    <hyperlink ref="U139" r:id="rId783" display="▶ BPSC वाला"/>
    <hyperlink ref="V139" r:id="rId784" display="▶ BPSC वाला"/>
    <hyperlink ref="J140" r:id="rId785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140" r:id="rId786" display="वेबसाइट पर पढ़ें: drishtiias.com • visionias.in • prsindia.org (क्लिक करें)"/>
    <hyperlink ref="T140" r:id="rId787" display="▶ दृष्टि IAS"/>
    <hyperlink ref="U140" r:id="rId788" display="▶ BPSC वाला"/>
    <hyperlink ref="V140" r:id="rId789" display="▶ BPSC वाला"/>
    <hyperlink ref="Y140" r:id="rId790" display="📖 पढ़ें: दृष्टि • विजन • NCERT • जागरण जोश • GKToday"/>
    <hyperlink ref="J141" r:id="rId791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141" r:id="rId792" display="वेबसाइट पर पढ़ें: drishtiias.com • visionias.in • prsindia.org (क्लिक करें)"/>
    <hyperlink ref="T141" r:id="rId793" display="▶ दृष्टि IAS"/>
    <hyperlink ref="U141" r:id="rId794" display="▶ BPSC वाला"/>
    <hyperlink ref="V141" r:id="rId795" display="▶ BPSC वाला"/>
    <hyperlink ref="Y141" r:id="rId796" display="📖 पढ़ें: दृष्टि • विजन • NCERT • जागरण जोश • GKToday"/>
    <hyperlink ref="J142" r:id="rId797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142" r:id="rId798" display="वेबसाइट पर पढ़ें: drishtiias.com • visionias.in • prsindia.org (क्लिक करें)"/>
    <hyperlink ref="T142" r:id="rId799" display="▶ दृष्टि IAS"/>
    <hyperlink ref="U142" r:id="rId800" display="▶ BPSC वाला"/>
    <hyperlink ref="V142" r:id="rId801" display="▶ BPSC वाला"/>
    <hyperlink ref="Y142" r:id="rId802" display="📖 पढ़ें: दृष्टि • विजन • NCERT • जागरण जोश • GKToday"/>
    <hyperlink ref="J143" r:id="rId803" display="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"/>
    <hyperlink ref="K143" r:id="rId804" display="वेबसाइट पर पढ़ें: drishtiias.com • visionias.in • prsindia.org (क्लिक करें)"/>
    <hyperlink ref="T143" r:id="rId805" display="▶ दृष्टि IAS"/>
    <hyperlink ref="U143" r:id="rId806" display="▶ BPSC वाला"/>
    <hyperlink ref="V143" r:id="rId807" display="▶ BPSC वाला"/>
    <hyperlink ref="Y143" r:id="rId808" display="📖 पढ़ें: दृष्टि • विजन • NCERT • जागरण जोश • GKToday"/>
    <hyperlink ref="J144" r:id="rId809" display="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"/>
    <hyperlink ref="K144" r:id="rId810" display="वेबसाइट पर पढ़ें: drishtiias.com • visionias.in • prsindia.org (क्लिक करें)"/>
    <hyperlink ref="T144" r:id="rId811" display="▶ दृष्टि IAS"/>
    <hyperlink ref="U144" r:id="rId812" display="▶ BPSC वाला"/>
    <hyperlink ref="V144" r:id="rId813" display="▶ BPSC वाला"/>
    <hyperlink ref="Y144" r:id="rId814" display="📖 पढ़ें: दृष्टि • विजन • NCERT • जागरण जोश • GKToday"/>
    <hyperlink ref="J145" r:id="rId815" display="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"/>
    <hyperlink ref="K145" r:id="rId816" display="वेबसाइट पर पढ़ें: drishtiias.com • visionias.in • prsindia.org (क्लिक करें)"/>
    <hyperlink ref="T145" r:id="rId817" display="▶ दृष्टि IAS"/>
    <hyperlink ref="U145" r:id="rId818" display="▶ BPSC वाला"/>
    <hyperlink ref="V145" r:id="rId819" display="▶ BPSC वाला"/>
    <hyperlink ref="Y145" r:id="rId820" display="📖 पढ़ें: दृष्टि • विजन • NCERT • जागरण जोश • GKToday"/>
    <hyperlink ref="J146" r:id="rId821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46" r:id="rId822" display="वेबसाइट पर पढ़ें: drishtiias.com • visionias.in • pib.gov.in (क्लिक करें)"/>
    <hyperlink ref="T146" r:id="rId823" display="▶ दृष्टि IAS"/>
    <hyperlink ref="U146" r:id="rId824" display="▶ BPSC वाला"/>
    <hyperlink ref="V146" r:id="rId825" display="▶ BPSC वाला"/>
    <hyperlink ref="J147" r:id="rId826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147" r:id="rId827" display="वेबसाइट पर पढ़ें: drishtiias.com • visionias.in • pib.gov.in • indiabudget.gov.in (क्लिक करें)"/>
    <hyperlink ref="T147" r:id="rId828" display="▶ दृष्टि IAS"/>
    <hyperlink ref="U147" r:id="rId829" display="▶ BPSC वाला"/>
    <hyperlink ref="V147" r:id="rId830" display="▶ BPSC वाला"/>
    <hyperlink ref="Y147" r:id="rId831" display="📖 पढ़ें: दृष्टि • विजन • NCERT • जागरण जोश • GKToday"/>
    <hyperlink ref="J148" r:id="rId832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148" r:id="rId833" display="वेबसाइट पर पढ़ें: drishtiias.com • visionias.in • pib.gov.in • indiabudget.gov.in (क्लिक करें)"/>
    <hyperlink ref="T148" r:id="rId834" display="▶ दृष्टि IAS"/>
    <hyperlink ref="U148" r:id="rId835" display="▶ BPSC वाला"/>
    <hyperlink ref="V148" r:id="rId836" display="▶ BPSC वाला"/>
    <hyperlink ref="Y148" r:id="rId837" display="📖 पढ़ें: दृष्टि • विजन • NCERT • जागरण जोश • GKToday"/>
    <hyperlink ref="J149" r:id="rId838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149" r:id="rId839" display="वेबसाइट पर पढ़ें: drishtiias.com • visionias.in • pib.gov.in • indiabudget.gov.in (क्लिक करें)"/>
    <hyperlink ref="T149" r:id="rId840" display="▶ दृष्टि IAS"/>
    <hyperlink ref="U149" r:id="rId841" display="▶ BPSC वाला"/>
    <hyperlink ref="V149" r:id="rId842" display="▶ BPSC वाला"/>
    <hyperlink ref="Y149" r:id="rId843" display="📖 पढ़ें: दृष्टि • विजन • NCERT • जागरण जोश • GKToday"/>
    <hyperlink ref="J150" r:id="rId844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150" r:id="rId845" display="वेबसाइट पर पढ़ें: drishtiias.com • visionias.in • pib.gov.in • indiabudget.gov.in (क्लिक करें)"/>
    <hyperlink ref="T150" r:id="rId846" display="▶ दृष्टि IAS"/>
    <hyperlink ref="U150" r:id="rId847" display="▶ BPSC वाला"/>
    <hyperlink ref="V150" r:id="rId848" display="▶ BPSC वाला"/>
    <hyperlink ref="Y150" r:id="rId849" display="📖 पढ़ें: दृष्टि • विजन • NCERT • जागरण जोश • GKToday"/>
    <hyperlink ref="J151" r:id="rId850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151" r:id="rId851" display="वेबसाइट पर पढ़ें: drishtiias.com • visionias.in • pib.gov.in • indiabudget.gov.in (क्लिक करें)"/>
    <hyperlink ref="T151" r:id="rId852" display="▶ दृष्टि IAS"/>
    <hyperlink ref="U151" r:id="rId853" display="▶ BPSC वाला"/>
    <hyperlink ref="V151" r:id="rId854" display="▶ BPSC वाला"/>
    <hyperlink ref="Y151" r:id="rId855" display="📖 पढ़ें: दृष्टि • विजन • NCERT • जागरण जोश • GKToday"/>
    <hyperlink ref="J152" r:id="rId856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152" r:id="rId857" display="वेबसाइट पर पढ़ें: drishtiias.com • visionias.in • pib.gov.in • indiabudget.gov.in (क्लिक करें)"/>
    <hyperlink ref="T152" r:id="rId858" display="▶ दृष्टि IAS"/>
    <hyperlink ref="U152" r:id="rId859" display="▶ BPSC वाला"/>
    <hyperlink ref="V152" r:id="rId860" display="▶ BPSC वाला"/>
    <hyperlink ref="Y152" r:id="rId861" display="📖 पढ़ें: दृष्टि • विजन • NCERT • जागरण जोश • GKToday"/>
    <hyperlink ref="J153" r:id="rId862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53" r:id="rId863" display="वेबसाइट पर पढ़ें: drishtiias.com • visionias.in • pib.gov.in (क्लिक करें)"/>
    <hyperlink ref="T153" r:id="rId864" display="▶ दृष्टि IAS"/>
    <hyperlink ref="U153" r:id="rId865" display="▶ BPSC वाला"/>
    <hyperlink ref="V153" r:id="rId866" display="▶ BPSC वाला"/>
    <hyperlink ref="J154" r:id="rId867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154" r:id="rId868" display="वेबसाइट पर पढ़ें: drishtiias.com • visionias.in • pib.gov.in • indiabudget.gov.in (क्लिक करें)"/>
    <hyperlink ref="T154" r:id="rId869" display="▶ दृष्टि IAS"/>
    <hyperlink ref="U154" r:id="rId870" display="▶ BPSC वाला"/>
    <hyperlink ref="V154" r:id="rId871" display="▶ BPSC वाला"/>
    <hyperlink ref="Y154" r:id="rId872" display="📖 पढ़ें: दृष्टि • विजन • NCERT • जागरण जोश • GKToday"/>
    <hyperlink ref="J155" r:id="rId873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155" r:id="rId874" display="वेबसाइट पर पढ़ें: drishtiias.com • visionias.in • pib.gov.in • indiabudget.gov.in (क्लिक करें)"/>
    <hyperlink ref="T155" r:id="rId875" display="▶ दृष्टि IAS"/>
    <hyperlink ref="U155" r:id="rId876" display="▶ BPSC वाला"/>
    <hyperlink ref="V155" r:id="rId877" display="▶ BPSC वाला"/>
    <hyperlink ref="Y155" r:id="rId878" display="📖 पढ़ें: दृष्टि • विजन • NCERT • जागरण जोश • GKToday"/>
    <hyperlink ref="J156" r:id="rId879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156" r:id="rId880" display="वेबसाइट पर पढ़ें: drishtiias.com • visionias.in • pib.gov.in • indiabudget.gov.in (क्लिक करें)"/>
    <hyperlink ref="T156" r:id="rId881" display="▶ दृष्टि IAS"/>
    <hyperlink ref="U156" r:id="rId882" display="▶ BPSC वाला"/>
    <hyperlink ref="V156" r:id="rId883" display="▶ BPSC वाला"/>
    <hyperlink ref="Y156" r:id="rId884" display="📖 पढ़ें: दृष्टि • विजन • NCERT • जागरण जोश • GKToday"/>
    <hyperlink ref="J157" r:id="rId885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157" r:id="rId886" display="वेबसाइट पर पढ़ें: drishtiias.com • visionias.in • pib.gov.in • indiabudget.gov.in (क्लिक करें)"/>
    <hyperlink ref="T157" r:id="rId887" display="▶ दृष्टि IAS"/>
    <hyperlink ref="U157" r:id="rId888" display="▶ BPSC वाला"/>
    <hyperlink ref="V157" r:id="rId889" display="▶ BPSC वाला"/>
    <hyperlink ref="Y157" r:id="rId890" display="📖 पढ़ें: दृष्टि • विजन • NCERT • जागरण जोश • GKToday"/>
    <hyperlink ref="J158" r:id="rId891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158" r:id="rId892" display="वेबसाइट पर पढ़ें: drishtiias.com • visionias.in • pib.gov.in • indiabudget.gov.in (क्लिक करें)"/>
    <hyperlink ref="T158" r:id="rId893" display="▶ दृष्टि IAS"/>
    <hyperlink ref="U158" r:id="rId894" display="▶ BPSC वाला"/>
    <hyperlink ref="V158" r:id="rId895" display="▶ BPSC वाला"/>
    <hyperlink ref="Y158" r:id="rId896" display="📖 पढ़ें: दृष्टि • विजन • NCERT • जागरण जोश • GKToday"/>
    <hyperlink ref="J159" r:id="rId897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159" r:id="rId898" display="वेबसाइट पर पढ़ें: drishtiias.com • visionias.in • pib.gov.in • indiabudget.gov.in (क्लिक करें)"/>
    <hyperlink ref="T159" r:id="rId899" display="▶ दृष्टि IAS"/>
    <hyperlink ref="U159" r:id="rId900" display="▶ BPSC वाला"/>
    <hyperlink ref="V159" r:id="rId901" display="▶ BPSC वाला"/>
    <hyperlink ref="Y159" r:id="rId902" display="📖 पढ़ें: दृष्टि • विजन • NCERT • जागरण जोश • GKToday"/>
    <hyperlink ref="J160" r:id="rId90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60" r:id="rId904" display="वेबसाइट पर पढ़ें: drishtiias.com • visionias.in • pib.gov.in (क्लिक करें)"/>
    <hyperlink ref="T160" r:id="rId905" display="▶ दृष्टि IAS"/>
    <hyperlink ref="U160" r:id="rId906" display="▶ BPSC वाला"/>
    <hyperlink ref="V160" r:id="rId907" display="▶ BPSC वाला"/>
    <hyperlink ref="J161" r:id="rId908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161" r:id="rId909" display="वेबसाइट पर पढ़ें: drishtiias.com • visionias.in • pib.gov.in • indiabudget.gov.in (क्लिक करें)"/>
    <hyperlink ref="T161" r:id="rId910" display="▶ दृष्टि IAS"/>
    <hyperlink ref="U161" r:id="rId911" display="▶ BPSC वाला"/>
    <hyperlink ref="V161" r:id="rId912" display="▶ BPSC वाला"/>
    <hyperlink ref="Y161" r:id="rId913" display="📖 पढ़ें: दृष्टि • विजन • NCERT • जागरण जोश • GKToday"/>
    <hyperlink ref="J162" r:id="rId914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162" r:id="rId915" display="वेबसाइट पर पढ़ें: drishtiias.com • visionias.in • pib.gov.in • indiabudget.gov.in (क्लिक करें)"/>
    <hyperlink ref="T162" r:id="rId916" display="▶ दृष्टि IAS"/>
    <hyperlink ref="U162" r:id="rId917" display="▶ BPSC वाला"/>
    <hyperlink ref="V162" r:id="rId918" display="▶ BPSC वाला"/>
    <hyperlink ref="Y162" r:id="rId919" display="📖 पढ़ें: दृष्टि • विजन • NCERT • जागरण जोश • GKToday"/>
    <hyperlink ref="J163" r:id="rId920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163" r:id="rId921" display="वेबसाइट पर पढ़ें: drishtiias.com • visionias.in • pib.gov.in • indiabudget.gov.in (क्लिक करें)"/>
    <hyperlink ref="T163" r:id="rId922" display="▶ दृष्टि IAS"/>
    <hyperlink ref="U163" r:id="rId923" display="▶ BPSC वाला"/>
    <hyperlink ref="V163" r:id="rId924" display="▶ BPSC वाला"/>
    <hyperlink ref="Y163" r:id="rId925" display="📖 पढ़ें: दृष्टि • विजन • NCERT • जागरण जोश • GKToday"/>
    <hyperlink ref="J164" r:id="rId926" display="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"/>
    <hyperlink ref="K164" r:id="rId927" display="वेबसाइट पर पढ़ें: drishtiias.com • visionias.in • pib.gov.in • indiabudget.gov.in (क्लिक करें)"/>
    <hyperlink ref="T164" r:id="rId928" display="▶ दृष्टि IAS"/>
    <hyperlink ref="U164" r:id="rId929" display="▶ BPSC वाला"/>
    <hyperlink ref="V164" r:id="rId930" display="▶ BPSC वाला"/>
    <hyperlink ref="Y164" r:id="rId931" display="📖 पढ़ें: दृष्टि • विजन • NCERT • जागरण जोश • GKToday"/>
    <hyperlink ref="J165" r:id="rId932" display="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"/>
    <hyperlink ref="K165" r:id="rId933" display="वेबसाइट पर पढ़ें: drishtiias.com • visionias.in • pib.gov.in • indiabudget.gov.in (क्लिक करें)"/>
    <hyperlink ref="T165" r:id="rId934" display="▶ दृष्टि IAS"/>
    <hyperlink ref="U165" r:id="rId935" display="▶ BPSC वाला"/>
    <hyperlink ref="V165" r:id="rId936" display="▶ BPSC वाला"/>
    <hyperlink ref="Y165" r:id="rId937" display="📖 पढ़ें: दृष्टि • विजन • NCERT • जागरण जोश • GKToday"/>
    <hyperlink ref="J166" r:id="rId938" display="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"/>
    <hyperlink ref="K166" r:id="rId939" display="वेबसाइट पर पढ़ें: drishtiias.com • visionias.in • pib.gov.in • indiabudget.gov.in (क्लिक करें)"/>
    <hyperlink ref="T166" r:id="rId940" display="▶ दृष्टि IAS"/>
    <hyperlink ref="U166" r:id="rId941" display="▶ BPSC वाला"/>
    <hyperlink ref="V166" r:id="rId942" display="▶ BPSC वाला"/>
    <hyperlink ref="Y166" r:id="rId943" display="📖 पढ़ें: दृष्टि • विजन • NCERT • जागरण जोश • GKToday"/>
    <hyperlink ref="J167" r:id="rId944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67" r:id="rId945" display="वेबसाइट पर पढ़ें: drishtiias.com • visionias.in • pib.gov.in (क्लिक करें)"/>
    <hyperlink ref="T167" r:id="rId946" display="▶ दृष्टि IAS"/>
    <hyperlink ref="U167" r:id="rId947" display="▶ BPSC वाला"/>
    <hyperlink ref="V167" r:id="rId948" display="▶ BPSC वाला"/>
    <hyperlink ref="J168" r:id="rId949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168" r:id="rId950" display="वेबसाइट पर पढ़ें: drishtiias.com • visionias.in • pib.gov.in • indiabudget.gov.in (क्लिक करें)"/>
    <hyperlink ref="T168" r:id="rId951" display="▶ दृष्टि IAS"/>
    <hyperlink ref="U168" r:id="rId952" display="▶ BPSC वाला"/>
    <hyperlink ref="V168" r:id="rId953" display="▶ BPSC वाला"/>
    <hyperlink ref="Y168" r:id="rId954" display="📖 पढ़ें: दृष्टि • विजन • NCERT • जागरण जोश • GKToday"/>
    <hyperlink ref="J169" r:id="rId955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169" r:id="rId956" display="वेबसाइट पर पढ़ें: drishtiias.com • visionias.in • pib.gov.in • indiabudget.gov.in (क्लिक करें)"/>
    <hyperlink ref="T169" r:id="rId957" display="▶ दृष्टि IAS"/>
    <hyperlink ref="U169" r:id="rId958" display="▶ BPSC वाला"/>
    <hyperlink ref="V169" r:id="rId959" display="▶ BPSC वाला"/>
    <hyperlink ref="Y169" r:id="rId960" display="📖 पढ़ें: दृष्टि • विजन • NCERT • जागरण जोश • GKToday"/>
    <hyperlink ref="J170" r:id="rId961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170" r:id="rId962" display="वेबसाइट पर पढ़ें: drishtiias.com • visionias.in • pib.gov.in • indiabudget.gov.in (क्लिक करें)"/>
    <hyperlink ref="T170" r:id="rId963" display="▶ दृष्टि IAS"/>
    <hyperlink ref="U170" r:id="rId964" display="▶ BPSC वाला"/>
    <hyperlink ref="V170" r:id="rId965" display="▶ BPSC वाला"/>
    <hyperlink ref="Y170" r:id="rId966" display="📖 पढ़ें: दृष्टि • विजन • NCERT • जागरण जोश • GKToday"/>
    <hyperlink ref="J171" r:id="rId967" display="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"/>
    <hyperlink ref="K171" r:id="rId968" display="वेबसाइट पर पढ़ें: drishtiias.com • visionias.in • pib.gov.in • indiabudget.gov.in (क्लिक करें)"/>
    <hyperlink ref="T171" r:id="rId969" display="▶ दृष्टि IAS"/>
    <hyperlink ref="U171" r:id="rId970" display="▶ BPSC वाला"/>
    <hyperlink ref="V171" r:id="rId971" display="▶ BPSC वाला"/>
    <hyperlink ref="Y171" r:id="rId972" display="📖 पढ़ें: दृष्टि • विजन • NCERT • जागरण जोश • GKToday"/>
    <hyperlink ref="J172" r:id="rId973" display="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"/>
    <hyperlink ref="K172" r:id="rId974" display="वेबसाइट पर पढ़ें: drishtiias.com • visionias.in • pib.gov.in • indiabudget.gov.in (क्लिक करें)"/>
    <hyperlink ref="T172" r:id="rId975" display="▶ दृष्टि IAS"/>
    <hyperlink ref="U172" r:id="rId976" display="▶ BPSC वाला"/>
    <hyperlink ref="V172" r:id="rId977" display="▶ BPSC वाला"/>
    <hyperlink ref="Y172" r:id="rId978" display="📖 पढ़ें: दृष्टि • विजन • NCERT • जागरण जोश • GKToday"/>
    <hyperlink ref="J173" r:id="rId979" display="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"/>
    <hyperlink ref="K173" r:id="rId980" display="वेबसाइट पर पढ़ें: drishtiias.com • visionias.in • pib.gov.in • indiabudget.gov.in (क्लिक करें)"/>
    <hyperlink ref="T173" r:id="rId981" display="▶ दृष्टि IAS"/>
    <hyperlink ref="U173" r:id="rId982" display="▶ BPSC वाला"/>
    <hyperlink ref="V173" r:id="rId983" display="▶ BPSC वाला"/>
    <hyperlink ref="Y173" r:id="rId984" display="📖 पढ़ें: दृष्टि • विजन • NCERT • जागरण जोश • GKToday"/>
    <hyperlink ref="J174" r:id="rId985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74" r:id="rId986" display="वेबसाइट पर पढ़ें: drishtiias.com • visionias.in • pib.gov.in (क्लिक करें)"/>
    <hyperlink ref="T174" r:id="rId987" display="▶ दृष्टि IAS"/>
    <hyperlink ref="U174" r:id="rId988" display="▶ BPSC वाला"/>
    <hyperlink ref="V174" r:id="rId989" display="▶ BPSC वाला"/>
    <hyperlink ref="J175" r:id="rId990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175" r:id="rId991" display="वेबसाइट पर पढ़ें: drishtiias.com • visionias.in • pib.gov.in • indiabudget.gov.in (क्लिक करें)"/>
    <hyperlink ref="T175" r:id="rId992" display="▶ दृष्टि IAS"/>
    <hyperlink ref="U175" r:id="rId993" display="▶ BPSC वाला"/>
    <hyperlink ref="V175" r:id="rId994" display="▶ BPSC वाला"/>
    <hyperlink ref="Y175" r:id="rId995" display="📖 पढ़ें: दृष्टि • विजन • NCERT • जागरण जोश • GKToday"/>
    <hyperlink ref="J176" r:id="rId996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176" r:id="rId997" display="वेबसाइट पर पढ़ें: drishtiias.com • visionias.in • pib.gov.in • indiabudget.gov.in (क्लिक करें)"/>
    <hyperlink ref="T176" r:id="rId998" display="▶ दृष्टि IAS"/>
    <hyperlink ref="U176" r:id="rId999" display="▶ BPSC वाला"/>
    <hyperlink ref="V176" r:id="rId1000" display="▶ BPSC वाला"/>
    <hyperlink ref="Y176" r:id="rId1001" display="📖 पढ़ें: दृष्टि • विजन • NCERT • जागरण जोश • GKToday"/>
    <hyperlink ref="J177" r:id="rId1002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177" r:id="rId1003" display="वेबसाइट पर पढ़ें: drishtiias.com • visionias.in • pib.gov.in • indiabudget.gov.in (क्लिक करें)"/>
    <hyperlink ref="T177" r:id="rId1004" display="▶ दृष्टि IAS"/>
    <hyperlink ref="U177" r:id="rId1005" display="▶ BPSC वाला"/>
    <hyperlink ref="V177" r:id="rId1006" display="▶ BPSC वाला"/>
    <hyperlink ref="Y177" r:id="rId1007" display="📖 पढ़ें: दृष्टि • विजन • NCERT • जागरण जोश • GKToday"/>
    <hyperlink ref="J178" r:id="rId1008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178" r:id="rId1009" display="वेबसाइट पर पढ़ें: drishtiias.com • visionias.in • pib.gov.in (क्लिक करें)"/>
    <hyperlink ref="T178" r:id="rId1010" display="▶ दृष्टि IAS"/>
    <hyperlink ref="U178" r:id="rId1011" display="▶ BPSC वाला"/>
    <hyperlink ref="V178" r:id="rId1012" display="▶ BPSC वाला"/>
    <hyperlink ref="Y178" r:id="rId1013" display="📖 पढ़ें: दृष्टि • विजन • NCERT • जागरण जोश • GKToday"/>
    <hyperlink ref="J179" r:id="rId1014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179" r:id="rId1015" display="वेबसाइट पर पढ़ें: drishtiias.com • visionias.in • pib.gov.in (क्लिक करें)"/>
    <hyperlink ref="T179" r:id="rId1016" display="▶ दृष्टि IAS"/>
    <hyperlink ref="U179" r:id="rId1017" display="▶ BPSC वाला"/>
    <hyperlink ref="V179" r:id="rId1018" display="▶ BPSC वाला"/>
    <hyperlink ref="Y179" r:id="rId1019" display="📖 पढ़ें: दृष्टि • विजन • NCERT • जागरण जोश • GKToday"/>
    <hyperlink ref="J180" r:id="rId1020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180" r:id="rId1021" display="वेबसाइट पर पढ़ें: drishtiias.com • visionias.in • pib.gov.in (क्लिक करें)"/>
    <hyperlink ref="T180" r:id="rId1022" display="▶ दृष्टि IAS"/>
    <hyperlink ref="U180" r:id="rId1023" display="▶ BPSC वाला"/>
    <hyperlink ref="V180" r:id="rId1024" display="▶ BPSC वाला"/>
    <hyperlink ref="Y180" r:id="rId1025" display="📖 पढ़ें: दृष्टि • विजन • NCERT • जागरण जोश • GKToday"/>
    <hyperlink ref="J181" r:id="rId1026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81" r:id="rId1027" display="वेबसाइट पर पढ़ें: drishtiias.com • visionias.in • pib.gov.in (क्लिक करें)"/>
    <hyperlink ref="T181" r:id="rId1028" display="▶ दृष्टि IAS"/>
    <hyperlink ref="U181" r:id="rId1029" display="▶ BPSC वाला"/>
    <hyperlink ref="V181" r:id="rId1030" display="▶ BPSC वाला"/>
    <hyperlink ref="J182" r:id="rId1031" display="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"/>
    <hyperlink ref="K182" r:id="rId1032" display="वेबसाइट पर पढ़ें: drishtiias.com • visionias.in • pib.gov.in (क्लिक करें)"/>
    <hyperlink ref="T182" r:id="rId1033" display="▶ दृष्टि IAS"/>
    <hyperlink ref="U182" r:id="rId1034" display="▶ BPSC वाला"/>
    <hyperlink ref="V182" r:id="rId1035" display="▶ BPSC वाला"/>
    <hyperlink ref="Y182" r:id="rId1036" display="📖 पढ़ें: दृष्टि • विजन • NCERT • जागरण जोश • GKToday"/>
    <hyperlink ref="J183" r:id="rId1037" display="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"/>
    <hyperlink ref="K183" r:id="rId1038" display="वेबसाइट पर पढ़ें: drishtiias.com • visionias.in • pib.gov.in (क्लिक करें)"/>
    <hyperlink ref="T183" r:id="rId1039" display="▶ दृष्टि IAS"/>
    <hyperlink ref="U183" r:id="rId1040" display="▶ BPSC वाला"/>
    <hyperlink ref="V183" r:id="rId1041" display="▶ BPSC वाला"/>
    <hyperlink ref="Y183" r:id="rId1042" display="📖 पढ़ें: दृष्टि • विजन • NCERT • जागरण जोश • GKToday"/>
    <hyperlink ref="J184" r:id="rId1043" display="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"/>
    <hyperlink ref="K184" r:id="rId1044" display="वेबसाइट पर पढ़ें: drishtiias.com • visionias.in • pib.gov.in (क्लिक करें)"/>
    <hyperlink ref="T184" r:id="rId1045" display="▶ दृष्टि IAS"/>
    <hyperlink ref="U184" r:id="rId1046" display="▶ BPSC वाला"/>
    <hyperlink ref="V184" r:id="rId1047" display="▶ BPSC वाला"/>
    <hyperlink ref="Y184" r:id="rId1048" display="📖 पढ़ें: दृष्टि • विजन • NCERT • जागरण जोश • GKToday"/>
    <hyperlink ref="J185" r:id="rId1049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185" r:id="rId1050" display="वेबसाइट पर पढ़ें: drishtiias.com • visionias.in • pib.gov.in (क्लिक करें)"/>
    <hyperlink ref="T185" r:id="rId1051" display="▶ दृष्टि IAS"/>
    <hyperlink ref="U185" r:id="rId1052" display="▶ BPSC वाला"/>
    <hyperlink ref="V185" r:id="rId1053" display="▶ BPSC वाला"/>
    <hyperlink ref="Y185" r:id="rId1054" display="📖 पढ़ें: दृष्टि • विजन • NCERT • जागरण जोश • GKToday"/>
    <hyperlink ref="J186" r:id="rId1055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186" r:id="rId1056" display="वेबसाइट पर पढ़ें: drishtiias.com • visionias.in • pib.gov.in (क्लिक करें)"/>
    <hyperlink ref="T186" r:id="rId1057" display="▶ दृष्टि IAS"/>
    <hyperlink ref="U186" r:id="rId1058" display="▶ BPSC वाला"/>
    <hyperlink ref="V186" r:id="rId1059" display="▶ BPSC वाला"/>
    <hyperlink ref="Y186" r:id="rId1060" display="📖 पढ़ें: दृष्टि • विजन • NCERT • जागरण जोश • GKToday"/>
    <hyperlink ref="J187" r:id="rId1061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187" r:id="rId1062" display="वेबसाइट पर पढ़ें: drishtiias.com • visionias.in • pib.gov.in (क्लिक करें)"/>
    <hyperlink ref="T187" r:id="rId1063" display="▶ दृष्टि IAS"/>
    <hyperlink ref="U187" r:id="rId1064" display="▶ BPSC वाला"/>
    <hyperlink ref="V187" r:id="rId1065" display="▶ BPSC वाला"/>
    <hyperlink ref="Y187" r:id="rId1066" display="📖 पढ़ें: दृष्टि • विजन • NCERT • जागरण जोश • GKToday"/>
    <hyperlink ref="J188" r:id="rId1067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88" r:id="rId1068" display="वेबसाइट पर पढ़ें: drishtiias.com • visionias.in • pib.gov.in (क्लिक करें)"/>
    <hyperlink ref="T188" r:id="rId1069" display="▶ दृष्टि IAS"/>
    <hyperlink ref="U188" r:id="rId1070" display="▶ BPSC वाला"/>
    <hyperlink ref="V188" r:id="rId1071" display="▶ BPSC वाला"/>
    <hyperlink ref="J189" r:id="rId1072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189" r:id="rId1073" display="वेबसाइट पर पढ़ें: drishtiias.com • visionias.in • ncert.nic.in (क्लिक करें)"/>
    <hyperlink ref="T189" r:id="rId1074" display="▶ दृष्टि IAS"/>
    <hyperlink ref="U189" r:id="rId1075" display="▶ BPSC वाला"/>
    <hyperlink ref="V189" r:id="rId1076" display="▶ BPSC वाला"/>
    <hyperlink ref="Y189" r:id="rId1077" display="📖 पढ़ें: दृष्टि • विजन • NCERT • जागरण जोश • GKToday"/>
    <hyperlink ref="J190" r:id="rId1078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190" r:id="rId1079" display="वेबसाइट पर पढ़ें: drishtiias.com • visionias.in • ncert.nic.in (क्लिक करें)"/>
    <hyperlink ref="T190" r:id="rId1080" display="▶ दृष्टि IAS"/>
    <hyperlink ref="U190" r:id="rId1081" display="▶ BPSC वाला"/>
    <hyperlink ref="V190" r:id="rId1082" display="▶ BPSC वाला"/>
    <hyperlink ref="Y190" r:id="rId1083" display="📖 पढ़ें: दृष्टि • विजन • NCERT • जागरण जोश • GKToday"/>
    <hyperlink ref="J191" r:id="rId1084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191" r:id="rId1085" display="वेबसाइट पर पढ़ें: drishtiias.com • visionias.in • ncert.nic.in (क्लिक करें)"/>
    <hyperlink ref="T191" r:id="rId1086" display="▶ दृष्टि IAS"/>
    <hyperlink ref="U191" r:id="rId1087" display="▶ BPSC वाला"/>
    <hyperlink ref="V191" r:id="rId1088" display="▶ BPSC वाला"/>
    <hyperlink ref="Y191" r:id="rId1089" display="📖 पढ़ें: दृष्टि • विजन • NCERT • जागरण जोश • GKToday"/>
    <hyperlink ref="J192" r:id="rId1090" display="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"/>
    <hyperlink ref="K192" r:id="rId1091" display="वेबसाइट पर पढ़ें: drishtiias.com • visionias.in • ncert.nic.in (क्लिक करें)"/>
    <hyperlink ref="T192" r:id="rId1092" display="▶ दृष्टि IAS"/>
    <hyperlink ref="U192" r:id="rId1093" display="▶ BPSC वाला"/>
    <hyperlink ref="V192" r:id="rId1094" display="▶ BPSC वाला"/>
    <hyperlink ref="Y192" r:id="rId1095" display="📖 पढ़ें: दृष्टि • विजन • NCERT • जागरण जोश • GKToday"/>
    <hyperlink ref="J193" r:id="rId1096" display="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"/>
    <hyperlink ref="K193" r:id="rId1097" display="वेबसाइट पर पढ़ें: drishtiias.com • visionias.in • ncert.nic.in (क्लिक करें)"/>
    <hyperlink ref="T193" r:id="rId1098" display="▶ दृष्टि IAS"/>
    <hyperlink ref="U193" r:id="rId1099" display="▶ BPSC वाला"/>
    <hyperlink ref="V193" r:id="rId1100" display="▶ BPSC वाला"/>
    <hyperlink ref="Y193" r:id="rId1101" display="📖 पढ़ें: दृष्टि • विजन • NCERT • जागरण जोश • GKToday"/>
    <hyperlink ref="J194" r:id="rId1102" display="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"/>
    <hyperlink ref="K194" r:id="rId1103" display="वेबसाइट पर पढ़ें: drishtiias.com • visionias.in • ncert.nic.in (क्लिक करें)"/>
    <hyperlink ref="T194" r:id="rId1104" display="▶ दृष्टि IAS"/>
    <hyperlink ref="U194" r:id="rId1105" display="▶ BPSC वाला"/>
    <hyperlink ref="V194" r:id="rId1106" display="▶ BPSC वाला"/>
    <hyperlink ref="Y194" r:id="rId1107" display="📖 पढ़ें: दृष्टि • विजन • NCERT • जागरण जोश • GKToday"/>
    <hyperlink ref="J195" r:id="rId110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195" r:id="rId1109" display="वेबसाइट पर पढ़ें: drishtiias.com • visionias.in • pib.gov.in (क्लिक करें)"/>
    <hyperlink ref="T195" r:id="rId1110" display="▶ दृष्टि IAS"/>
    <hyperlink ref="U195" r:id="rId1111" display="▶ BPSC वाला"/>
    <hyperlink ref="V195" r:id="rId1112" display="▶ BPSC वाला"/>
    <hyperlink ref="J196" r:id="rId1113" display="पढ़ें: जैन, बौद्ध एवं अन्य नास्तिक संप्रदा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जैन, बौद्ध एवं अन्य नास्तिक.pdf')। तैयार PDF नोट्स खोजने हेतु क्लिक करें।"/>
    <hyperlink ref="K196" r:id="rId1114" display="वेबसाइट पर पढ़ें: drishtiias.com • visionias.in • ncert.nic.in (क्लिक करें)"/>
    <hyperlink ref="T196" r:id="rId1115" display="▶ दृष्टि IAS"/>
    <hyperlink ref="U196" r:id="rId1116" display="▶ BPSC वाला"/>
    <hyperlink ref="V196" r:id="rId1117" display="▶ BPSC वाला"/>
    <hyperlink ref="Y196" r:id="rId1118" display="📖 पढ़ें: दृष्टि • विजन • NCERT • जागरण जोश • GKToday"/>
    <hyperlink ref="J197" r:id="rId1119" display="पढ़ें: जैन, बौद्ध एवं अन्य नास्तिक संप्रदा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जैन, बौद्ध एवं अन्य नास्तिक.pdf')। तैयार PDF नोट्स खोजने हेतु क्लिक करें।"/>
    <hyperlink ref="K197" r:id="rId1120" display="वेबसाइट पर पढ़ें: drishtiias.com • visionias.in • ncert.nic.in (क्लिक करें)"/>
    <hyperlink ref="T197" r:id="rId1121" display="▶ दृष्टि IAS"/>
    <hyperlink ref="U197" r:id="rId1122" display="▶ BPSC वाला"/>
    <hyperlink ref="V197" r:id="rId1123" display="▶ BPSC वाला"/>
    <hyperlink ref="Y197" r:id="rId1124" display="📖 पढ़ें: दृष्टि • विजन • NCERT • जागरण जोश • GKToday"/>
    <hyperlink ref="J198" r:id="rId1125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198" r:id="rId1126" display="वेबसाइट पर पढ़ें: drishtiias.com • visionias.in • ncert.nic.in (क्लिक करें)"/>
    <hyperlink ref="T198" r:id="rId1127" display="▶ दृष्टि IAS"/>
    <hyperlink ref="U198" r:id="rId1128" display="▶ BPSC वाला"/>
    <hyperlink ref="V198" r:id="rId1129" display="▶ BPSC वाला"/>
    <hyperlink ref="Y198" r:id="rId1130" display="📖 पढ़ें: दृष्टि • विजन • NCERT • जागरण जोश • GKToday"/>
    <hyperlink ref="J199" r:id="rId1131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199" r:id="rId1132" display="वेबसाइट पर पढ़ें: drishtiias.com • visionias.in • ncert.nic.in (क्लिक करें)"/>
    <hyperlink ref="T199" r:id="rId1133" display="▶ दृष्टि IAS"/>
    <hyperlink ref="U199" r:id="rId1134" display="▶ BPSC वाला"/>
    <hyperlink ref="V199" r:id="rId1135" display="▶ BPSC वाला"/>
    <hyperlink ref="Y199" r:id="rId1136" display="📖 पढ़ें: दृष्टि • विजन • NCERT • जागरण जोश • GKToday"/>
    <hyperlink ref="J200" r:id="rId1137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200" r:id="rId1138" display="वेबसाइट पर पढ़ें: drishtiias.com • visionias.in • ncert.nic.in (क्लिक करें)"/>
    <hyperlink ref="T200" r:id="rId1139" display="▶ दृष्टि IAS"/>
    <hyperlink ref="U200" r:id="rId1140" display="▶ BPSC वाला"/>
    <hyperlink ref="V200" r:id="rId1141" display="▶ BPSC वाला"/>
    <hyperlink ref="Y200" r:id="rId1142" display="📖 पढ़ें: दृष्टि • विजन • NCERT • जागरण जोश • GKToday"/>
    <hyperlink ref="J201" r:id="rId1143" display="पढ़ें: मौर्योत्तर काल (शुंग, कुषाण, सातवाहन, संगम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ोत्तर काल (शुंग, कुषाण,.pdf')। तैयार PDF नोट्स खोजने हेतु क्लिक करें।"/>
    <hyperlink ref="K201" r:id="rId1144" display="वेबसाइट पर पढ़ें: drishtiias.com • visionias.in • ncert.nic.in (क्लिक करें)"/>
    <hyperlink ref="T201" r:id="rId1145" display="▶ दृष्टि IAS"/>
    <hyperlink ref="U201" r:id="rId1146" display="▶ BPSC वाला"/>
    <hyperlink ref="V201" r:id="rId1147" display="▶ BPSC वाला"/>
    <hyperlink ref="Y201" r:id="rId1148" display="📖 पढ़ें: दृष्टि • विजन • NCERT • जागरण जोश • GKToday"/>
    <hyperlink ref="J202" r:id="rId1149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02" r:id="rId1150" display="वेबसाइट पर पढ़ें: drishtiias.com • visionias.in • pib.gov.in (क्लिक करें)"/>
    <hyperlink ref="T202" r:id="rId1151" display="▶ दृष्टि IAS"/>
    <hyperlink ref="U202" r:id="rId1152" display="▶ BPSC वाला"/>
    <hyperlink ref="V202" r:id="rId1153" display="▶ BPSC वाला"/>
    <hyperlink ref="J203" r:id="rId1154" display="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"/>
    <hyperlink ref="K203" r:id="rId1155" display="वेबसाइट पर पढ़ें: drishtiias.com • visionias.in • ncert.nic.in (क्लिक करें)"/>
    <hyperlink ref="T203" r:id="rId1156" display="▶ दृष्टि IAS"/>
    <hyperlink ref="U203" r:id="rId1157" display="▶ BPSC वाला"/>
    <hyperlink ref="V203" r:id="rId1158" display="▶ BPSC वाला"/>
    <hyperlink ref="Y203" r:id="rId1159" display="📖 पढ़ें: दृष्टि • विजन • NCERT • जागरण जोश • GKToday"/>
    <hyperlink ref="J204" r:id="rId1160" display="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"/>
    <hyperlink ref="K204" r:id="rId1161" display="वेबसाइट पर पढ़ें: drishtiias.com • visionias.in • ncert.nic.in (क्लिक करें)"/>
    <hyperlink ref="T204" r:id="rId1162" display="▶ दृष्टि IAS"/>
    <hyperlink ref="U204" r:id="rId1163" display="▶ BPSC वाला"/>
    <hyperlink ref="V204" r:id="rId1164" display="▶ BPSC वाला"/>
    <hyperlink ref="Y204" r:id="rId1165" display="📖 पढ़ें: दृष्टि • विजन • NCERT • जागरण जोश • GKToday"/>
    <hyperlink ref="J205" r:id="rId1166" display="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"/>
    <hyperlink ref="K205" r:id="rId1167" display="वेबसाइट पर पढ़ें: drishtiias.com • visionias.in • ncert.nic.in (क्लिक करें)"/>
    <hyperlink ref="T205" r:id="rId1168" display="▶ दृष्टि IAS"/>
    <hyperlink ref="U205" r:id="rId1169" display="▶ BPSC वाला"/>
    <hyperlink ref="V205" r:id="rId1170" display="▶ BPSC वाला"/>
    <hyperlink ref="Y205" r:id="rId1171" display="📖 पढ़ें: दृष्टि • विजन • NCERT • जागरण जोश • GKToday"/>
    <hyperlink ref="J206" r:id="rId1172" display="पढ़ें: पूर्व मध्यकालीन भारत (राजपूत, चोल, चालुक्य, पल्लव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ूर्व मध्यकालीन भारत (राजपूत,.pdf')। तैयार PDF नोट्स खोजने हेतु क्लिक करें।"/>
    <hyperlink ref="K206" r:id="rId1173" display="वेबसाइट पर पढ़ें: drishtiias.com • visionias.in • ncert.nic.in (क्लिक करें)"/>
    <hyperlink ref="T206" r:id="rId1174" display="▶ दृष्टि IAS"/>
    <hyperlink ref="U206" r:id="rId1175" display="▶ BPSC वाला"/>
    <hyperlink ref="V206" r:id="rId1176" display="▶ BPSC वाला"/>
    <hyperlink ref="Y206" r:id="rId1177" display="📖 पढ़ें: दृष्टि • विजन • NCERT • जागरण जोश • GKToday"/>
    <hyperlink ref="J207" r:id="rId1178" display="पढ़ें: पूर्व मध्यकालीन भारत (राजपूत, चोल, चालुक्य, पल्लव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ूर्व मध्यकालीन भारत (राजपूत,.pdf')। तैयार PDF नोट्स खोजने हेतु क्लिक करें।"/>
    <hyperlink ref="K207" r:id="rId1179" display="वेबसाइट पर पढ़ें: drishtiias.com • visionias.in • ncert.nic.in (क्लिक करें)"/>
    <hyperlink ref="T207" r:id="rId1180" display="▶ दृष्टि IAS"/>
    <hyperlink ref="U207" r:id="rId1181" display="▶ BPSC वाला"/>
    <hyperlink ref="V207" r:id="rId1182" display="▶ BPSC वाला"/>
    <hyperlink ref="Y207" r:id="rId1183" display="📖 पढ़ें: दृष्टि • विजन • NCERT • जागरण जोश • GKToday"/>
    <hyperlink ref="J208" r:id="rId1184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208" r:id="rId1185" display="वेबसाइट पर पढ़ें: drishtiias.com • visionias.in • ncert.nic.in (क्लिक करें)"/>
    <hyperlink ref="T208" r:id="rId1186" display="▶ दृष्टि IAS"/>
    <hyperlink ref="U208" r:id="rId1187" display="▶ BPSC वाला"/>
    <hyperlink ref="V208" r:id="rId1188" display="▶ BPSC वाला"/>
    <hyperlink ref="Y208" r:id="rId1189" display="📖 पढ़ें: दृष्टि • विजन • NCERT • जागरण जोश • GKToday"/>
    <hyperlink ref="J209" r:id="rId1190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09" r:id="rId1191" display="वेबसाइट पर पढ़ें: drishtiias.com • visionias.in • pib.gov.in (क्लिक करें)"/>
    <hyperlink ref="T209" r:id="rId1192" display="▶ दृष्टि IAS"/>
    <hyperlink ref="U209" r:id="rId1193" display="▶ BPSC वाला"/>
    <hyperlink ref="V209" r:id="rId1194" display="▶ BPSC वाला"/>
    <hyperlink ref="J210" r:id="rId1195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210" r:id="rId1196" display="वेबसाइट पर पढ़ें: drishtiias.com • visionias.in • ncert.nic.in (क्लिक करें)"/>
    <hyperlink ref="T210" r:id="rId1197" display="▶ दृष्टि IAS"/>
    <hyperlink ref="U210" r:id="rId1198" display="▶ BPSC वाला"/>
    <hyperlink ref="V210" r:id="rId1199" display="▶ BPSC वाला"/>
    <hyperlink ref="Y210" r:id="rId1200" display="📖 पढ़ें: दृष्टि • विजन • NCERT • जागरण जोश • GKToday"/>
    <hyperlink ref="J211" r:id="rId1201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211" r:id="rId1202" display="वेबसाइट पर पढ़ें: drishtiias.com • visionias.in • ncert.nic.in (क्लिक करें)"/>
    <hyperlink ref="T211" r:id="rId1203" display="▶ दृष्टि IAS"/>
    <hyperlink ref="U211" r:id="rId1204" display="▶ BPSC वाला"/>
    <hyperlink ref="V211" r:id="rId1205" display="▶ BPSC वाला"/>
    <hyperlink ref="Y211" r:id="rId1206" display="📖 पढ़ें: दृष्टि • विजन • NCERT • जागरण जोश • GKToday"/>
    <hyperlink ref="J212" r:id="rId1207" display="पढ़ें: भक्ति एवं सूफी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क्ति एवं सूफी आंदोलन.pdf')। तैयार PDF नोट्स खोजने हेतु क्लिक करें।"/>
    <hyperlink ref="K212" r:id="rId1208" display="वेबसाइट पर पढ़ें: drishtiias.com • visionias.in • ncert.nic.in (क्लिक करें)"/>
    <hyperlink ref="T212" r:id="rId1209" display="▶ दृष्टि IAS"/>
    <hyperlink ref="U212" r:id="rId1210" display="▶ BPSC वाला"/>
    <hyperlink ref="V212" r:id="rId1211" display="▶ BPSC वाला"/>
    <hyperlink ref="Y212" r:id="rId1212" display="📖 पढ़ें: दृष्टि • विजन • NCERT • जागरण जोश • GKToday"/>
    <hyperlink ref="J213" r:id="rId1213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213" r:id="rId1214" display="वेबसाइट पर पढ़ें: drishtiias.com • visionias.in • ncert.nic.in (क्लिक करें)"/>
    <hyperlink ref="T213" r:id="rId1215" display="▶ दृष्टि IAS"/>
    <hyperlink ref="U213" r:id="rId1216" display="▶ BPSC वाला"/>
    <hyperlink ref="V213" r:id="rId1217" display="▶ BPSC वाला"/>
    <hyperlink ref="Y213" r:id="rId1218" display="📖 पढ़ें: दृष्टि • विजन • NCERT • जागरण जोश • GKToday"/>
    <hyperlink ref="J214" r:id="rId1219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214" r:id="rId1220" display="वेबसाइट पर पढ़ें: drishtiias.com • visionias.in • ncert.nic.in (क्लिक करें)"/>
    <hyperlink ref="T214" r:id="rId1221" display="▶ दृष्टि IAS"/>
    <hyperlink ref="U214" r:id="rId1222" display="▶ BPSC वाला"/>
    <hyperlink ref="V214" r:id="rId1223" display="▶ BPSC वाला"/>
    <hyperlink ref="Y214" r:id="rId1224" display="📖 पढ़ें: दृष्टि • विजन • NCERT • जागरण जोश • GKToday"/>
    <hyperlink ref="J215" r:id="rId1225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215" r:id="rId1226" display="वेबसाइट पर पढ़ें: drishtiias.com • visionias.in • ncert.nic.in (क्लिक करें)"/>
    <hyperlink ref="T215" r:id="rId1227" display="▶ दृष्टि IAS"/>
    <hyperlink ref="U215" r:id="rId1228" display="▶ BPSC वाला"/>
    <hyperlink ref="V215" r:id="rId1229" display="▶ BPSC वाला"/>
    <hyperlink ref="Y215" r:id="rId1230" display="📖 पढ़ें: दृष्टि • विजन • NCERT • जागरण जोश • GKToday"/>
    <hyperlink ref="J216" r:id="rId1231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16" r:id="rId1232" display="वेबसाइट पर पढ़ें: drishtiias.com • visionias.in • pib.gov.in (क्लिक करें)"/>
    <hyperlink ref="T216" r:id="rId1233" display="▶ दृष्टि IAS"/>
    <hyperlink ref="U216" r:id="rId1234" display="▶ BPSC वाला"/>
    <hyperlink ref="V216" r:id="rId1235" display="▶ BPSC वाला"/>
    <hyperlink ref="J217" r:id="rId1236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217" r:id="rId1237" display="वेबसाइट पर पढ़ें: drishtiias.com • visionias.in • ncert.nic.in (क्लिक करें)"/>
    <hyperlink ref="T217" r:id="rId1238" display="▶ दृष्टि IAS"/>
    <hyperlink ref="U217" r:id="rId1239" display="▶ BPSC वाला"/>
    <hyperlink ref="V217" r:id="rId1240" display="▶ BPSC वाला"/>
    <hyperlink ref="Y217" r:id="rId1241" display="📖 पढ़ें: दृष्टि • विजन • NCERT • जागरण जोश • GKToday"/>
    <hyperlink ref="J218" r:id="rId1242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218" r:id="rId1243" display="वेबसाइट पर पढ़ें: drishtiias.com • visionias.in • ncert.nic.in (क्लिक करें)"/>
    <hyperlink ref="T218" r:id="rId1244" display="▶ दृष्टि IAS"/>
    <hyperlink ref="U218" r:id="rId1245" display="▶ BPSC वाला"/>
    <hyperlink ref="V218" r:id="rId1246" display="▶ BPSC वाला"/>
    <hyperlink ref="Y218" r:id="rId1247" display="📖 पढ़ें: दृष्टि • विजन • NCERT • जागरण जोश • GKToday"/>
    <hyperlink ref="J219" r:id="rId1248" display="पढ़ें: मराठा एवं क्षेत्रीय शक्तियाँ (18वीं शताब्दी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राठा एवं क्षेत्रीय शक्तियाँ.pdf')। तैयार PDF नोट्स खोजने हेतु क्लिक करें।"/>
    <hyperlink ref="K219" r:id="rId1249" display="वेबसाइट पर पढ़ें: drishtiias.com • visionias.in • ncert.nic.in (क्लिक करें)"/>
    <hyperlink ref="T219" r:id="rId1250" display="▶ दृष्टि IAS"/>
    <hyperlink ref="U219" r:id="rId1251" display="▶ BPSC वाला"/>
    <hyperlink ref="V219" r:id="rId1252" display="▶ BPSC वाला"/>
    <hyperlink ref="Y219" r:id="rId1253" display="📖 पढ़ें: दृष्टि • विजन • NCERT • जागरण जोश • GKToday"/>
    <hyperlink ref="J220" r:id="rId1254" display="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"/>
    <hyperlink ref="K220" r:id="rId1255" display="वेबसाइट पर पढ़ें: drishtiias.com • visionias.in • ncert.nic.in (क्लिक करें)"/>
    <hyperlink ref="T220" r:id="rId1256" display="▶ दृष्टि IAS"/>
    <hyperlink ref="U220" r:id="rId1257" display="▶ BPSC वाला"/>
    <hyperlink ref="V220" r:id="rId1258" display="▶ BPSC वाला"/>
    <hyperlink ref="Y220" r:id="rId1259" display="📖 पढ़ें: दृष्टि • विजन • NCERT • जागरण जोश • GKToday"/>
    <hyperlink ref="J221" r:id="rId1260" display="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"/>
    <hyperlink ref="K221" r:id="rId1261" display="वेबसाइट पर पढ़ें: drishtiias.com • visionias.in • ncert.nic.in (क्लिक करें)"/>
    <hyperlink ref="T221" r:id="rId1262" display="▶ दृष्टि IAS"/>
    <hyperlink ref="U221" r:id="rId1263" display="▶ BPSC वाला"/>
    <hyperlink ref="V221" r:id="rId1264" display="▶ BPSC वाला"/>
    <hyperlink ref="Y221" r:id="rId1265" display="📖 पढ़ें: दृष्टि • विजन • NCERT • जागरण जोश • GKToday"/>
    <hyperlink ref="J222" r:id="rId1266" display="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"/>
    <hyperlink ref="K222" r:id="rId1267" display="वेबसाइट पर पढ़ें: drishtiias.com • visionias.in • ncert.nic.in (क्लिक करें)"/>
    <hyperlink ref="T222" r:id="rId1268" display="▶ दृष्टि IAS"/>
    <hyperlink ref="U222" r:id="rId1269" display="▶ BPSC वाला"/>
    <hyperlink ref="V222" r:id="rId1270" display="▶ BPSC वाला"/>
    <hyperlink ref="Y222" r:id="rId1271" display="📖 पढ़ें: दृष्टि • विजन • NCERT • जागरण जोश • GKToday"/>
    <hyperlink ref="J223" r:id="rId1272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23" r:id="rId1273" display="वेबसाइट पर पढ़ें: drishtiias.com • visionias.in • pib.gov.in (क्लिक करें)"/>
    <hyperlink ref="T223" r:id="rId1274" display="▶ दृष्टि IAS"/>
    <hyperlink ref="U223" r:id="rId1275" display="▶ BPSC वाला"/>
    <hyperlink ref="V223" r:id="rId1276" display="▶ BPSC वाला"/>
    <hyperlink ref="J224" r:id="rId1277" display="पढ़ें: 1857 का विद्रोह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1857 का विद्रोह.pdf')। तैयार PDF नोट्स खोजने हेतु क्लिक करें।"/>
    <hyperlink ref="K224" r:id="rId1278" display="वेबसाइट पर पढ़ें: drishtiias.com • visionias.in • ncert.nic.in (क्लिक करें)"/>
    <hyperlink ref="T224" r:id="rId1279" display="▶ दृष्टि IAS"/>
    <hyperlink ref="U224" r:id="rId1280" display="▶ BPSC वाला"/>
    <hyperlink ref="V224" r:id="rId1281" display="▶ BPSC वाला"/>
    <hyperlink ref="Y224" r:id="rId1282" display="📖 पढ़ें: दृष्टि • विजन • NCERT • जागरण जोश • GKToday"/>
    <hyperlink ref="J225" r:id="rId1283" display="पढ़ें: 1857 का विद्रोह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1857 का विद्रोह.pdf')। तैयार PDF नोट्स खोजने हेतु क्लिक करें।"/>
    <hyperlink ref="K225" r:id="rId1284" display="वेबसाइट पर पढ़ें: drishtiias.com • visionias.in • ncert.nic.in (क्लिक करें)"/>
    <hyperlink ref="T225" r:id="rId1285" display="▶ दृष्टि IAS"/>
    <hyperlink ref="U225" r:id="rId1286" display="▶ BPSC वाला"/>
    <hyperlink ref="V225" r:id="rId1287" display="▶ BPSC वाला"/>
    <hyperlink ref="Y225" r:id="rId1288" display="📖 पढ़ें: दृष्टि • विजन • NCERT • जागरण जोश • GKToday"/>
    <hyperlink ref="J226" r:id="rId1289" display="पढ़ें: सामाजिक-धार्मिक सुधार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ामाजिक-धार्मिक सुधार आंदोलन.pdf')। तैयार PDF नोट्स खोजने हेतु क्लिक करें।"/>
    <hyperlink ref="K226" r:id="rId1290" display="वेबसाइट पर पढ़ें: drishtiias.com • visionias.in • ncert.nic.in (क्लिक करें)"/>
    <hyperlink ref="T226" r:id="rId1291" display="▶ दृष्टि IAS"/>
    <hyperlink ref="U226" r:id="rId1292" display="▶ BPSC वाला"/>
    <hyperlink ref="V226" r:id="rId1293" display="▶ BPSC वाला"/>
    <hyperlink ref="Y226" r:id="rId1294" display="📖 पढ़ें: दृष्टि • विजन • NCERT • जागरण जोश • GKToday"/>
    <hyperlink ref="J227" r:id="rId1295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227" r:id="rId1296" display="वेबसाइट पर पढ़ें: drishtiias.com • visionias.in • ncert.nic.in (क्लिक करें)"/>
    <hyperlink ref="T227" r:id="rId1297" display="▶ दृष्टि IAS"/>
    <hyperlink ref="U227" r:id="rId1298" display="▶ BPSC वाला"/>
    <hyperlink ref="V227" r:id="rId1299" display="▶ BPSC वाला"/>
    <hyperlink ref="Y227" r:id="rId1300" display="📖 पढ़ें: दृष्टि • विजन • NCERT • जागरण जोश • GKToday"/>
    <hyperlink ref="J228" r:id="rId1301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228" r:id="rId1302" display="वेबसाइट पर पढ़ें: drishtiias.com • visionias.in • ncert.nic.in (क्लिक करें)"/>
    <hyperlink ref="T228" r:id="rId1303" display="▶ दृष्टि IAS"/>
    <hyperlink ref="U228" r:id="rId1304" display="▶ BPSC वाला"/>
    <hyperlink ref="V228" r:id="rId1305" display="▶ BPSC वाला"/>
    <hyperlink ref="Y228" r:id="rId1306" display="📖 पढ़ें: दृष्टि • विजन • NCERT • जागरण जोश • GKToday"/>
    <hyperlink ref="J229" r:id="rId1307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229" r:id="rId1308" display="वेबसाइट पर पढ़ें: drishtiias.com • visionias.in • ncert.nic.in (क्लिक करें)"/>
    <hyperlink ref="T229" r:id="rId1309" display="▶ दृष्टि IAS"/>
    <hyperlink ref="U229" r:id="rId1310" display="▶ BPSC वाला"/>
    <hyperlink ref="V229" r:id="rId1311" display="▶ BPSC वाला"/>
    <hyperlink ref="Y229" r:id="rId1312" display="📖 पढ़ें: दृष्टि • विजन • NCERT • जागरण जोश • GKToday"/>
    <hyperlink ref="J230" r:id="rId131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30" r:id="rId1314" display="वेबसाइट पर पढ़ें: drishtiias.com • visionias.in • pib.gov.in (क्लिक करें)"/>
    <hyperlink ref="T230" r:id="rId1315" display="▶ दृष्टि IAS"/>
    <hyperlink ref="U230" r:id="rId1316" display="▶ BPSC वाला"/>
    <hyperlink ref="V230" r:id="rId1317" display="▶ BPSC वाला"/>
    <hyperlink ref="J231" r:id="rId1318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231" r:id="rId1319" display="वेबसाइट पर पढ़ें: drishtiias.com • visionias.in • ncert.nic.in (क्लिक करें)"/>
    <hyperlink ref="T231" r:id="rId1320" display="▶ दृष्टि IAS"/>
    <hyperlink ref="U231" r:id="rId1321" display="▶ BPSC वाला"/>
    <hyperlink ref="V231" r:id="rId1322" display="▶ BPSC वाला"/>
    <hyperlink ref="Y231" r:id="rId1323" display="📖 पढ़ें: दृष्टि • विजन • NCERT • जागरण जोश • GKToday"/>
    <hyperlink ref="J232" r:id="rId1324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232" r:id="rId1325" display="वेबसाइट पर पढ़ें: drishtiias.com • visionias.in • ncert.nic.in (क्लिक करें)"/>
    <hyperlink ref="T232" r:id="rId1326" display="▶ दृष्टि IAS"/>
    <hyperlink ref="U232" r:id="rId1327" display="▶ BPSC वाला"/>
    <hyperlink ref="V232" r:id="rId1328" display="▶ BPSC वाला"/>
    <hyperlink ref="Y232" r:id="rId1329" display="📖 पढ़ें: दृष्टि • विजन • NCERT • जागरण जोश • GKToday"/>
    <hyperlink ref="J233" r:id="rId1330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233" r:id="rId1331" display="वेबसाइट पर पढ़ें: drishtiias.com • visionias.in • ncert.nic.in (क्लिक करें)"/>
    <hyperlink ref="T233" r:id="rId1332" display="▶ दृष्टि IAS"/>
    <hyperlink ref="U233" r:id="rId1333" display="▶ BPSC वाला"/>
    <hyperlink ref="V233" r:id="rId1334" display="▶ BPSC वाला"/>
    <hyperlink ref="Y233" r:id="rId1335" display="📖 पढ़ें: दृष्टि • विजन • NCERT • जागरण जोश • GKToday"/>
    <hyperlink ref="J234" r:id="rId1336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234" r:id="rId1337" display="वेबसाइट पर पढ़ें: drishtiias.com • visionias.in • ncert.nic.in (क्लिक करें)"/>
    <hyperlink ref="T234" r:id="rId1338" display="▶ दृष्टि IAS"/>
    <hyperlink ref="U234" r:id="rId1339" display="▶ BPSC वाला"/>
    <hyperlink ref="V234" r:id="rId1340" display="▶ BPSC वाला"/>
    <hyperlink ref="Y234" r:id="rId1341" display="📖 पढ़ें: दृष्टि • विजन • NCERT • जागरण जोश • GKToday"/>
    <hyperlink ref="J235" r:id="rId1342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235" r:id="rId1343" display="वेबसाइट पर पढ़ें: drishtiias.com • visionias.in • ncert.nic.in (क्लिक करें)"/>
    <hyperlink ref="T235" r:id="rId1344" display="▶ दृष्टि IAS"/>
    <hyperlink ref="U235" r:id="rId1345" display="▶ BPSC वाला"/>
    <hyperlink ref="V235" r:id="rId1346" display="▶ BPSC वाला"/>
    <hyperlink ref="Y235" r:id="rId1347" display="📖 पढ़ें: दृष्टि • विजन • NCERT • जागरण जोश • GKToday"/>
    <hyperlink ref="J236" r:id="rId1348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236" r:id="rId1349" display="वेबसाइट पर पढ़ें: drishtiias.com • visionias.in • ncert.nic.in (क्लिक करें)"/>
    <hyperlink ref="T236" r:id="rId1350" display="▶ दृष्टि IAS"/>
    <hyperlink ref="U236" r:id="rId1351" display="▶ BPSC वाला"/>
    <hyperlink ref="V236" r:id="rId1352" display="▶ BPSC वाला"/>
    <hyperlink ref="Y236" r:id="rId1353" display="📖 पढ़ें: दृष्टि • विजन • NCERT • जागरण जोश • GKToday"/>
    <hyperlink ref="J237" r:id="rId1354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37" r:id="rId1355" display="वेबसाइट पर पढ़ें: drishtiias.com • visionias.in • pib.gov.in (क्लिक करें)"/>
    <hyperlink ref="T237" r:id="rId1356" display="▶ दृष्टि IAS"/>
    <hyperlink ref="U237" r:id="rId1357" display="▶ BPSC वाला"/>
    <hyperlink ref="V237" r:id="rId1358" display="▶ BPSC वाला"/>
    <hyperlink ref="J238" r:id="rId1359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238" r:id="rId1360" display="वेबसाइट पर पढ़ें: drishtiias.com • visionias.in • ncert.nic.in (क्लिक करें)"/>
    <hyperlink ref="T238" r:id="rId1361" display="▶ दृष्टि IAS"/>
    <hyperlink ref="U238" r:id="rId1362" display="▶ BPSC वाला"/>
    <hyperlink ref="V238" r:id="rId1363" display="▶ BPSC वाला"/>
    <hyperlink ref="Y238" r:id="rId1364" display="📖 पढ़ें: दृष्टि • विजन • NCERT • जागरण जोश • GKToday"/>
    <hyperlink ref="J239" r:id="rId1365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239" r:id="rId1366" display="वेबसाइट पर पढ़ें: drishtiias.com • visionias.in • ncert.nic.in (क्लिक करें)"/>
    <hyperlink ref="T239" r:id="rId1367" display="▶ दृष्टि IAS"/>
    <hyperlink ref="U239" r:id="rId1368" display="▶ BPSC वाला"/>
    <hyperlink ref="V239" r:id="rId1369" display="▶ BPSC वाला"/>
    <hyperlink ref="Y239" r:id="rId1370" display="📖 पढ़ें: दृष्टि • विजन • NCERT • जागरण जोश • GKToday"/>
    <hyperlink ref="J240" r:id="rId1371" display="पढ़ें: स्वातंत्र्योत्तर भारत (1947 के बाद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्वातंत्र्योत्तर भारत (1947 के.pdf')। तैयार PDF नोट्स खोजने हेतु क्लिक करें।"/>
    <hyperlink ref="K240" r:id="rId1372" display="वेबसाइट पर पढ़ें: drishtiias.com • visionias.in • ncert.nic.in (क्लिक करें)"/>
    <hyperlink ref="T240" r:id="rId1373" display="▶ दृष्टि IAS"/>
    <hyperlink ref="U240" r:id="rId1374" display="▶ BPSC वाला"/>
    <hyperlink ref="V240" r:id="rId1375" display="▶ BPSC वाला"/>
    <hyperlink ref="Y240" r:id="rId1376" display="📖 पढ़ें: दृष्टि • विजन • NCERT • जागरण जोश • GKToday"/>
    <hyperlink ref="J241" r:id="rId1377" display="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"/>
    <hyperlink ref="K241" r:id="rId1378" display="वेबसाइट पर पढ़ें: drishtiias.com • visionias.in • ncert.nic.in (क्लिक करें)"/>
    <hyperlink ref="T241" r:id="rId1379" display="▶ दृष्टि IAS"/>
    <hyperlink ref="U241" r:id="rId1380" display="▶ BPSC वाला"/>
    <hyperlink ref="V241" r:id="rId1381" display="▶ BPSC वाला"/>
    <hyperlink ref="Y241" r:id="rId1382" display="📖 पढ़ें: दृष्टि • विजन • NCERT • जागरण जोश • GKToday"/>
    <hyperlink ref="J242" r:id="rId1383" display="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"/>
    <hyperlink ref="K242" r:id="rId1384" display="वेबसाइट पर पढ़ें: drishtiias.com • visionias.in • ncert.nic.in (क्लिक करें)"/>
    <hyperlink ref="T242" r:id="rId1385" display="▶ दृष्टि IAS"/>
    <hyperlink ref="U242" r:id="rId1386" display="▶ BPSC वाला"/>
    <hyperlink ref="V242" r:id="rId1387" display="▶ BPSC वाला"/>
    <hyperlink ref="Y242" r:id="rId1388" display="📖 पढ़ें: दृष्टि • विजन • NCERT • जागरण जोश • GKToday"/>
    <hyperlink ref="J243" r:id="rId1389" display="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"/>
    <hyperlink ref="K243" r:id="rId1390" display="वेबसाइट पर पढ़ें: drishtiias.com • visionias.in • ncert.nic.in (क्लिक करें)"/>
    <hyperlink ref="T243" r:id="rId1391" display="▶ दृष्टि IAS"/>
    <hyperlink ref="U243" r:id="rId1392" display="▶ BPSC वाला"/>
    <hyperlink ref="V243" r:id="rId1393" display="▶ BPSC वाला"/>
    <hyperlink ref="Y243" r:id="rId1394" display="📖 पढ़ें: दृष्टि • विजन • NCERT • जागरण जोश • GKToday"/>
    <hyperlink ref="J244" r:id="rId1395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44" r:id="rId1396" display="वेबसाइट पर पढ़ें: drishtiias.com • visionias.in • pib.gov.in (क्लिक करें)"/>
    <hyperlink ref="T244" r:id="rId1397" display="▶ दृष्टि IAS"/>
    <hyperlink ref="U244" r:id="rId1398" display="▶ BPSC वाला"/>
    <hyperlink ref="V244" r:id="rId1399" display="▶ BPSC वाला"/>
    <hyperlink ref="J245" r:id="rId1400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245" r:id="rId1401" display="वेबसाइट पर पढ़ें: drishtiias.com • visionias.in • ncert.nic.in (क्लिक करें)"/>
    <hyperlink ref="T245" r:id="rId1402" display="▶ दृष्टि IAS"/>
    <hyperlink ref="U245" r:id="rId1403" display="▶ BPSC वाला"/>
    <hyperlink ref="V245" r:id="rId1404" display="▶ BPSC वाला"/>
    <hyperlink ref="Y245" r:id="rId1405" display="📖 पढ़ें: दृष्टि • विजन • NCERT • जागरण जोश • GKToday"/>
    <hyperlink ref="J246" r:id="rId1406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246" r:id="rId1407" display="वेबसाइट पर पढ़ें: drishtiias.com • visionias.in • ncert.nic.in (क्लिक करें)"/>
    <hyperlink ref="T246" r:id="rId1408" display="▶ दृष्टि IAS"/>
    <hyperlink ref="U246" r:id="rId1409" display="▶ BPSC वाला"/>
    <hyperlink ref="V246" r:id="rId1410" display="▶ BPSC वाला"/>
    <hyperlink ref="Y246" r:id="rId1411" display="📖 पढ़ें: दृष्टि • विजन • NCERT • जागरण जोश • GKToday"/>
    <hyperlink ref="J247" r:id="rId1412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247" r:id="rId1413" display="वेबसाइट पर पढ़ें: drishtiias.com • visionias.in • ncert.nic.in (क्लिक करें)"/>
    <hyperlink ref="T247" r:id="rId1414" display="▶ दृष्टि IAS"/>
    <hyperlink ref="U247" r:id="rId1415" display="▶ BPSC वाला"/>
    <hyperlink ref="V247" r:id="rId1416" display="▶ BPSC वाला"/>
    <hyperlink ref="Y247" r:id="rId1417" display="📖 पढ़ें: दृष्टि • विजन • NCERT • जागरण जोश • GKToday"/>
    <hyperlink ref="J248" r:id="rId1418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248" r:id="rId1419" display="वेबसाइट पर पढ़ें: drishtiias.com • visionias.in • ncert.nic.in (क्लिक करें)"/>
    <hyperlink ref="T248" r:id="rId1420" display="▶ दृष्टि IAS"/>
    <hyperlink ref="U248" r:id="rId1421" display="▶ BPSC वाला"/>
    <hyperlink ref="V248" r:id="rId1422" display="▶ BPSC वाला"/>
    <hyperlink ref="Y248" r:id="rId1423" display="📖 पढ़ें: दृष्टि • विजन • NCERT • जागरण जोश • GKToday"/>
    <hyperlink ref="J249" r:id="rId1424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249" r:id="rId1425" display="वेबसाइट पर पढ़ें: drishtiias.com • visionias.in • ncert.nic.in (क्लिक करें)"/>
    <hyperlink ref="T249" r:id="rId1426" display="▶ दृष्टि IAS"/>
    <hyperlink ref="U249" r:id="rId1427" display="▶ BPSC वाला"/>
    <hyperlink ref="V249" r:id="rId1428" display="▶ BPSC वाला"/>
    <hyperlink ref="Y249" r:id="rId1429" display="📖 पढ़ें: दृष्टि • विजन • NCERT • जागरण जोश • GKToday"/>
    <hyperlink ref="J250" r:id="rId1430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250" r:id="rId1431" display="वेबसाइट पर पढ़ें: drishtiias.com • visionias.in • ncert.nic.in (क्लिक करें)"/>
    <hyperlink ref="T250" r:id="rId1432" display="▶ दृष्टि IAS"/>
    <hyperlink ref="U250" r:id="rId1433" display="▶ BPSC वाला"/>
    <hyperlink ref="V250" r:id="rId1434" display="▶ BPSC वाला"/>
    <hyperlink ref="Y250" r:id="rId1435" display="📖 पढ़ें: दृष्टि • विजन • NCERT • जागरण जोश • GKToday"/>
    <hyperlink ref="J251" r:id="rId1436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51" r:id="rId1437" display="वेबसाइट पर पढ़ें: drishtiias.com • visionias.in • pib.gov.in (क्लिक करें)"/>
    <hyperlink ref="T251" r:id="rId1438" display="▶ दृष्टि IAS"/>
    <hyperlink ref="U251" r:id="rId1439" display="▶ BPSC वाला"/>
    <hyperlink ref="V251" r:id="rId1440" display="▶ BPSC वाला"/>
    <hyperlink ref="J252" r:id="rId1441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252" r:id="rId1442" display="वेबसाइट पर पढ़ें: drishtiias.com • visionias.in • ncert.nic.in (क्लिक करें)"/>
    <hyperlink ref="T252" r:id="rId1443" display="▶ दृष्टि IAS"/>
    <hyperlink ref="U252" r:id="rId1444" display="▶ BPSC वाला"/>
    <hyperlink ref="V252" r:id="rId1445" display="▶ BPSC वाला"/>
    <hyperlink ref="Y252" r:id="rId1446" display="📖 पढ़ें: दृष्टि • विजन • NCERT • जागरण जोश • GKToday"/>
    <hyperlink ref="J253" r:id="rId1447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253" r:id="rId1448" display="वेबसाइट पर पढ़ें: drishtiias.com • visionias.in • ncert.nic.in (क्लिक करें)"/>
    <hyperlink ref="T253" r:id="rId1449" display="▶ दृष्टि IAS"/>
    <hyperlink ref="U253" r:id="rId1450" display="▶ BPSC वाला"/>
    <hyperlink ref="V253" r:id="rId1451" display="▶ BPSC वाला"/>
    <hyperlink ref="Y253" r:id="rId1452" display="📖 पढ़ें: दृष्टि • विजन • NCERT • जागरण जोश • GKToday"/>
    <hyperlink ref="J254" r:id="rId1453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254" r:id="rId1454" display="वेबसाइट पर पढ़ें: drishtiias.com • visionias.in • ncert.nic.in (क्लिक करें)"/>
    <hyperlink ref="T254" r:id="rId1455" display="▶ दृष्टि IAS"/>
    <hyperlink ref="U254" r:id="rId1456" display="▶ BPSC वाला"/>
    <hyperlink ref="V254" r:id="rId1457" display="▶ BPSC वाला"/>
    <hyperlink ref="Y254" r:id="rId1458" display="📖 पढ़ें: दृष्टि • विजन • NCERT • जागरण जोश • GKToday"/>
    <hyperlink ref="J255" r:id="rId1459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255" r:id="rId1460" display="वेबसाइट पर पढ़ें: drishtiias.com • visionias.in • ncert.nic.in (क्लिक करें)"/>
    <hyperlink ref="T255" r:id="rId1461" display="▶ दृष्टि IAS"/>
    <hyperlink ref="U255" r:id="rId1462" display="▶ BPSC वाला"/>
    <hyperlink ref="V255" r:id="rId1463" display="▶ BPSC वाला"/>
    <hyperlink ref="Y255" r:id="rId1464" display="📖 पढ़ें: दृष्टि • विजन • NCERT • जागरण जोश • GKToday"/>
    <hyperlink ref="J256" r:id="rId1465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256" r:id="rId1466" display="वेबसाइट पर पढ़ें: drishtiias.com • visionias.in • ncert.nic.in (क्लिक करें)"/>
    <hyperlink ref="T256" r:id="rId1467" display="▶ दृष्टि IAS"/>
    <hyperlink ref="U256" r:id="rId1468" display="▶ BPSC वाला"/>
    <hyperlink ref="V256" r:id="rId1469" display="▶ BPSC वाला"/>
    <hyperlink ref="Y256" r:id="rId1470" display="📖 पढ़ें: दृष्टि • विजन • NCERT • जागरण जोश • GKToday"/>
    <hyperlink ref="J257" r:id="rId1471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257" r:id="rId1472" display="वेबसाइट पर पढ़ें: drishtiias.com • visionias.in • ncert.nic.in (क्लिक करें)"/>
    <hyperlink ref="T257" r:id="rId1473" display="▶ दृष्टि IAS"/>
    <hyperlink ref="U257" r:id="rId1474" display="▶ BPSC वाला"/>
    <hyperlink ref="V257" r:id="rId1475" display="▶ BPSC वाला"/>
    <hyperlink ref="Y257" r:id="rId1476" display="📖 पढ़ें: दृष्टि • विजन • NCERT • जागरण जोश • GKToday"/>
    <hyperlink ref="J258" r:id="rId1477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58" r:id="rId1478" display="वेबसाइट पर पढ़ें: drishtiias.com • visionias.in • pib.gov.in (क्लिक करें)"/>
    <hyperlink ref="T258" r:id="rId1479" display="▶ दृष्टि IAS"/>
    <hyperlink ref="U258" r:id="rId1480" display="▶ BPSC वाला"/>
    <hyperlink ref="V258" r:id="rId1481" display="▶ BPSC वाला"/>
    <hyperlink ref="J259" r:id="rId1482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259" r:id="rId1483" display="वेबसाइट पर पढ़ें: drishtiias.com • visionias.in • ncert.nic.in (क्लिक करें)"/>
    <hyperlink ref="T259" r:id="rId1484" display="▶ दृष्टि IAS"/>
    <hyperlink ref="U259" r:id="rId1485" display="▶ BPSC वाला"/>
    <hyperlink ref="V259" r:id="rId1486" display="▶ BPSC वाला"/>
    <hyperlink ref="Y259" r:id="rId1487" display="📖 पढ़ें: दृष्टि • विजन • NCERT • जागरण जोश • GKToday"/>
    <hyperlink ref="J260" r:id="rId1488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260" r:id="rId1489" display="वेबसाइट पर पढ़ें: drishtiias.com • visionias.in • ncert.nic.in (क्लिक करें)"/>
    <hyperlink ref="T260" r:id="rId1490" display="▶ दृष्टि IAS"/>
    <hyperlink ref="U260" r:id="rId1491" display="▶ BPSC वाला"/>
    <hyperlink ref="V260" r:id="rId1492" display="▶ BPSC वाला"/>
    <hyperlink ref="Y260" r:id="rId1493" display="📖 पढ़ें: दृष्टि • विजन • NCERT • जागरण जोश • GKToday"/>
    <hyperlink ref="J261" r:id="rId1494" display="पढ़ें: समुद्र विज्ञान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समुद्र विज्ञान.pdf')। तैयार PDF नोट्स खोजने हेतु क्लिक करें।"/>
    <hyperlink ref="K261" r:id="rId1495" display="वेबसाइट पर पढ़ें: drishtiias.com • visionias.in • ncert.nic.in (क्लिक करें)"/>
    <hyperlink ref="T261" r:id="rId1496" display="▶ दृष्टि IAS"/>
    <hyperlink ref="U261" r:id="rId1497" display="▶ BPSC वाला"/>
    <hyperlink ref="V261" r:id="rId1498" display="▶ BPSC वाला"/>
    <hyperlink ref="Y261" r:id="rId1499" display="📖 पढ़ें: दृष्टि • विजन • NCERT • जागरण जोश • GKToday"/>
    <hyperlink ref="J262" r:id="rId1500" display="पढ़ें: समुद्र विज्ञान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समुद्र विज्ञान.pdf')। तैयार PDF नोट्स खोजने हेतु क्लिक करें।"/>
    <hyperlink ref="K262" r:id="rId1501" display="वेबसाइट पर पढ़ें: drishtiias.com • visionias.in • ncert.nic.in (क्लिक करें)"/>
    <hyperlink ref="T262" r:id="rId1502" display="▶ दृष्टि IAS"/>
    <hyperlink ref="U262" r:id="rId1503" display="▶ BPSC वाला"/>
    <hyperlink ref="V262" r:id="rId1504" display="▶ BPSC वाला"/>
    <hyperlink ref="Y262" r:id="rId1505" display="📖 पढ़ें: दृष्टि • विजन • NCERT • जागरण जोश • GKToday"/>
    <hyperlink ref="J263" r:id="rId1506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263" r:id="rId1507" display="वेबसाइट पर पढ़ें: drishtiias.com • visionias.in • ncert.nic.in (क्लिक करें)"/>
    <hyperlink ref="T263" r:id="rId1508" display="▶ दृष्टि IAS"/>
    <hyperlink ref="U263" r:id="rId1509" display="▶ BPSC वाला"/>
    <hyperlink ref="V263" r:id="rId1510" display="▶ BPSC वाला"/>
    <hyperlink ref="Y263" r:id="rId1511" display="📖 पढ़ें: दृष्टि • विजन • NCERT • जागरण जोश • GKToday"/>
    <hyperlink ref="J264" r:id="rId1512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264" r:id="rId1513" display="वेबसाइट पर पढ़ें: drishtiias.com • visionias.in • ncert.nic.in (क्लिक करें)"/>
    <hyperlink ref="T264" r:id="rId1514" display="▶ दृष्टि IAS"/>
    <hyperlink ref="U264" r:id="rId1515" display="▶ BPSC वाला"/>
    <hyperlink ref="V264" r:id="rId1516" display="▶ BPSC वाला"/>
    <hyperlink ref="Y264" r:id="rId1517" display="📖 पढ़ें: दृष्टि • विजन • NCERT • जागरण जोश • GKToday"/>
    <hyperlink ref="J265" r:id="rId151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65" r:id="rId1519" display="वेबसाइट पर पढ़ें: drishtiias.com • visionias.in • pib.gov.in (क्लिक करें)"/>
    <hyperlink ref="T265" r:id="rId1520" display="▶ दृष्टि IAS"/>
    <hyperlink ref="U265" r:id="rId1521" display="▶ BPSC वाला"/>
    <hyperlink ref="V265" r:id="rId1522" display="▶ BPSC वाला"/>
    <hyperlink ref="J266" r:id="rId1523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266" r:id="rId1524" display="वेबसाइट पर पढ़ें: drishtiias.com • visionias.in • ncert.nic.in (क्लिक करें)"/>
    <hyperlink ref="T266" r:id="rId1525" display="▶ दृष्टि IAS"/>
    <hyperlink ref="U266" r:id="rId1526" display="▶ BPSC वाला"/>
    <hyperlink ref="V266" r:id="rId1527" display="▶ BPSC वाला"/>
    <hyperlink ref="Y266" r:id="rId1528" display="📖 पढ़ें: दृष्टि • विजन • NCERT • जागरण जोश • GKToday"/>
    <hyperlink ref="J267" r:id="rId1529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267" r:id="rId1530" display="वेबसाइट पर पढ़ें: drishtiias.com • visionias.in • ncert.nic.in (क्लिक करें)"/>
    <hyperlink ref="T267" r:id="rId1531" display="▶ दृष्टि IAS"/>
    <hyperlink ref="U267" r:id="rId1532" display="▶ BPSC वाला"/>
    <hyperlink ref="V267" r:id="rId1533" display="▶ BPSC वाला"/>
    <hyperlink ref="Y267" r:id="rId1534" display="📖 पढ़ें: दृष्टि • विजन • NCERT • जागरण जोश • GKToday"/>
    <hyperlink ref="J268" r:id="rId1535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268" r:id="rId1536" display="वेबसाइट पर पढ़ें: drishtiias.com • visionias.in • ncert.nic.in (क्लिक करें)"/>
    <hyperlink ref="T268" r:id="rId1537" display="▶ दृष्टि IAS"/>
    <hyperlink ref="U268" r:id="rId1538" display="▶ BPSC वाला"/>
    <hyperlink ref="V268" r:id="rId1539" display="▶ BPSC वाला"/>
    <hyperlink ref="Y268" r:id="rId1540" display="📖 पढ़ें: दृष्टि • विजन • NCERT • जागरण जोश • GKToday"/>
    <hyperlink ref="J269" r:id="rId1541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269" r:id="rId1542" display="वेबसाइट पर पढ़ें: drishtiias.com • visionias.in • ncert.nic.in (क्लिक करें)"/>
    <hyperlink ref="T269" r:id="rId1543" display="▶ दृष्टि IAS"/>
    <hyperlink ref="U269" r:id="rId1544" display="▶ BPSC वाला"/>
    <hyperlink ref="V269" r:id="rId1545" display="▶ BPSC वाला"/>
    <hyperlink ref="Y269" r:id="rId1546" display="📖 पढ़ें: दृष्टि • विजन • NCERT • जागरण जोश • GKToday"/>
    <hyperlink ref="J270" r:id="rId1547" display="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"/>
    <hyperlink ref="K270" r:id="rId1548" display="वेबसाइट पर पढ़ें: drishtiias.com • visionias.in • ncert.nic.in (क्लिक करें)"/>
    <hyperlink ref="T270" r:id="rId1549" display="▶ दृष्टि IAS"/>
    <hyperlink ref="U270" r:id="rId1550" display="▶ BPSC वाला"/>
    <hyperlink ref="V270" r:id="rId1551" display="▶ BPSC वाला"/>
    <hyperlink ref="Y270" r:id="rId1552" display="📖 पढ़ें: दृष्टि • विजन • NCERT • जागरण जोश • GKToday"/>
    <hyperlink ref="J271" r:id="rId1553" display="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"/>
    <hyperlink ref="K271" r:id="rId1554" display="वेबसाइट पर पढ़ें: drishtiias.com • visionias.in • ncert.nic.in (क्लिक करें)"/>
    <hyperlink ref="T271" r:id="rId1555" display="▶ दृष्टि IAS"/>
    <hyperlink ref="U271" r:id="rId1556" display="▶ BPSC वाला"/>
    <hyperlink ref="V271" r:id="rId1557" display="▶ BPSC वाला"/>
    <hyperlink ref="Y271" r:id="rId1558" display="📖 पढ़ें: दृष्टि • विजन • NCERT • जागरण जोश • GKToday"/>
    <hyperlink ref="J272" r:id="rId1559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72" r:id="rId1560" display="वेबसाइट पर पढ़ें: drishtiias.com • visionias.in • pib.gov.in (क्लिक करें)"/>
    <hyperlink ref="T272" r:id="rId1561" display="▶ दृष्टि IAS"/>
    <hyperlink ref="U272" r:id="rId1562" display="▶ BPSC वाला"/>
    <hyperlink ref="V272" r:id="rId1563" display="▶ BPSC वाला"/>
    <hyperlink ref="J273" r:id="rId1564" display="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"/>
    <hyperlink ref="K273" r:id="rId1565" display="वेबसाइट पर पढ़ें: drishtiias.com • visionias.in • ncert.nic.in (क्लिक करें)"/>
    <hyperlink ref="T273" r:id="rId1566" display="▶ दृष्टि IAS"/>
    <hyperlink ref="U273" r:id="rId1567" display="▶ BPSC वाला"/>
    <hyperlink ref="V273" r:id="rId1568" display="▶ BPSC वाला"/>
    <hyperlink ref="Y273" r:id="rId1569" display="📖 पढ़ें: दृष्टि • विजन • NCERT • जागरण जोश • GKToday"/>
    <hyperlink ref="J274" r:id="rId1570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274" r:id="rId1571" display="वेबसाइट पर पढ़ें: drishtiias.com • visionias.in • ncert.nic.in (क्लिक करें)"/>
    <hyperlink ref="T274" r:id="rId1572" display="▶ दृष्टि IAS"/>
    <hyperlink ref="U274" r:id="rId1573" display="▶ BPSC वाला"/>
    <hyperlink ref="V274" r:id="rId1574" display="▶ BPSC वाला"/>
    <hyperlink ref="Y274" r:id="rId1575" display="📖 पढ़ें: दृष्टि • विजन • NCERT • जागरण जोश • GKToday"/>
    <hyperlink ref="J275" r:id="rId1576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275" r:id="rId1577" display="वेबसाइट पर पढ़ें: drishtiias.com • visionias.in • ncert.nic.in (क्लिक करें)"/>
    <hyperlink ref="T275" r:id="rId1578" display="▶ दृष्टि IAS"/>
    <hyperlink ref="U275" r:id="rId1579" display="▶ BPSC वाला"/>
    <hyperlink ref="V275" r:id="rId1580" display="▶ BPSC वाला"/>
    <hyperlink ref="Y275" r:id="rId1581" display="📖 पढ़ें: दृष्टि • विजन • NCERT • जागरण जोश • GKToday"/>
    <hyperlink ref="J276" r:id="rId1582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276" r:id="rId1583" display="वेबसाइट पर पढ़ें: drishtiias.com • visionias.in • ncert.nic.in (क्लिक करें)"/>
    <hyperlink ref="T276" r:id="rId1584" display="▶ दृष्टि IAS"/>
    <hyperlink ref="U276" r:id="rId1585" display="▶ BPSC वाला"/>
    <hyperlink ref="V276" r:id="rId1586" display="▶ BPSC वाला"/>
    <hyperlink ref="Y276" r:id="rId1587" display="📖 पढ़ें: दृष्टि • विजन • NCERT • जागरण जोश • GKToday"/>
    <hyperlink ref="J277" r:id="rId1588" display="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"/>
    <hyperlink ref="K277" r:id="rId1589" display="वेबसाइट पर पढ़ें: drishtiias.com • visionias.in • ncert.nic.in (क्लिक करें)"/>
    <hyperlink ref="T277" r:id="rId1590" display="▶ दृष्टि IAS"/>
    <hyperlink ref="U277" r:id="rId1591" display="▶ BPSC वाला"/>
    <hyperlink ref="V277" r:id="rId1592" display="▶ BPSC वाला"/>
    <hyperlink ref="Y277" r:id="rId1593" display="📖 पढ़ें: दृष्टि • विजन • NCERT • जागरण जोश • GKToday"/>
    <hyperlink ref="J278" r:id="rId1594" display="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"/>
    <hyperlink ref="K278" r:id="rId1595" display="वेबसाइट पर पढ़ें: drishtiias.com • visionias.in • ncert.nic.in (क्लिक करें)"/>
    <hyperlink ref="T278" r:id="rId1596" display="▶ दृष्टि IAS"/>
    <hyperlink ref="U278" r:id="rId1597" display="▶ BPSC वाला"/>
    <hyperlink ref="V278" r:id="rId1598" display="▶ BPSC वाला"/>
    <hyperlink ref="Y278" r:id="rId1599" display="📖 पढ़ें: दृष्टि • विजन • NCERT • जागरण जोश • GKToday"/>
    <hyperlink ref="J279" r:id="rId1600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79" r:id="rId1601" display="वेबसाइट पर पढ़ें: drishtiias.com • visionias.in • pib.gov.in (क्लिक करें)"/>
    <hyperlink ref="T279" r:id="rId1602" display="▶ दृष्टि IAS"/>
    <hyperlink ref="U279" r:id="rId1603" display="▶ BPSC वाला"/>
    <hyperlink ref="V279" r:id="rId1604" display="▶ BPSC वाला"/>
    <hyperlink ref="J280" r:id="rId1605" display="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"/>
    <hyperlink ref="K280" r:id="rId1606" display="वेबसाइट पर पढ़ें: drishtiias.com • visionias.in • ncert.nic.in (क्लिक करें)"/>
    <hyperlink ref="T280" r:id="rId1607" display="▶ दृष्टि IAS"/>
    <hyperlink ref="U280" r:id="rId1608" display="▶ BPSC वाला"/>
    <hyperlink ref="V280" r:id="rId1609" display="▶ BPSC वाला"/>
    <hyperlink ref="Y280" r:id="rId1610" display="📖 पढ़ें: दृष्टि • विजन • NCERT • जागरण जोश • GKToday"/>
    <hyperlink ref="J281" r:id="rId1611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281" r:id="rId1612" display="वेबसाइट पर पढ़ें: drishtiias.com • visionias.in • ncert.nic.in (क्लिक करें)"/>
    <hyperlink ref="T281" r:id="rId1613" display="▶ दृष्टि IAS"/>
    <hyperlink ref="U281" r:id="rId1614" display="▶ BPSC वाला"/>
    <hyperlink ref="V281" r:id="rId1615" display="▶ BPSC वाला"/>
    <hyperlink ref="Y281" r:id="rId1616" display="📖 पढ़ें: दृष्टि • विजन • NCERT • जागरण जोश • GKToday"/>
    <hyperlink ref="J282" r:id="rId1617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282" r:id="rId1618" display="वेबसाइट पर पढ़ें: drishtiias.com • visionias.in • ncert.nic.in (क्लिक करें)"/>
    <hyperlink ref="T282" r:id="rId1619" display="▶ दृष्टि IAS"/>
    <hyperlink ref="U282" r:id="rId1620" display="▶ BPSC वाला"/>
    <hyperlink ref="V282" r:id="rId1621" display="▶ BPSC वाला"/>
    <hyperlink ref="Y282" r:id="rId1622" display="📖 पढ़ें: दृष्टि • विजन • NCERT • जागरण जोश • GKToday"/>
    <hyperlink ref="J283" r:id="rId1623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283" r:id="rId1624" display="वेबसाइट पर पढ़ें: drishtiias.com • visionias.in • ncert.nic.in (क्लिक करें)"/>
    <hyperlink ref="T283" r:id="rId1625" display="▶ दृष्टि IAS"/>
    <hyperlink ref="U283" r:id="rId1626" display="▶ BPSC वाला"/>
    <hyperlink ref="V283" r:id="rId1627" display="▶ BPSC वाला"/>
    <hyperlink ref="Y283" r:id="rId1628" display="📖 पढ़ें: दृष्टि • विजन • NCERT • जागरण जोश • GKToday"/>
    <hyperlink ref="J284" r:id="rId1629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284" r:id="rId1630" display="वेबसाइट पर पढ़ें: drishtiias.com • visionias.in • ncert.nic.in (क्लिक करें)"/>
    <hyperlink ref="T284" r:id="rId1631" display="▶ दृष्टि IAS"/>
    <hyperlink ref="U284" r:id="rId1632" display="▶ BPSC वाला"/>
    <hyperlink ref="V284" r:id="rId1633" display="▶ BPSC वाला"/>
    <hyperlink ref="Y284" r:id="rId1634" display="📖 पढ़ें: दृष्टि • विजन • NCERT • जागरण जोश • GKToday"/>
    <hyperlink ref="J285" r:id="rId1635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285" r:id="rId1636" display="वेबसाइट पर पढ़ें: drishtiias.com • visionias.in • ncert.nic.in (क्लिक करें)"/>
    <hyperlink ref="T285" r:id="rId1637" display="▶ दृष्टि IAS"/>
    <hyperlink ref="U285" r:id="rId1638" display="▶ BPSC वाला"/>
    <hyperlink ref="V285" r:id="rId1639" display="▶ BPSC वाला"/>
    <hyperlink ref="Y285" r:id="rId1640" display="📖 पढ़ें: दृष्टि • विजन • NCERT • जागरण जोश • GKToday"/>
    <hyperlink ref="J286" r:id="rId1641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86" r:id="rId1642" display="वेबसाइट पर पढ़ें: drishtiias.com • visionias.in • pib.gov.in (क्लिक करें)"/>
    <hyperlink ref="T286" r:id="rId1643" display="▶ दृष्टि IAS"/>
    <hyperlink ref="U286" r:id="rId1644" display="▶ BPSC वाला"/>
    <hyperlink ref="V286" r:id="rId1645" display="▶ BPSC वाला"/>
    <hyperlink ref="J287" r:id="rId1646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287" r:id="rId1647" display="वेबसाइट पर पढ़ें: drishtiias.com • visionias.in • ncert.nic.in (क्लिक करें)"/>
    <hyperlink ref="T287" r:id="rId1648" display="▶ दृष्टि IAS"/>
    <hyperlink ref="U287" r:id="rId1649" display="▶ BPSC वाला"/>
    <hyperlink ref="V287" r:id="rId1650" display="▶ BPSC वाला"/>
    <hyperlink ref="Y287" r:id="rId1651" display="📖 पढ़ें: दृष्टि • विजन • NCERT • जागरण जोश • GKToday"/>
    <hyperlink ref="J288" r:id="rId1652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288" r:id="rId1653" display="वेबसाइट पर पढ़ें: drishtiias.com • visionias.in • ncert.nic.in (क्लिक करें)"/>
    <hyperlink ref="T288" r:id="rId1654" display="▶ दृष्टि IAS"/>
    <hyperlink ref="U288" r:id="rId1655" display="▶ BPSC वाला"/>
    <hyperlink ref="V288" r:id="rId1656" display="▶ BPSC वाला"/>
    <hyperlink ref="Y288" r:id="rId1657" display="📖 पढ़ें: दृष्टि • विजन • NCERT • जागरण जोश • GKToday"/>
    <hyperlink ref="J289" r:id="rId1658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289" r:id="rId1659" display="वेबसाइट पर पढ़ें: drishtiias.com • visionias.in • prsindia.org (क्लिक करें)"/>
    <hyperlink ref="T289" r:id="rId1660" display="▶ दृष्टि IAS"/>
    <hyperlink ref="U289" r:id="rId1661" display="▶ BPSC वाला"/>
    <hyperlink ref="V289" r:id="rId1662" display="▶ BPSC वाला"/>
    <hyperlink ref="Y289" r:id="rId1663" display="📖 पढ़ें: दृष्टि • विजन • NCERT • जागरण जोश • GKToday"/>
    <hyperlink ref="J290" r:id="rId1664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290" r:id="rId1665" display="वेबसाइट पर पढ़ें: drishtiias.com • visionias.in • prsindia.org (क्लिक करें)"/>
    <hyperlink ref="T290" r:id="rId1666" display="▶ दृष्टि IAS"/>
    <hyperlink ref="U290" r:id="rId1667" display="▶ BPSC वाला"/>
    <hyperlink ref="V290" r:id="rId1668" display="▶ BPSC वाला"/>
    <hyperlink ref="Y290" r:id="rId1669" display="📖 पढ़ें: दृष्टि • विजन • NCERT • जागरण जोश • GKToday"/>
    <hyperlink ref="J291" r:id="rId1670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291" r:id="rId1671" display="वेबसाइट पर पढ़ें: drishtiias.com • visionias.in • prsindia.org (क्लिक करें)"/>
    <hyperlink ref="T291" r:id="rId1672" display="▶ दृष्टि IAS"/>
    <hyperlink ref="U291" r:id="rId1673" display="▶ BPSC वाला"/>
    <hyperlink ref="V291" r:id="rId1674" display="▶ BPSC वाला"/>
    <hyperlink ref="Y291" r:id="rId1675" display="📖 पढ़ें: दृष्टि • विजन • NCERT • जागरण जोश • GKToday"/>
    <hyperlink ref="J292" r:id="rId1676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292" r:id="rId1677" display="वेबसाइट पर पढ़ें: drishtiias.com • visionias.in • prsindia.org (क्लिक करें)"/>
    <hyperlink ref="T292" r:id="rId1678" display="▶ दृष्टि IAS"/>
    <hyperlink ref="U292" r:id="rId1679" display="▶ BPSC वाला"/>
    <hyperlink ref="V292" r:id="rId1680" display="▶ BPSC वाला"/>
    <hyperlink ref="Y292" r:id="rId1681" display="📖 पढ़ें: दृष्टि • विजन • NCERT • जागरण जोश • GKToday"/>
    <hyperlink ref="J293" r:id="rId1682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293" r:id="rId1683" display="वेबसाइट पर पढ़ें: drishtiias.com • visionias.in • pib.gov.in (क्लिक करें)"/>
    <hyperlink ref="T293" r:id="rId1684" display="▶ दृष्टि IAS"/>
    <hyperlink ref="U293" r:id="rId1685" display="▶ BPSC वाला"/>
    <hyperlink ref="V293" r:id="rId1686" display="▶ BPSC वाला"/>
    <hyperlink ref="J294" r:id="rId1687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294" r:id="rId1688" display="वेबसाइट पर पढ़ें: drishtiias.com • visionias.in • prsindia.org (क्लिक करें)"/>
    <hyperlink ref="T294" r:id="rId1689" display="▶ दृष्टि IAS"/>
    <hyperlink ref="U294" r:id="rId1690" display="▶ BPSC वाला"/>
    <hyperlink ref="V294" r:id="rId1691" display="▶ BPSC वाला"/>
    <hyperlink ref="Y294" r:id="rId1692" display="📖 पढ़ें: दृष्टि • विजन • NCERT • जागरण जोश • GKToday"/>
    <hyperlink ref="J295" r:id="rId1693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295" r:id="rId1694" display="वेबसाइट पर पढ़ें: drishtiias.com • visionias.in • prsindia.org (क्लिक करें)"/>
    <hyperlink ref="T295" r:id="rId1695" display="▶ दृष्टि IAS"/>
    <hyperlink ref="U295" r:id="rId1696" display="▶ BPSC वाला"/>
    <hyperlink ref="V295" r:id="rId1697" display="▶ BPSC वाला"/>
    <hyperlink ref="Y295" r:id="rId1698" display="📖 पढ़ें: दृष्टि • विजन • NCERT • जागरण जोश • GKToday"/>
    <hyperlink ref="J296" r:id="rId1699" display="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"/>
    <hyperlink ref="K296" r:id="rId1700" display="वेबसाइट पर पढ़ें: drishtiias.com • visionias.in • prsindia.org (क्लिक करें)"/>
    <hyperlink ref="T296" r:id="rId1701" display="▶ दृष्टि IAS"/>
    <hyperlink ref="U296" r:id="rId1702" display="▶ BPSC वाला"/>
    <hyperlink ref="V296" r:id="rId1703" display="▶ BPSC वाला"/>
    <hyperlink ref="Y296" r:id="rId1704" display="📖 पढ़ें: दृष्टि • विजन • NCERT • जागरण जोश • GKToday"/>
    <hyperlink ref="J297" r:id="rId1705" display="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"/>
    <hyperlink ref="K297" r:id="rId1706" display="वेबसाइट पर पढ़ें: drishtiias.com • visionias.in • prsindia.org (क्लिक करें)"/>
    <hyperlink ref="T297" r:id="rId1707" display="▶ दृष्टि IAS"/>
    <hyperlink ref="U297" r:id="rId1708" display="▶ BPSC वाला"/>
    <hyperlink ref="V297" r:id="rId1709" display="▶ BPSC वाला"/>
    <hyperlink ref="Y297" r:id="rId1710" display="📖 पढ़ें: दृष्टि • विजन • NCERT • जागरण जोश • GKToday"/>
    <hyperlink ref="J298" r:id="rId1711" display="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"/>
    <hyperlink ref="K298" r:id="rId1712" display="वेबसाइट पर पढ़ें: drishtiias.com • visionias.in • prsindia.org (क्लिक करें)"/>
    <hyperlink ref="T298" r:id="rId1713" display="▶ दृष्टि IAS"/>
    <hyperlink ref="U298" r:id="rId1714" display="▶ BPSC वाला"/>
    <hyperlink ref="V298" r:id="rId1715" display="▶ BPSC वाला"/>
    <hyperlink ref="Y298" r:id="rId1716" display="📖 पढ़ें: दृष्टि • विजन • NCERT • जागरण जोश • GKToday"/>
    <hyperlink ref="J299" r:id="rId1717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299" r:id="rId1718" display="वेबसाइट पर पढ़ें: drishtiias.com • visionias.in • prsindia.org (क्लिक करें)"/>
    <hyperlink ref="T299" r:id="rId1719" display="▶ दृष्टि IAS"/>
    <hyperlink ref="U299" r:id="rId1720" display="▶ BPSC वाला"/>
    <hyperlink ref="V299" r:id="rId1721" display="▶ BPSC वाला"/>
    <hyperlink ref="Y299" r:id="rId1722" display="📖 पढ़ें: दृष्टि • विजन • NCERT • जागरण जोश • GKToday"/>
    <hyperlink ref="J300" r:id="rId172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00" r:id="rId1724" display="वेबसाइट पर पढ़ें: drishtiias.com • visionias.in • pib.gov.in (क्लिक करें)"/>
    <hyperlink ref="T300" r:id="rId1725" display="▶ दृष्टि IAS"/>
    <hyperlink ref="U300" r:id="rId1726" display="▶ BPSC वाला"/>
    <hyperlink ref="V300" r:id="rId1727" display="▶ BPSC वाला"/>
    <hyperlink ref="J301" r:id="rId1728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301" r:id="rId1729" display="वेबसाइट पर पढ़ें: drishtiias.com • visionias.in • prsindia.org (क्लिक करें)"/>
    <hyperlink ref="T301" r:id="rId1730" display="▶ दृष्टि IAS"/>
    <hyperlink ref="U301" r:id="rId1731" display="▶ BPSC वाला"/>
    <hyperlink ref="V301" r:id="rId1732" display="▶ BPSC वाला"/>
    <hyperlink ref="Y301" r:id="rId1733" display="📖 पढ़ें: दृष्टि • विजन • NCERT • जागरण जोश • GKToday"/>
    <hyperlink ref="J302" r:id="rId1734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302" r:id="rId1735" display="वेबसाइट पर पढ़ें: drishtiias.com • visionias.in • prsindia.org (क्लिक करें)"/>
    <hyperlink ref="T302" r:id="rId1736" display="▶ दृष्टि IAS"/>
    <hyperlink ref="U302" r:id="rId1737" display="▶ BPSC वाला"/>
    <hyperlink ref="V302" r:id="rId1738" display="▶ BPSC वाला"/>
    <hyperlink ref="Y302" r:id="rId1739" display="📖 पढ़ें: दृष्टि • विजन • NCERT • जागरण जोश • GKToday"/>
    <hyperlink ref="J303" r:id="rId1740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303" r:id="rId1741" display="वेबसाइट पर पढ़ें: drishtiias.com • visionias.in • prsindia.org (क्लिक करें)"/>
    <hyperlink ref="T303" r:id="rId1742" display="▶ दृष्टि IAS"/>
    <hyperlink ref="U303" r:id="rId1743" display="▶ BPSC वाला"/>
    <hyperlink ref="V303" r:id="rId1744" display="▶ BPSC वाला"/>
    <hyperlink ref="Y303" r:id="rId1745" display="📖 पढ़ें: दृष्टि • विजन • NCERT • जागरण जोश • GKToday"/>
    <hyperlink ref="J304" r:id="rId1746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304" r:id="rId1747" display="वेबसाइट पर पढ़ें: drishtiias.com • visionias.in • prsindia.org (क्लिक करें)"/>
    <hyperlink ref="T304" r:id="rId1748" display="▶ दृष्टि IAS"/>
    <hyperlink ref="U304" r:id="rId1749" display="▶ BPSC वाला"/>
    <hyperlink ref="V304" r:id="rId1750" display="▶ BPSC वाला"/>
    <hyperlink ref="Y304" r:id="rId1751" display="📖 पढ़ें: दृष्टि • विजन • NCERT • जागरण जोश • GKToday"/>
    <hyperlink ref="J305" r:id="rId1752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305" r:id="rId1753" display="वेबसाइट पर पढ़ें: drishtiias.com • visionias.in • prsindia.org (क्लिक करें)"/>
    <hyperlink ref="T305" r:id="rId1754" display="▶ दृष्टि IAS"/>
    <hyperlink ref="U305" r:id="rId1755" display="▶ BPSC वाला"/>
    <hyperlink ref="V305" r:id="rId1756" display="▶ BPSC वाला"/>
    <hyperlink ref="Y305" r:id="rId1757" display="📖 पढ़ें: दृष्टि • विजन • NCERT • जागरण जोश • GKToday"/>
    <hyperlink ref="J306" r:id="rId1758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306" r:id="rId1759" display="वेबसाइट पर पढ़ें: drishtiias.com • visionias.in • prsindia.org (क्लिक करें)"/>
    <hyperlink ref="T306" r:id="rId1760" display="▶ दृष्टि IAS"/>
    <hyperlink ref="U306" r:id="rId1761" display="▶ BPSC वाला"/>
    <hyperlink ref="V306" r:id="rId1762" display="▶ BPSC वाला"/>
    <hyperlink ref="Y306" r:id="rId1763" display="📖 पढ़ें: दृष्टि • विजन • NCERT • जागरण जोश • GKToday"/>
    <hyperlink ref="J307" r:id="rId1764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07" r:id="rId1765" display="वेबसाइट पर पढ़ें: drishtiias.com • visionias.in • pib.gov.in (क्लिक करें)"/>
    <hyperlink ref="T307" r:id="rId1766" display="▶ दृष्टि IAS"/>
    <hyperlink ref="U307" r:id="rId1767" display="▶ BPSC वाला"/>
    <hyperlink ref="V307" r:id="rId1768" display="▶ BPSC वाला"/>
    <hyperlink ref="J308" r:id="rId1769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308" r:id="rId1770" display="वेबसाइट पर पढ़ें: drishtiias.com • visionias.in • prsindia.org (क्लिक करें)"/>
    <hyperlink ref="T308" r:id="rId1771" display="▶ दृष्टि IAS"/>
    <hyperlink ref="U308" r:id="rId1772" display="▶ BPSC वाला"/>
    <hyperlink ref="V308" r:id="rId1773" display="▶ BPSC वाला"/>
    <hyperlink ref="Y308" r:id="rId1774" display="📖 पढ़ें: दृष्टि • विजन • NCERT • जागरण जोश • GKToday"/>
    <hyperlink ref="J309" r:id="rId1775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309" r:id="rId1776" display="वेबसाइट पर पढ़ें: drishtiias.com • visionias.in • prsindia.org (क्लिक करें)"/>
    <hyperlink ref="T309" r:id="rId1777" display="▶ दृष्टि IAS"/>
    <hyperlink ref="U309" r:id="rId1778" display="▶ BPSC वाला"/>
    <hyperlink ref="V309" r:id="rId1779" display="▶ BPSC वाला"/>
    <hyperlink ref="Y309" r:id="rId1780" display="📖 पढ़ें: दृष्टि • विजन • NCERT • जागरण जोश • GKToday"/>
    <hyperlink ref="J310" r:id="rId1781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310" r:id="rId1782" display="वेबसाइट पर पढ़ें: drishtiias.com • visionias.in • prsindia.org (क्लिक करें)"/>
    <hyperlink ref="T310" r:id="rId1783" display="▶ दृष्टि IAS"/>
    <hyperlink ref="U310" r:id="rId1784" display="▶ BPSC वाला"/>
    <hyperlink ref="V310" r:id="rId1785" display="▶ BPSC वाला"/>
    <hyperlink ref="Y310" r:id="rId1786" display="📖 पढ़ें: दृष्टि • विजन • NCERT • जागरण जोश • GKToday"/>
    <hyperlink ref="J311" r:id="rId1787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311" r:id="rId1788" display="वेबसाइट पर पढ़ें: drishtiias.com • visionias.in • prsindia.org (क्लिक करें)"/>
    <hyperlink ref="T311" r:id="rId1789" display="▶ दृष्टि IAS"/>
    <hyperlink ref="U311" r:id="rId1790" display="▶ BPSC वाला"/>
    <hyperlink ref="V311" r:id="rId1791" display="▶ BPSC वाला"/>
    <hyperlink ref="Y311" r:id="rId1792" display="📖 पढ़ें: दृष्टि • विजन • NCERT • जागरण जोश • GKToday"/>
    <hyperlink ref="J312" r:id="rId1793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312" r:id="rId1794" display="वेबसाइट पर पढ़ें: drishtiias.com • visionias.in • prsindia.org (क्लिक करें)"/>
    <hyperlink ref="T312" r:id="rId1795" display="▶ दृष्टि IAS"/>
    <hyperlink ref="U312" r:id="rId1796" display="▶ BPSC वाला"/>
    <hyperlink ref="V312" r:id="rId1797" display="▶ BPSC वाला"/>
    <hyperlink ref="Y312" r:id="rId1798" display="📖 पढ़ें: दृष्टि • विजन • NCERT • जागरण जोश • GKToday"/>
    <hyperlink ref="J313" r:id="rId1799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313" r:id="rId1800" display="वेबसाइट पर पढ़ें: drishtiias.com • visionias.in • prsindia.org (क्लिक करें)"/>
    <hyperlink ref="T313" r:id="rId1801" display="▶ दृष्टि IAS"/>
    <hyperlink ref="U313" r:id="rId1802" display="▶ BPSC वाला"/>
    <hyperlink ref="V313" r:id="rId1803" display="▶ BPSC वाला"/>
    <hyperlink ref="Y313" r:id="rId1804" display="📖 पढ़ें: दृष्टि • विजन • NCERT • जागरण जोश • GKToday"/>
    <hyperlink ref="J314" r:id="rId1805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14" r:id="rId1806" display="वेबसाइट पर पढ़ें: drishtiias.com • visionias.in • pib.gov.in (क्लिक करें)"/>
    <hyperlink ref="T314" r:id="rId1807" display="▶ दृष्टि IAS"/>
    <hyperlink ref="U314" r:id="rId1808" display="▶ BPSC वाला"/>
    <hyperlink ref="V314" r:id="rId1809" display="▶ BPSC वाला"/>
    <hyperlink ref="J315" r:id="rId1810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315" r:id="rId1811" display="वेबसाइट पर पढ़ें: drishtiias.com • visionias.in • prsindia.org (क्लिक करें)"/>
    <hyperlink ref="T315" r:id="rId1812" display="▶ दृष्टि IAS"/>
    <hyperlink ref="U315" r:id="rId1813" display="▶ BPSC वाला"/>
    <hyperlink ref="V315" r:id="rId1814" display="▶ BPSC वाला"/>
    <hyperlink ref="Y315" r:id="rId1815" display="📖 पढ़ें: दृष्टि • विजन • NCERT • जागरण जोश • GKToday"/>
    <hyperlink ref="J316" r:id="rId1816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316" r:id="rId1817" display="वेबसाइट पर पढ़ें: drishtiias.com • visionias.in • prsindia.org (क्लिक करें)"/>
    <hyperlink ref="T316" r:id="rId1818" display="▶ दृष्टि IAS"/>
    <hyperlink ref="U316" r:id="rId1819" display="▶ BPSC वाला"/>
    <hyperlink ref="V316" r:id="rId1820" display="▶ BPSC वाला"/>
    <hyperlink ref="Y316" r:id="rId1821" display="📖 पढ़ें: दृष्टि • विजन • NCERT • जागरण जोश • GKToday"/>
    <hyperlink ref="J317" r:id="rId1822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317" r:id="rId1823" display="वेबसाइट पर पढ़ें: drishtiias.com • visionias.in • prsindia.org (क्लिक करें)"/>
    <hyperlink ref="T317" r:id="rId1824" display="▶ दृष्टि IAS"/>
    <hyperlink ref="U317" r:id="rId1825" display="▶ BPSC वाला"/>
    <hyperlink ref="V317" r:id="rId1826" display="▶ BPSC वाला"/>
    <hyperlink ref="Y317" r:id="rId1827" display="📖 पढ़ें: दृष्टि • विजन • NCERT • जागरण जोश • GKToday"/>
    <hyperlink ref="J318" r:id="rId1828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318" r:id="rId1829" display="वेबसाइट पर पढ़ें: drishtiias.com • visionias.in • prsindia.org (क्लिक करें)"/>
    <hyperlink ref="T318" r:id="rId1830" display="▶ दृष्टि IAS"/>
    <hyperlink ref="U318" r:id="rId1831" display="▶ BPSC वाला"/>
    <hyperlink ref="V318" r:id="rId1832" display="▶ BPSC वाला"/>
    <hyperlink ref="Y318" r:id="rId1833" display="📖 पढ़ें: दृष्टि • विजन • NCERT • जागरण जोश • GKToday"/>
    <hyperlink ref="J319" r:id="rId1834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319" r:id="rId1835" display="वेबसाइट पर पढ़ें: drishtiias.com • visionias.in • prsindia.org (क्लिक करें)"/>
    <hyperlink ref="T319" r:id="rId1836" display="▶ दृष्टि IAS"/>
    <hyperlink ref="U319" r:id="rId1837" display="▶ BPSC वाला"/>
    <hyperlink ref="V319" r:id="rId1838" display="▶ BPSC वाला"/>
    <hyperlink ref="Y319" r:id="rId1839" display="📖 पढ़ें: दृष्टि • विजन • NCERT • जागरण जोश • GKToday"/>
    <hyperlink ref="J320" r:id="rId1840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320" r:id="rId1841" display="वेबसाइट पर पढ़ें: drishtiias.com • visionias.in • prsindia.org (क्लिक करें)"/>
    <hyperlink ref="T320" r:id="rId1842" display="▶ दृष्टि IAS"/>
    <hyperlink ref="U320" r:id="rId1843" display="▶ BPSC वाला"/>
    <hyperlink ref="V320" r:id="rId1844" display="▶ BPSC वाला"/>
    <hyperlink ref="Y320" r:id="rId1845" display="📖 पढ़ें: दृष्टि • विजन • NCERT • जागरण जोश • GKToday"/>
    <hyperlink ref="J321" r:id="rId1846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21" r:id="rId1847" display="वेबसाइट पर पढ़ें: drishtiias.com • visionias.in • pib.gov.in (क्लिक करें)"/>
    <hyperlink ref="T321" r:id="rId1848" display="▶ दृष्टि IAS"/>
    <hyperlink ref="U321" r:id="rId1849" display="▶ BPSC वाला"/>
    <hyperlink ref="V321" r:id="rId1850" display="▶ BPSC वाला"/>
    <hyperlink ref="J322" r:id="rId1851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322" r:id="rId1852" display="वेबसाइट पर पढ़ें: drishtiias.com • visionias.in • prsindia.org (क्लिक करें)"/>
    <hyperlink ref="T322" r:id="rId1853" display="▶ दृष्टि IAS"/>
    <hyperlink ref="U322" r:id="rId1854" display="▶ BPSC वाला"/>
    <hyperlink ref="V322" r:id="rId1855" display="▶ BPSC वाला"/>
    <hyperlink ref="Y322" r:id="rId1856" display="📖 पढ़ें: दृष्टि • विजन • NCERT • जागरण जोश • GKToday"/>
    <hyperlink ref="J323" r:id="rId1857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323" r:id="rId1858" display="वेबसाइट पर पढ़ें: drishtiias.com • visionias.in • prsindia.org (क्लिक करें)"/>
    <hyperlink ref="T323" r:id="rId1859" display="▶ दृष्टि IAS"/>
    <hyperlink ref="U323" r:id="rId1860" display="▶ BPSC वाला"/>
    <hyperlink ref="V323" r:id="rId1861" display="▶ BPSC वाला"/>
    <hyperlink ref="Y323" r:id="rId1862" display="📖 पढ़ें: दृष्टि • विजन • NCERT • जागरण जोश • GKToday"/>
    <hyperlink ref="J324" r:id="rId1863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324" r:id="rId1864" display="वेबसाइट पर पढ़ें: drishtiias.com • visionias.in • prsindia.org (क्लिक करें)"/>
    <hyperlink ref="T324" r:id="rId1865" display="▶ दृष्टि IAS"/>
    <hyperlink ref="U324" r:id="rId1866" display="▶ BPSC वाला"/>
    <hyperlink ref="V324" r:id="rId1867" display="▶ BPSC वाला"/>
    <hyperlink ref="Y324" r:id="rId1868" display="📖 पढ़ें: दृष्टि • विजन • NCERT • जागरण जोश • GKToday"/>
    <hyperlink ref="J325" r:id="rId1869" display="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"/>
    <hyperlink ref="K325" r:id="rId1870" display="वेबसाइट पर पढ़ें: drishtiias.com • visionias.in • prsindia.org (क्लिक करें)"/>
    <hyperlink ref="T325" r:id="rId1871" display="▶ दृष्टि IAS"/>
    <hyperlink ref="U325" r:id="rId1872" display="▶ BPSC वाला"/>
    <hyperlink ref="V325" r:id="rId1873" display="▶ BPSC वाला"/>
    <hyperlink ref="Y325" r:id="rId1874" display="📖 पढ़ें: दृष्टि • विजन • NCERT • जागरण जोश • GKToday"/>
    <hyperlink ref="J326" r:id="rId1875" display="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"/>
    <hyperlink ref="K326" r:id="rId1876" display="वेबसाइट पर पढ़ें: drishtiias.com • visionias.in • prsindia.org (क्लिक करें)"/>
    <hyperlink ref="T326" r:id="rId1877" display="▶ दृष्टि IAS"/>
    <hyperlink ref="U326" r:id="rId1878" display="▶ BPSC वाला"/>
    <hyperlink ref="V326" r:id="rId1879" display="▶ BPSC वाला"/>
    <hyperlink ref="Y326" r:id="rId1880" display="📖 पढ़ें: दृष्टि • विजन • NCERT • जागरण जोश • GKToday"/>
    <hyperlink ref="J327" r:id="rId1881" display="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"/>
    <hyperlink ref="K327" r:id="rId1882" display="वेबसाइट पर पढ़ें: drishtiias.com • visionias.in • prsindia.org (क्लिक करें)"/>
    <hyperlink ref="T327" r:id="rId1883" display="▶ दृष्टि IAS"/>
    <hyperlink ref="U327" r:id="rId1884" display="▶ BPSC वाला"/>
    <hyperlink ref="V327" r:id="rId1885" display="▶ BPSC वाला"/>
    <hyperlink ref="Y327" r:id="rId1886" display="📖 पढ़ें: दृष्टि • विजन • NCERT • जागरण जोश • GKToday"/>
    <hyperlink ref="J328" r:id="rId1887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28" r:id="rId1888" display="वेबसाइट पर पढ़ें: drishtiias.com • visionias.in • pib.gov.in (क्लिक करें)"/>
    <hyperlink ref="T328" r:id="rId1889" display="▶ दृष्टि IAS"/>
    <hyperlink ref="U328" r:id="rId1890" display="▶ BPSC वाला"/>
    <hyperlink ref="V328" r:id="rId1891" display="▶ BPSC वाला"/>
    <hyperlink ref="J329" r:id="rId1892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329" r:id="rId1893" display="वेबसाइट पर पढ़ें: drishtiias.com • visionias.in • pib.gov.in • indiabudget.gov.in (क्लिक करें)"/>
    <hyperlink ref="T329" r:id="rId1894" display="▶ दृष्टि IAS"/>
    <hyperlink ref="U329" r:id="rId1895" display="▶ BPSC वाला"/>
    <hyperlink ref="V329" r:id="rId1896" display="▶ BPSC वाला"/>
    <hyperlink ref="Y329" r:id="rId1897" display="📖 पढ़ें: दृष्टि • विजन • NCERT • जागरण जोश • GKToday"/>
    <hyperlink ref="J330" r:id="rId1898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330" r:id="rId1899" display="वेबसाइट पर पढ़ें: drishtiias.com • visionias.in • pib.gov.in • indiabudget.gov.in (क्लिक करें)"/>
    <hyperlink ref="T330" r:id="rId1900" display="▶ दृष्टि IAS"/>
    <hyperlink ref="U330" r:id="rId1901" display="▶ BPSC वाला"/>
    <hyperlink ref="V330" r:id="rId1902" display="▶ BPSC वाला"/>
    <hyperlink ref="Y330" r:id="rId1903" display="📖 पढ़ें: दृष्टि • विजन • NCERT • जागरण जोश • GKToday"/>
    <hyperlink ref="J331" r:id="rId1904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331" r:id="rId1905" display="वेबसाइट पर पढ़ें: drishtiias.com • visionias.in • pib.gov.in • indiabudget.gov.in (क्लिक करें)"/>
    <hyperlink ref="T331" r:id="rId1906" display="▶ दृष्टि IAS"/>
    <hyperlink ref="U331" r:id="rId1907" display="▶ BPSC वाला"/>
    <hyperlink ref="V331" r:id="rId1908" display="▶ BPSC वाला"/>
    <hyperlink ref="Y331" r:id="rId1909" display="📖 पढ़ें: दृष्टि • विजन • NCERT • जागरण जोश • GKToday"/>
    <hyperlink ref="J332" r:id="rId1910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332" r:id="rId1911" display="वेबसाइट पर पढ़ें: drishtiias.com • visionias.in • pib.gov.in • indiabudget.gov.in (क्लिक करें)"/>
    <hyperlink ref="T332" r:id="rId1912" display="▶ दृष्टि IAS"/>
    <hyperlink ref="U332" r:id="rId1913" display="▶ BPSC वाला"/>
    <hyperlink ref="V332" r:id="rId1914" display="▶ BPSC वाला"/>
    <hyperlink ref="Y332" r:id="rId1915" display="📖 पढ़ें: दृष्टि • विजन • NCERT • जागरण जोश • GKToday"/>
    <hyperlink ref="J333" r:id="rId1916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333" r:id="rId1917" display="वेबसाइट पर पढ़ें: drishtiias.com • visionias.in • pib.gov.in • indiabudget.gov.in (क्लिक करें)"/>
    <hyperlink ref="T333" r:id="rId1918" display="▶ दृष्टि IAS"/>
    <hyperlink ref="U333" r:id="rId1919" display="▶ BPSC वाला"/>
    <hyperlink ref="V333" r:id="rId1920" display="▶ BPSC वाला"/>
    <hyperlink ref="Y333" r:id="rId1921" display="📖 पढ़ें: दृष्टि • विजन • NCERT • जागरण जोश • GKToday"/>
    <hyperlink ref="J334" r:id="rId1922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334" r:id="rId1923" display="वेबसाइट पर पढ़ें: drishtiias.com • visionias.in • pib.gov.in • indiabudget.gov.in (क्लिक करें)"/>
    <hyperlink ref="T334" r:id="rId1924" display="▶ दृष्टि IAS"/>
    <hyperlink ref="U334" r:id="rId1925" display="▶ BPSC वाला"/>
    <hyperlink ref="V334" r:id="rId1926" display="▶ BPSC वाला"/>
    <hyperlink ref="Y334" r:id="rId1927" display="📖 पढ़ें: दृष्टि • विजन • NCERT • जागरण जोश • GKToday"/>
    <hyperlink ref="J335" r:id="rId192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35" r:id="rId1929" display="वेबसाइट पर पढ़ें: drishtiias.com • visionias.in • pib.gov.in (क्लिक करें)"/>
    <hyperlink ref="T335" r:id="rId1930" display="▶ दृष्टि IAS"/>
    <hyperlink ref="U335" r:id="rId1931" display="▶ BPSC वाला"/>
    <hyperlink ref="V335" r:id="rId1932" display="▶ BPSC वाला"/>
    <hyperlink ref="J336" r:id="rId1933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336" r:id="rId1934" display="वेबसाइट पर पढ़ें: drishtiias.com • visionias.in • pib.gov.in • indiabudget.gov.in (क्लिक करें)"/>
    <hyperlink ref="T336" r:id="rId1935" display="▶ दृष्टि IAS"/>
    <hyperlink ref="U336" r:id="rId1936" display="▶ BPSC वाला"/>
    <hyperlink ref="V336" r:id="rId1937" display="▶ BPSC वाला"/>
    <hyperlink ref="Y336" r:id="rId1938" display="📖 पढ़ें: दृष्टि • विजन • NCERT • जागरण जोश • GKToday"/>
    <hyperlink ref="J337" r:id="rId1939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337" r:id="rId1940" display="वेबसाइट पर पढ़ें: drishtiias.com • visionias.in • pib.gov.in • indiabudget.gov.in (क्लिक करें)"/>
    <hyperlink ref="T337" r:id="rId1941" display="▶ दृष्टि IAS"/>
    <hyperlink ref="U337" r:id="rId1942" display="▶ BPSC वाला"/>
    <hyperlink ref="V337" r:id="rId1943" display="▶ BPSC वाला"/>
    <hyperlink ref="Y337" r:id="rId1944" display="📖 पढ़ें: दृष्टि • विजन • NCERT • जागरण जोश • GKToday"/>
    <hyperlink ref="J338" r:id="rId1945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338" r:id="rId1946" display="वेबसाइट पर पढ़ें: drishtiias.com • visionias.in • pib.gov.in • indiabudget.gov.in (क्लिक करें)"/>
    <hyperlink ref="T338" r:id="rId1947" display="▶ दृष्टि IAS"/>
    <hyperlink ref="U338" r:id="rId1948" display="▶ BPSC वाला"/>
    <hyperlink ref="V338" r:id="rId1949" display="▶ BPSC वाला"/>
    <hyperlink ref="Y338" r:id="rId1950" display="📖 पढ़ें: दृष्टि • विजन • NCERT • जागरण जोश • GKToday"/>
    <hyperlink ref="J339" r:id="rId1951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339" r:id="rId1952" display="वेबसाइट पर पढ़ें: drishtiias.com • visionias.in • pib.gov.in • indiabudget.gov.in (क्लिक करें)"/>
    <hyperlink ref="T339" r:id="rId1953" display="▶ दृष्टि IAS"/>
    <hyperlink ref="U339" r:id="rId1954" display="▶ BPSC वाला"/>
    <hyperlink ref="V339" r:id="rId1955" display="▶ BPSC वाला"/>
    <hyperlink ref="Y339" r:id="rId1956" display="📖 पढ़ें: दृष्टि • विजन • NCERT • जागरण जोश • GKToday"/>
    <hyperlink ref="J340" r:id="rId1957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340" r:id="rId1958" display="वेबसाइट पर पढ़ें: drishtiias.com • visionias.in • pib.gov.in • indiabudget.gov.in (क्लिक करें)"/>
    <hyperlink ref="T340" r:id="rId1959" display="▶ दृष्टि IAS"/>
    <hyperlink ref="U340" r:id="rId1960" display="▶ BPSC वाला"/>
    <hyperlink ref="V340" r:id="rId1961" display="▶ BPSC वाला"/>
    <hyperlink ref="Y340" r:id="rId1962" display="📖 पढ़ें: दृष्टि • विजन • NCERT • जागरण जोश • GKToday"/>
    <hyperlink ref="J341" r:id="rId1963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341" r:id="rId1964" display="वेबसाइट पर पढ़ें: drishtiias.com • visionias.in • pib.gov.in • indiabudget.gov.in (क्लिक करें)"/>
    <hyperlink ref="T341" r:id="rId1965" display="▶ दृष्टि IAS"/>
    <hyperlink ref="U341" r:id="rId1966" display="▶ BPSC वाला"/>
    <hyperlink ref="V341" r:id="rId1967" display="▶ BPSC वाला"/>
    <hyperlink ref="Y341" r:id="rId1968" display="📖 पढ़ें: दृष्टि • विजन • NCERT • जागरण जोश • GKToday"/>
    <hyperlink ref="J342" r:id="rId1969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42" r:id="rId1970" display="वेबसाइट पर पढ़ें: drishtiias.com • visionias.in • pib.gov.in (क्लिक करें)"/>
    <hyperlink ref="T342" r:id="rId1971" display="▶ दृष्टि IAS"/>
    <hyperlink ref="U342" r:id="rId1972" display="▶ BPSC वाला"/>
    <hyperlink ref="V342" r:id="rId1973" display="▶ BPSC वाला"/>
    <hyperlink ref="J343" r:id="rId1974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343" r:id="rId1975" display="वेबसाइट पर पढ़ें: drishtiias.com • visionias.in • pib.gov.in • indiabudget.gov.in (क्लिक करें)"/>
    <hyperlink ref="T343" r:id="rId1976" display="▶ दृष्टि IAS"/>
    <hyperlink ref="U343" r:id="rId1977" display="▶ BPSC वाला"/>
    <hyperlink ref="V343" r:id="rId1978" display="▶ BPSC वाला"/>
    <hyperlink ref="Y343" r:id="rId1979" display="📖 पढ़ें: दृष्टि • विजन • NCERT • जागरण जोश • GKToday"/>
    <hyperlink ref="J344" r:id="rId1980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344" r:id="rId1981" display="वेबसाइट पर पढ़ें: drishtiias.com • visionias.in • pib.gov.in • indiabudget.gov.in (क्लिक करें)"/>
    <hyperlink ref="T344" r:id="rId1982" display="▶ दृष्टि IAS"/>
    <hyperlink ref="U344" r:id="rId1983" display="▶ BPSC वाला"/>
    <hyperlink ref="V344" r:id="rId1984" display="▶ BPSC वाला"/>
    <hyperlink ref="Y344" r:id="rId1985" display="📖 पढ़ें: दृष्टि • विजन • NCERT • जागरण जोश • GKToday"/>
    <hyperlink ref="J345" r:id="rId1986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345" r:id="rId1987" display="वेबसाइट पर पढ़ें: drishtiias.com • visionias.in • pib.gov.in • indiabudget.gov.in (क्लिक करें)"/>
    <hyperlink ref="T345" r:id="rId1988" display="▶ दृष्टि IAS"/>
    <hyperlink ref="U345" r:id="rId1989" display="▶ BPSC वाला"/>
    <hyperlink ref="V345" r:id="rId1990" display="▶ BPSC वाला"/>
    <hyperlink ref="Y345" r:id="rId1991" display="📖 पढ़ें: दृष्टि • विजन • NCERT • जागरण जोश • GKToday"/>
    <hyperlink ref="J346" r:id="rId1992" display="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"/>
    <hyperlink ref="K346" r:id="rId1993" display="वेबसाइट पर पढ़ें: drishtiias.com • visionias.in • pib.gov.in • indiabudget.gov.in (क्लिक करें)"/>
    <hyperlink ref="T346" r:id="rId1994" display="▶ दृष्टि IAS"/>
    <hyperlink ref="U346" r:id="rId1995" display="▶ BPSC वाला"/>
    <hyperlink ref="V346" r:id="rId1996" display="▶ BPSC वाला"/>
    <hyperlink ref="Y346" r:id="rId1997" display="📖 पढ़ें: दृष्टि • विजन • NCERT • जागरण जोश • GKToday"/>
    <hyperlink ref="J347" r:id="rId1998" display="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"/>
    <hyperlink ref="K347" r:id="rId1999" display="वेबसाइट पर पढ़ें: drishtiias.com • visionias.in • pib.gov.in • indiabudget.gov.in (क्लिक करें)"/>
    <hyperlink ref="T347" r:id="rId2000" display="▶ दृष्टि IAS"/>
    <hyperlink ref="U347" r:id="rId2001" display="▶ BPSC वाला"/>
    <hyperlink ref="V347" r:id="rId2002" display="▶ BPSC वाला"/>
    <hyperlink ref="Y347" r:id="rId2003" display="📖 पढ़ें: दृष्टि • विजन • NCERT • जागरण जोश • GKToday"/>
    <hyperlink ref="J348" r:id="rId2004" display="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"/>
    <hyperlink ref="K348" r:id="rId2005" display="वेबसाइट पर पढ़ें: drishtiias.com • visionias.in • pib.gov.in • indiabudget.gov.in (क्लिक करें)"/>
    <hyperlink ref="T348" r:id="rId2006" display="▶ दृष्टि IAS"/>
    <hyperlink ref="U348" r:id="rId2007" display="▶ BPSC वाला"/>
    <hyperlink ref="V348" r:id="rId2008" display="▶ BPSC वाला"/>
    <hyperlink ref="Y348" r:id="rId2009" display="📖 पढ़ें: दृष्टि • विजन • NCERT • जागरण जोश • GKToday"/>
    <hyperlink ref="J349" r:id="rId2010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49" r:id="rId2011" display="वेबसाइट पर पढ़ें: drishtiias.com • visionias.in • pib.gov.in (क्लिक करें)"/>
    <hyperlink ref="T349" r:id="rId2012" display="▶ दृष्टि IAS"/>
    <hyperlink ref="U349" r:id="rId2013" display="▶ BPSC वाला"/>
    <hyperlink ref="V349" r:id="rId2014" display="▶ BPSC वाला"/>
    <hyperlink ref="J350" r:id="rId2015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350" r:id="rId2016" display="वेबसाइट पर पढ़ें: drishtiias.com • visionias.in • pib.gov.in • indiabudget.gov.in (क्लिक करें)"/>
    <hyperlink ref="T350" r:id="rId2017" display="▶ दृष्टि IAS"/>
    <hyperlink ref="U350" r:id="rId2018" display="▶ BPSC वाला"/>
    <hyperlink ref="V350" r:id="rId2019" display="▶ BPSC वाला"/>
    <hyperlink ref="Y350" r:id="rId2020" display="📖 पढ़ें: दृष्टि • विजन • NCERT • जागरण जोश • GKToday"/>
    <hyperlink ref="J351" r:id="rId2021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351" r:id="rId2022" display="वेबसाइट पर पढ़ें: drishtiias.com • visionias.in • pib.gov.in • indiabudget.gov.in (क्लिक करें)"/>
    <hyperlink ref="T351" r:id="rId2023" display="▶ दृष्टि IAS"/>
    <hyperlink ref="U351" r:id="rId2024" display="▶ BPSC वाला"/>
    <hyperlink ref="V351" r:id="rId2025" display="▶ BPSC वाला"/>
    <hyperlink ref="Y351" r:id="rId2026" display="📖 पढ़ें: दृष्टि • विजन • NCERT • जागरण जोश • GKToday"/>
    <hyperlink ref="J352" r:id="rId2027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352" r:id="rId2028" display="वेबसाइट पर पढ़ें: drishtiias.com • visionias.in • pib.gov.in • indiabudget.gov.in (क्लिक करें)"/>
    <hyperlink ref="T352" r:id="rId2029" display="▶ दृष्टि IAS"/>
    <hyperlink ref="U352" r:id="rId2030" display="▶ BPSC वाला"/>
    <hyperlink ref="V352" r:id="rId2031" display="▶ BPSC वाला"/>
    <hyperlink ref="Y352" r:id="rId2032" display="📖 पढ़ें: दृष्टि • विजन • NCERT • जागरण जोश • GKToday"/>
    <hyperlink ref="J353" r:id="rId2033" display="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"/>
    <hyperlink ref="K353" r:id="rId2034" display="वेबसाइट पर पढ़ें: drishtiias.com • visionias.in • pib.gov.in • indiabudget.gov.in (क्लिक करें)"/>
    <hyperlink ref="T353" r:id="rId2035" display="▶ दृष्टि IAS"/>
    <hyperlink ref="U353" r:id="rId2036" display="▶ BPSC वाला"/>
    <hyperlink ref="V353" r:id="rId2037" display="▶ BPSC वाला"/>
    <hyperlink ref="Y353" r:id="rId2038" display="📖 पढ़ें: दृष्टि • विजन • NCERT • जागरण जोश • GKToday"/>
    <hyperlink ref="J354" r:id="rId2039" display="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"/>
    <hyperlink ref="K354" r:id="rId2040" display="वेबसाइट पर पढ़ें: drishtiias.com • visionias.in • pib.gov.in • indiabudget.gov.in (क्लिक करें)"/>
    <hyperlink ref="T354" r:id="rId2041" display="▶ दृष्टि IAS"/>
    <hyperlink ref="U354" r:id="rId2042" display="▶ BPSC वाला"/>
    <hyperlink ref="V354" r:id="rId2043" display="▶ BPSC वाला"/>
    <hyperlink ref="Y354" r:id="rId2044" display="📖 पढ़ें: दृष्टि • विजन • NCERT • जागरण जोश • GKToday"/>
    <hyperlink ref="J355" r:id="rId2045" display="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"/>
    <hyperlink ref="K355" r:id="rId2046" display="वेबसाइट पर पढ़ें: drishtiias.com • visionias.in • pib.gov.in • indiabudget.gov.in (क्लिक करें)"/>
    <hyperlink ref="T355" r:id="rId2047" display="▶ दृष्टि IAS"/>
    <hyperlink ref="U355" r:id="rId2048" display="▶ BPSC वाला"/>
    <hyperlink ref="V355" r:id="rId2049" display="▶ BPSC वाला"/>
    <hyperlink ref="Y355" r:id="rId2050" display="📖 पढ़ें: दृष्टि • विजन • NCERT • जागरण जोश • GKToday"/>
    <hyperlink ref="J356" r:id="rId2051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56" r:id="rId2052" display="वेबसाइट पर पढ़ें: drishtiias.com • visionias.in • pib.gov.in (क्लिक करें)"/>
    <hyperlink ref="T356" r:id="rId2053" display="▶ दृष्टि IAS"/>
    <hyperlink ref="U356" r:id="rId2054" display="▶ BPSC वाला"/>
    <hyperlink ref="V356" r:id="rId2055" display="▶ BPSC वाला"/>
    <hyperlink ref="J357" r:id="rId2056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357" r:id="rId2057" display="वेबसाइट पर पढ़ें: drishtiias.com • visionias.in • pib.gov.in • indiabudget.gov.in (क्लिक करें)"/>
    <hyperlink ref="T357" r:id="rId2058" display="▶ दृष्टि IAS"/>
    <hyperlink ref="U357" r:id="rId2059" display="▶ BPSC वाला"/>
    <hyperlink ref="V357" r:id="rId2060" display="▶ BPSC वाला"/>
    <hyperlink ref="Y357" r:id="rId2061" display="📖 पढ़ें: दृष्टि • विजन • NCERT • जागरण जोश • GKToday"/>
    <hyperlink ref="J358" r:id="rId2062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358" r:id="rId2063" display="वेबसाइट पर पढ़ें: drishtiias.com • visionias.in • pib.gov.in • indiabudget.gov.in (क्लिक करें)"/>
    <hyperlink ref="T358" r:id="rId2064" display="▶ दृष्टि IAS"/>
    <hyperlink ref="U358" r:id="rId2065" display="▶ BPSC वाला"/>
    <hyperlink ref="V358" r:id="rId2066" display="▶ BPSC वाला"/>
    <hyperlink ref="Y358" r:id="rId2067" display="📖 पढ़ें: दृष्टि • विजन • NCERT • जागरण जोश • GKToday"/>
    <hyperlink ref="J359" r:id="rId2068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359" r:id="rId2069" display="वेबसाइट पर पढ़ें: drishtiias.com • visionias.in • pib.gov.in • indiabudget.gov.in (क्लिक करें)"/>
    <hyperlink ref="T359" r:id="rId2070" display="▶ दृष्टि IAS"/>
    <hyperlink ref="U359" r:id="rId2071" display="▶ BPSC वाला"/>
    <hyperlink ref="V359" r:id="rId2072" display="▶ BPSC वाला"/>
    <hyperlink ref="Y359" r:id="rId2073" display="📖 पढ़ें: दृष्टि • विजन • NCERT • जागरण जोश • GKToday"/>
    <hyperlink ref="J360" r:id="rId2074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360" r:id="rId2075" display="वेबसाइट पर पढ़ें: drishtiias.com • visionias.in • pib.gov.in (क्लिक करें)"/>
    <hyperlink ref="T360" r:id="rId2076" display="▶ दृष्टि IAS"/>
    <hyperlink ref="U360" r:id="rId2077" display="▶ BPSC वाला"/>
    <hyperlink ref="V360" r:id="rId2078" display="▶ BPSC वाला"/>
    <hyperlink ref="Y360" r:id="rId2079" display="📖 पढ़ें: दृष्टि • विजन • NCERT • जागरण जोश • GKToday"/>
    <hyperlink ref="J361" r:id="rId2080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361" r:id="rId2081" display="वेबसाइट पर पढ़ें: drishtiias.com • visionias.in • pib.gov.in (क्लिक करें)"/>
    <hyperlink ref="T361" r:id="rId2082" display="▶ दृष्टि IAS"/>
    <hyperlink ref="U361" r:id="rId2083" display="▶ BPSC वाला"/>
    <hyperlink ref="V361" r:id="rId2084" display="▶ BPSC वाला"/>
    <hyperlink ref="Y361" r:id="rId2085" display="📖 पढ़ें: दृष्टि • विजन • NCERT • जागरण जोश • GKToday"/>
    <hyperlink ref="J362" r:id="rId2086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362" r:id="rId2087" display="वेबसाइट पर पढ़ें: drishtiias.com • visionias.in • pib.gov.in (क्लिक करें)"/>
    <hyperlink ref="T362" r:id="rId2088" display="▶ दृष्टि IAS"/>
    <hyperlink ref="U362" r:id="rId2089" display="▶ BPSC वाला"/>
    <hyperlink ref="V362" r:id="rId2090" display="▶ BPSC वाला"/>
    <hyperlink ref="Y362" r:id="rId2091" display="📖 पढ़ें: दृष्टि • विजन • NCERT • जागरण जोश • GKToday"/>
    <hyperlink ref="J363" r:id="rId2092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63" r:id="rId2093" display="वेबसाइट पर पढ़ें: drishtiias.com • visionias.in • pib.gov.in (क्लिक करें)"/>
    <hyperlink ref="T363" r:id="rId2094" display="▶ दृष्टि IAS"/>
    <hyperlink ref="U363" r:id="rId2095" display="▶ BPSC वाला"/>
    <hyperlink ref="V363" r:id="rId2096" display="▶ BPSC वाला"/>
    <hyperlink ref="J364" r:id="rId2097" display="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"/>
    <hyperlink ref="K364" r:id="rId2098" display="वेबसाइट पर पढ़ें: drishtiias.com • visionias.in • pib.gov.in (क्लिक करें)"/>
    <hyperlink ref="T364" r:id="rId2099" display="▶ दृष्टि IAS"/>
    <hyperlink ref="U364" r:id="rId2100" display="▶ BPSC वाला"/>
    <hyperlink ref="V364" r:id="rId2101" display="▶ BPSC वाला"/>
    <hyperlink ref="Y364" r:id="rId2102" display="📖 पढ़ें: दृष्टि • विजन • NCERT • जागरण जोश • GKToday"/>
    <hyperlink ref="J365" r:id="rId2103" display="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"/>
    <hyperlink ref="K365" r:id="rId2104" display="वेबसाइट पर पढ़ें: drishtiias.com • visionias.in • pib.gov.in (क्लिक करें)"/>
    <hyperlink ref="T365" r:id="rId2105" display="▶ दृष्टि IAS"/>
    <hyperlink ref="U365" r:id="rId2106" display="▶ BPSC वाला"/>
    <hyperlink ref="V365" r:id="rId2107" display="▶ BPSC वाला"/>
    <hyperlink ref="Y365" r:id="rId2108" display="📖 पढ़ें: दृष्टि • विजन • NCERT • जागरण जोश • GKToday"/>
    <hyperlink ref="J366" r:id="rId2109" display="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"/>
    <hyperlink ref="K366" r:id="rId2110" display="वेबसाइट पर पढ़ें: drishtiias.com • visionias.in • pib.gov.in (क्लिक करें)"/>
    <hyperlink ref="T366" r:id="rId2111" display="▶ दृष्टि IAS"/>
    <hyperlink ref="U366" r:id="rId2112" display="▶ BPSC वाला"/>
    <hyperlink ref="V366" r:id="rId2113" display="▶ BPSC वाला"/>
    <hyperlink ref="Y366" r:id="rId2114" display="📖 पढ़ें: दृष्टि • विजन • NCERT • जागरण जोश • GKToday"/>
    <hyperlink ref="J367" r:id="rId2115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367" r:id="rId2116" display="वेबसाइट पर पढ़ें: drishtiias.com • visionias.in • pib.gov.in (क्लिक करें)"/>
    <hyperlink ref="T367" r:id="rId2117" display="▶ दृष्टि IAS"/>
    <hyperlink ref="U367" r:id="rId2118" display="▶ BPSC वाला"/>
    <hyperlink ref="V367" r:id="rId2119" display="▶ BPSC वाला"/>
    <hyperlink ref="Y367" r:id="rId2120" display="📖 पढ़ें: दृष्टि • विजन • NCERT • जागरण जोश • GKToday"/>
    <hyperlink ref="J368" r:id="rId2121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368" r:id="rId2122" display="वेबसाइट पर पढ़ें: drishtiias.com • visionias.in • pib.gov.in (क्लिक करें)"/>
    <hyperlink ref="T368" r:id="rId2123" display="▶ दृष्टि IAS"/>
    <hyperlink ref="U368" r:id="rId2124" display="▶ BPSC वाला"/>
    <hyperlink ref="V368" r:id="rId2125" display="▶ BPSC वाला"/>
    <hyperlink ref="Y368" r:id="rId2126" display="📖 पढ़ें: दृष्टि • विजन • NCERT • जागरण जोश • GKToday"/>
    <hyperlink ref="J369" r:id="rId2127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369" r:id="rId2128" display="वेबसाइट पर पढ़ें: drishtiias.com • visionias.in • pib.gov.in (क्लिक करें)"/>
    <hyperlink ref="T369" r:id="rId2129" display="▶ दृष्टि IAS"/>
    <hyperlink ref="U369" r:id="rId2130" display="▶ BPSC वाला"/>
    <hyperlink ref="V369" r:id="rId2131" display="▶ BPSC वाला"/>
    <hyperlink ref="Y369" r:id="rId2132" display="📖 पढ़ें: दृष्टि • विजन • NCERT • जागरण जोश • GKToday"/>
    <hyperlink ref="J370" r:id="rId213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70" r:id="rId2134" display="वेबसाइट पर पढ़ें: drishtiias.com • visionias.in • pib.gov.in (क्लिक करें)"/>
    <hyperlink ref="T370" r:id="rId2135" display="▶ दृष्टि IAS"/>
    <hyperlink ref="U370" r:id="rId2136" display="▶ BPSC वाला"/>
    <hyperlink ref="V370" r:id="rId2137" display="▶ BPSC वाला"/>
    <hyperlink ref="J371" r:id="rId2138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371" r:id="rId2139" display="वेबसाइट पर पढ़ें: drishtiias.com • visionias.in • ncert.nic.in (क्लिक करें)"/>
    <hyperlink ref="T371" r:id="rId2140" display="▶ दृष्टि IAS"/>
    <hyperlink ref="U371" r:id="rId2141" display="▶ BPSC वाला"/>
    <hyperlink ref="V371" r:id="rId2142" display="▶ BPSC वाला"/>
    <hyperlink ref="J372" r:id="rId2143" display="पढ़ें: प्रागैतिहास एवं सिंधु घाटी सभ्यता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गैतिहास एवं सिंधु घाटी.pdf')। तैयार PDF नोट्स खोजने हेतु क्लिक करें।"/>
    <hyperlink ref="K372" r:id="rId2144" display="वेबसाइट पर पढ़ें: drishtiias.com • visionias.in • ncert.nic.in (क्लिक करें)"/>
    <hyperlink ref="T372" r:id="rId2145" display="▶ दृष्टि IAS"/>
    <hyperlink ref="U372" r:id="rId2146" display="▶ BPSC वाला"/>
    <hyperlink ref="V372" r:id="rId2147" display="▶ BPSC वाला"/>
    <hyperlink ref="J373" r:id="rId2148" display="पढ़ें: वैदिक काल एवं महाजनपद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वैदिक काल एवं महाजनपद.pdf')। तैयार PDF नोट्स खोजने हेतु क्लिक करें।"/>
    <hyperlink ref="K373" r:id="rId2149" display="वेबसाइट पर पढ़ें: drishtiias.com • visionias.in • ncert.nic.in (क्लिक करें)"/>
    <hyperlink ref="T373" r:id="rId2150" display="▶ दृष्टि IAS"/>
    <hyperlink ref="U373" r:id="rId2151" display="▶ BPSC वाला"/>
    <hyperlink ref="V373" r:id="rId2152" display="▶ BPSC वाला"/>
    <hyperlink ref="J374" r:id="rId2153" display="पढ़ें: जैन, बौद्ध एवं अन्य नास्तिक संप्रदा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जैन, बौद्ध एवं अन्य नास्तिक.pdf')। तैयार PDF नोट्स खोजने हेतु क्लिक करें।"/>
    <hyperlink ref="K374" r:id="rId2154" display="वेबसाइट पर पढ़ें: drishtiias.com • visionias.in • ncert.nic.in (क्लिक करें)"/>
    <hyperlink ref="T374" r:id="rId2155" display="▶ दृष्टि IAS"/>
    <hyperlink ref="U374" r:id="rId2156" display="▶ BPSC वाला"/>
    <hyperlink ref="V374" r:id="rId2157" display="▶ BPSC वाला"/>
    <hyperlink ref="J375" r:id="rId2158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375" r:id="rId2159" display="वेबसाइट पर पढ़ें: drishtiias.com • visionias.in • ncert.nic.in (क्लिक करें)"/>
    <hyperlink ref="T375" r:id="rId2160" display="▶ दृष्टि IAS"/>
    <hyperlink ref="U375" r:id="rId2161" display="▶ BPSC वाला"/>
    <hyperlink ref="V375" r:id="rId2162" display="▶ BPSC वाला"/>
    <hyperlink ref="J376" r:id="rId2163" display="पढ़ें: मौर्य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 साम्राज्य.pdf')। तैयार PDF नोट्स खोजने हेतु क्लिक करें।"/>
    <hyperlink ref="K376" r:id="rId2164" display="वेबसाइट पर पढ़ें: drishtiias.com • visionias.in • ncert.nic.in (क्लिक करें)"/>
    <hyperlink ref="T376" r:id="rId2165" display="▶ दृष्टि IAS"/>
    <hyperlink ref="U376" r:id="rId2166" display="▶ BPSC वाला"/>
    <hyperlink ref="V376" r:id="rId2167" display="▶ BPSC वाला"/>
    <hyperlink ref="J377" r:id="rId216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77" r:id="rId2169" display="वेबसाइट पर पढ़ें: drishtiias.com • visionias.in • pib.gov.in (क्लिक करें)"/>
    <hyperlink ref="T377" r:id="rId2170" display="▶ दृष्टि IAS"/>
    <hyperlink ref="U377" r:id="rId2171" display="▶ BPSC वाला"/>
    <hyperlink ref="V377" r:id="rId2172" display="▶ BPSC वाला"/>
    <hyperlink ref="J378" r:id="rId2173" display="पढ़ें: मौर्योत्तर काल (शुंग, कुषाण, सातवाहन, संगम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ौर्योत्तर काल (शुंग, कुषाण,.pdf')। तैयार PDF नोट्स खोजने हेतु क्लिक करें।"/>
    <hyperlink ref="K378" r:id="rId2174" display="वेबसाइट पर पढ़ें: drishtiias.com • visionias.in • ncert.nic.in (क्लिक करें)"/>
    <hyperlink ref="T378" r:id="rId2175" display="▶ दृष्टि IAS"/>
    <hyperlink ref="U378" r:id="rId2176" display="▶ BPSC वाला"/>
    <hyperlink ref="V378" r:id="rId2177" display="▶ BPSC वाला"/>
    <hyperlink ref="J379" r:id="rId2178" display="पढ़ें: गुप्त साम्राज्य, हर्षवर्धन एवं पाल वंश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ुप्त साम्राज्य, हर्षवर्धन एवं.pdf')। तैयार PDF नोट्स खोजने हेतु क्लिक करें।"/>
    <hyperlink ref="K379" r:id="rId2179" display="वेबसाइट पर पढ़ें: drishtiias.com • visionias.in • ncert.nic.in (क्लिक करें)"/>
    <hyperlink ref="T379" r:id="rId2180" display="▶ दृष्टि IAS"/>
    <hyperlink ref="U379" r:id="rId2181" display="▶ BPSC वाला"/>
    <hyperlink ref="V379" r:id="rId2182" display="▶ BPSC वाला"/>
    <hyperlink ref="J380" r:id="rId2183" display="पढ़ें: पूर्व मध्यकालीन भारत (राजपूत, चोल, चालुक्य, पल्लव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ूर्व मध्यकालीन भारत (राजपूत,.pdf')। तैयार PDF नोट्स खोजने हेतु क्लिक करें।"/>
    <hyperlink ref="K380" r:id="rId2184" display="वेबसाइट पर पढ़ें: drishtiias.com • visionias.in • ncert.nic.in (क्लिक करें)"/>
    <hyperlink ref="T380" r:id="rId2185" display="▶ दृष्टि IAS"/>
    <hyperlink ref="U380" r:id="rId2186" display="▶ BPSC वाला"/>
    <hyperlink ref="V380" r:id="rId2187" display="▶ BPSC वाला"/>
    <hyperlink ref="J381" r:id="rId2188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381" r:id="rId2189" display="वेबसाइट पर पढ़ें: drishtiias.com • visionias.in • ncert.nic.in (क्लिक करें)"/>
    <hyperlink ref="T381" r:id="rId2190" display="▶ दृष्टि IAS"/>
    <hyperlink ref="U381" r:id="rId2191" display="▶ BPSC वाला"/>
    <hyperlink ref="V381" r:id="rId2192" display="▶ BPSC वाला"/>
    <hyperlink ref="J382" r:id="rId2193" display="पढ़ें: दिल्ली सल्तनत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दिल्ली सल्तनत.pdf')। तैयार PDF नोट्स खोजने हेतु क्लिक करें।"/>
    <hyperlink ref="K382" r:id="rId2194" display="वेबसाइट पर पढ़ें: drishtiias.com • visionias.in • ncert.nic.in (क्लिक करें)"/>
    <hyperlink ref="T382" r:id="rId2195" display="▶ दृष्टि IAS"/>
    <hyperlink ref="U382" r:id="rId2196" display="▶ BPSC वाला"/>
    <hyperlink ref="V382" r:id="rId2197" display="▶ BPSC वाला"/>
    <hyperlink ref="J383" r:id="rId2198" display="पढ़ें: भक्ति एवं सूफी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क्ति एवं सूफी आंदोलन.pdf')। तैयार PDF नोट्स खोजने हेतु क्लिक करें।"/>
    <hyperlink ref="K383" r:id="rId2199" display="वेबसाइट पर पढ़ें: drishtiias.com • visionias.in • ncert.nic.in (क्लिक करें)"/>
    <hyperlink ref="T383" r:id="rId2200" display="▶ दृष्टि IAS"/>
    <hyperlink ref="U383" r:id="rId2201" display="▶ BPSC वाला"/>
    <hyperlink ref="V383" r:id="rId2202" display="▶ BPSC वाला"/>
    <hyperlink ref="J384" r:id="rId220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84" r:id="rId2204" display="वेबसाइट पर पढ़ें: drishtiias.com • visionias.in • pib.gov.in (क्लिक करें)"/>
    <hyperlink ref="T384" r:id="rId2205" display="▶ दृष्टि IAS"/>
    <hyperlink ref="U384" r:id="rId2206" display="▶ BPSC वाला"/>
    <hyperlink ref="V384" r:id="rId2207" display="▶ BPSC वाला"/>
    <hyperlink ref="J385" r:id="rId2208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385" r:id="rId2209" display="वेबसाइट पर पढ़ें: drishtiias.com • visionias.in • ncert.nic.in (क्लिक करें)"/>
    <hyperlink ref="T385" r:id="rId2210" display="▶ दृष्टि IAS"/>
    <hyperlink ref="U385" r:id="rId2211" display="▶ BPSC वाला"/>
    <hyperlink ref="V385" r:id="rId2212" display="▶ BPSC वाला"/>
    <hyperlink ref="J386" r:id="rId2213" display="पढ़ें: मुगल साम्राज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ुगल साम्राज्य.pdf')। तैयार PDF नोट्स खोजने हेतु क्लिक करें।"/>
    <hyperlink ref="K386" r:id="rId2214" display="वेबसाइट पर पढ़ें: drishtiias.com • visionias.in • ncert.nic.in (क्लिक करें)"/>
    <hyperlink ref="T386" r:id="rId2215" display="▶ दृष्टि IAS"/>
    <hyperlink ref="U386" r:id="rId2216" display="▶ BPSC वाला"/>
    <hyperlink ref="V386" r:id="rId2217" display="▶ BPSC वाला"/>
    <hyperlink ref="J387" r:id="rId2218" display="पढ़ें: मराठा एवं क्षेत्रीय शक्तियाँ (18वीं शताब्दी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मराठा एवं क्षेत्रीय शक्तियाँ.pdf')। तैयार PDF नोट्स खोजने हेतु क्लिक करें।"/>
    <hyperlink ref="K387" r:id="rId2219" display="वेबसाइट पर पढ़ें: drishtiias.com • visionias.in • ncert.nic.in (क्लिक करें)"/>
    <hyperlink ref="T387" r:id="rId2220" display="▶ दृष्टि IAS"/>
    <hyperlink ref="U387" r:id="rId2221" display="▶ BPSC वाला"/>
    <hyperlink ref="V387" r:id="rId2222" display="▶ BPSC वाला"/>
    <hyperlink ref="J388" r:id="rId2223" display="पढ़ें: यूरोपीय आगमन एवं ब्रिटिश विस्तार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यूरोपीय आगमन एवं ब्रिटिश विस्तार.pdf')। तैयार PDF नोट्स खोजने हेतु क्लिक करें।"/>
    <hyperlink ref="K388" r:id="rId2224" display="वेबसाइट पर पढ़ें: drishtiias.com • visionias.in • ncert.nic.in (क्लिक करें)"/>
    <hyperlink ref="T388" r:id="rId2225" display="▶ दृष्टि IAS"/>
    <hyperlink ref="U388" r:id="rId2226" display="▶ BPSC वाला"/>
    <hyperlink ref="V388" r:id="rId2227" display="▶ BPSC वाला"/>
    <hyperlink ref="J389" r:id="rId2228" display="पढ़ें: 1857 का विद्रोह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1857 का विद्रोह.pdf')। तैयार PDF नोट्स खोजने हेतु क्लिक करें।"/>
    <hyperlink ref="K389" r:id="rId2229" display="वेबसाइट पर पढ़ें: drishtiias.com • visionias.in • ncert.nic.in (क्लिक करें)"/>
    <hyperlink ref="T389" r:id="rId2230" display="▶ दृष्टि IAS"/>
    <hyperlink ref="U389" r:id="rId2231" display="▶ BPSC वाला"/>
    <hyperlink ref="V389" r:id="rId2232" display="▶ BPSC वाला"/>
    <hyperlink ref="J390" r:id="rId2233" display="पढ़ें: सामाजिक-धार्मिक सुधार आंदोल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ामाजिक-धार्मिक सुधार आंदोलन.pdf')। तैयार PDF नोट्स खोजने हेतु क्लिक करें।"/>
    <hyperlink ref="K390" r:id="rId2234" display="वेबसाइट पर पढ़ें: drishtiias.com • visionias.in • ncert.nic.in (क्लिक करें)"/>
    <hyperlink ref="T390" r:id="rId2235" display="▶ दृष्टि IAS"/>
    <hyperlink ref="U390" r:id="rId2236" display="▶ BPSC वाला"/>
    <hyperlink ref="V390" r:id="rId2237" display="▶ BPSC वाला"/>
    <hyperlink ref="J391" r:id="rId223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91" r:id="rId2239" display="वेबसाइट पर पढ़ें: drishtiias.com • visionias.in • pib.gov.in (क्लिक करें)"/>
    <hyperlink ref="T391" r:id="rId2240" display="▶ दृष्टि IAS"/>
    <hyperlink ref="U391" r:id="rId2241" display="▶ BPSC वाला"/>
    <hyperlink ref="V391" r:id="rId2242" display="▶ BPSC वाला"/>
    <hyperlink ref="J392" r:id="rId2243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392" r:id="rId2244" display="वेबसाइट पर पढ़ें: drishtiias.com • visionias.in • ncert.nic.in (क्लिक करें)"/>
    <hyperlink ref="T392" r:id="rId2245" display="▶ दृष्टि IAS"/>
    <hyperlink ref="U392" r:id="rId2246" display="▶ BPSC वाला"/>
    <hyperlink ref="V392" r:id="rId2247" display="▶ BPSC वाला"/>
    <hyperlink ref="J393" r:id="rId2248" display="पढ़ें: प्रारंभिक राष्ट्रवाद: कांग्रेस, नरमपंथी, गरमपंथी, स्वदेशी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ारंभिक राष्ट्रवाद कांग्रेस,.pdf')। तैयार PDF नोट्स खोजने हेतु क्लिक करें।"/>
    <hyperlink ref="K393" r:id="rId2249" display="वेबसाइट पर पढ़ें: drishtiias.com • visionias.in • ncert.nic.in (क्लिक करें)"/>
    <hyperlink ref="T393" r:id="rId2250" display="▶ दृष्टि IAS"/>
    <hyperlink ref="U393" r:id="rId2251" display="▶ BPSC वाला"/>
    <hyperlink ref="V393" r:id="rId2252" display="▶ BPSC वाला"/>
    <hyperlink ref="J394" r:id="rId2253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394" r:id="rId2254" display="वेबसाइट पर पढ़ें: drishtiias.com • visionias.in • ncert.nic.in (क्लिक करें)"/>
    <hyperlink ref="T394" r:id="rId2255" display="▶ दृष्टि IAS"/>
    <hyperlink ref="U394" r:id="rId2256" display="▶ BPSC वाला"/>
    <hyperlink ref="V394" r:id="rId2257" display="▶ BPSC वाला"/>
    <hyperlink ref="J395" r:id="rId2258" display="पढ़ें: गांधी युग: चंपारण से भारत छोड़ो तक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गांधी युग चंपारण से भारत छोड़ो.pdf')। तैयार PDF नोट्स खोजने हेतु क्लिक करें।"/>
    <hyperlink ref="K395" r:id="rId2259" display="वेबसाइट पर पढ़ें: drishtiias.com • visionias.in • ncert.nic.in (क्लिक करें)"/>
    <hyperlink ref="T395" r:id="rId2260" display="▶ दृष्टि IAS"/>
    <hyperlink ref="U395" r:id="rId2261" display="▶ BPSC वाला"/>
    <hyperlink ref="V395" r:id="rId2262" display="▶ BPSC वाला"/>
    <hyperlink ref="J396" r:id="rId2263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396" r:id="rId2264" display="वेबसाइट पर पढ़ें: drishtiias.com • visionias.in • ncert.nic.in (क्लिक करें)"/>
    <hyperlink ref="T396" r:id="rId2265" display="▶ दृष्टि IAS"/>
    <hyperlink ref="U396" r:id="rId2266" display="▶ BPSC वाला"/>
    <hyperlink ref="V396" r:id="rId2267" display="▶ BPSC वाला"/>
    <hyperlink ref="J397" r:id="rId2268" display="पढ़ें: क्रांतिकारी आंदोलन, संवैधानिक विकास एवं विभाजन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क्रांतिकारी आंदोलन, संवैधानिक.pdf')। तैयार PDF नोट्स खोजने हेतु क्लिक करें।"/>
    <hyperlink ref="K397" r:id="rId2269" display="वेबसाइट पर पढ़ें: drishtiias.com • visionias.in • ncert.nic.in (क्लिक करें)"/>
    <hyperlink ref="T397" r:id="rId2270" display="▶ दृष्टि IAS"/>
    <hyperlink ref="U397" r:id="rId2271" display="▶ BPSC वाला"/>
    <hyperlink ref="V397" r:id="rId2272" display="▶ BPSC वाला"/>
    <hyperlink ref="J398" r:id="rId227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398" r:id="rId2274" display="वेबसाइट पर पढ़ें: drishtiias.com • visionias.in • pib.gov.in (क्लिक करें)"/>
    <hyperlink ref="T398" r:id="rId2275" display="▶ दृष्टि IAS"/>
    <hyperlink ref="U398" r:id="rId2276" display="▶ BPSC वाला"/>
    <hyperlink ref="V398" r:id="rId2277" display="▶ BPSC वाला"/>
    <hyperlink ref="J399" r:id="rId2278" display="पढ़ें: स्वातंत्र्योत्तर भारत (1947 के बाद)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स्वातंत्र्योत्तर भारत (1947 के.pdf')। तैयार PDF नोट्स खोजने हेतु क्लिक करें।"/>
    <hyperlink ref="K399" r:id="rId2279" display="वेबसाइट पर पढ़ें: drishtiias.com • visionias.in • ncert.nic.in (क्लिक करें)"/>
    <hyperlink ref="T399" r:id="rId2280" display="▶ दृष्टि IAS"/>
    <hyperlink ref="U399" r:id="rId2281" display="▶ BPSC वाला"/>
    <hyperlink ref="V399" r:id="rId2282" display="▶ BPSC वाला"/>
    <hyperlink ref="J400" r:id="rId2283" display="पढ़ें: भारतीय कला एवं स्थापत्य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भारतीय कला एवं स्थापत्य.pdf')। तैयार PDF नोट्स खोजने हेतु क्लिक करें।"/>
    <hyperlink ref="K400" r:id="rId2284" display="वेबसाइट पर पढ़ें: drishtiias.com • visionias.in • ncert.nic.in (क्लिक करें)"/>
    <hyperlink ref="T400" r:id="rId2285" display="▶ दृष्टि IAS"/>
    <hyperlink ref="U400" r:id="rId2286" display="▶ BPSC वाला"/>
    <hyperlink ref="V400" r:id="rId2287" display="▶ BPSC वाला"/>
    <hyperlink ref="J401" r:id="rId2288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401" r:id="rId2289" display="वेबसाइट पर पढ़ें: drishtiias.com • visionias.in • ncert.nic.in (क्लिक करें)"/>
    <hyperlink ref="T401" r:id="rId2290" display="▶ दृष्टि IAS"/>
    <hyperlink ref="U401" r:id="rId2291" display="▶ BPSC वाला"/>
    <hyperlink ref="V401" r:id="rId2292" display="▶ BPSC वाला"/>
    <hyperlink ref="J402" r:id="rId2293" display="पढ़ें: प्रदर्शन कलाएँ, साहित्य, त्योहार एवं यूनेस्को स्थल – NCERT इतिहास (कक्षा 6-12) • स्पेक्ट्रम आधुनिक भारत • दृष्टि IAS इतिहास नोट्स (हिंदी)। फिर स्वयं के 1-2 पृष्ठ के नोट्स + 10 फ्लैश-कार्ड बनाएँ और PDF के रूप में सहेजें ('प्रदर्शन कलाएँ, साहित्य, त्योहार.pdf')। तैयार PDF नोट्स खोजने हेतु क्लिक करें।"/>
    <hyperlink ref="K402" r:id="rId2294" display="वेबसाइट पर पढ़ें: drishtiias.com • visionias.in • ncert.nic.in (क्लिक करें)"/>
    <hyperlink ref="T402" r:id="rId2295" display="▶ दृष्टि IAS"/>
    <hyperlink ref="U402" r:id="rId2296" display="▶ BPSC वाला"/>
    <hyperlink ref="V402" r:id="rId2297" display="▶ BPSC वाला"/>
    <hyperlink ref="J403" r:id="rId2298" display="पढ़ें: ब्रह्मांड, सौरमंडल एवं पृथ्वी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ब्रह्मांड, सौरमंडल एवं पृथ्वी.pdf')। तैयार PDF नोट्स खोजने हेतु क्लिक करें।"/>
    <hyperlink ref="K403" r:id="rId2299" display="वेबसाइट पर पढ़ें: drishtiias.com • visionias.in • ncert.nic.in (क्लिक करें)"/>
    <hyperlink ref="T403" r:id="rId2300" display="▶ दृष्टि IAS"/>
    <hyperlink ref="U403" r:id="rId2301" display="▶ BPSC वाला"/>
    <hyperlink ref="V403" r:id="rId2302" display="▶ BPSC वाला"/>
    <hyperlink ref="J404" r:id="rId2303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404" r:id="rId2304" display="वेबसाइट पर पढ़ें: drishtiias.com • visionias.in • ncert.nic.in (क्लिक करें)"/>
    <hyperlink ref="T404" r:id="rId2305" display="▶ दृष्टि IAS"/>
    <hyperlink ref="U404" r:id="rId2306" display="▶ BPSC वाला"/>
    <hyperlink ref="V404" r:id="rId2307" display="▶ BPSC वाला"/>
    <hyperlink ref="J405" r:id="rId230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05" r:id="rId2309" display="वेबसाइट पर पढ़ें: drishtiias.com • visionias.in • pib.gov.in (क्लिक करें)"/>
    <hyperlink ref="T405" r:id="rId2310" display="▶ दृष्टि IAS"/>
    <hyperlink ref="U405" r:id="rId2311" display="▶ BPSC वाला"/>
    <hyperlink ref="V405" r:id="rId2312" display="▶ BPSC वाला"/>
    <hyperlink ref="J406" r:id="rId2313" display="पढ़ें: भू-आकृति विज्ञान: पृथ्वी का आंतरिक भाग, चट्टानें एवं स्थल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ू-आकृति विज्ञान पृथ्वी का.pdf')। तैयार PDF नोट्स खोजने हेतु क्लिक करें।"/>
    <hyperlink ref="K406" r:id="rId2314" display="वेबसाइट पर पढ़ें: drishtiias.com • visionias.in • ncert.nic.in (क्लिक करें)"/>
    <hyperlink ref="T406" r:id="rId2315" display="▶ दृष्टि IAS"/>
    <hyperlink ref="U406" r:id="rId2316" display="▶ BPSC वाला"/>
    <hyperlink ref="V406" r:id="rId2317" display="▶ BPSC वाला"/>
    <hyperlink ref="J407" r:id="rId2318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407" r:id="rId2319" display="वेबसाइट पर पढ़ें: drishtiias.com • visionias.in • ncert.nic.in (क्लिक करें)"/>
    <hyperlink ref="T407" r:id="rId2320" display="▶ दृष्टि IAS"/>
    <hyperlink ref="U407" r:id="rId2321" display="▶ BPSC वाला"/>
    <hyperlink ref="V407" r:id="rId2322" display="▶ BPSC वाला"/>
    <hyperlink ref="J408" r:id="rId2323" display="पढ़ें: जलवायु विज्ञान: वायुमंडल, पवनें एवं जलवायु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जलवायु विज्ञान वायुमंडल, पवनें.pdf')। तैयार PDF नोट्स खोजने हेतु क्लिक करें।"/>
    <hyperlink ref="K408" r:id="rId2324" display="वेबसाइट पर पढ़ें: drishtiias.com • visionias.in • ncert.nic.in (क्लिक करें)"/>
    <hyperlink ref="T408" r:id="rId2325" display="▶ दृष्टि IAS"/>
    <hyperlink ref="U408" r:id="rId2326" display="▶ BPSC वाला"/>
    <hyperlink ref="V408" r:id="rId2327" display="▶ BPSC वाला"/>
    <hyperlink ref="J409" r:id="rId2328" display="पढ़ें: समुद्र विज्ञान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समुद्र विज्ञान.pdf')। तैयार PDF नोट्स खोजने हेतु क्लिक करें।"/>
    <hyperlink ref="K409" r:id="rId2329" display="वेबसाइट पर पढ़ें: drishtiias.com • visionias.in • ncert.nic.in (क्लिक करें)"/>
    <hyperlink ref="T409" r:id="rId2330" display="▶ दृष्टि IAS"/>
    <hyperlink ref="U409" r:id="rId2331" display="▶ BPSC वाला"/>
    <hyperlink ref="V409" r:id="rId2332" display="▶ BPSC वाला"/>
    <hyperlink ref="J410" r:id="rId2333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410" r:id="rId2334" display="वेबसाइट पर पढ़ें: drishtiias.com • visionias.in • ncert.nic.in (क्लिक करें)"/>
    <hyperlink ref="T410" r:id="rId2335" display="▶ दृष्टि IAS"/>
    <hyperlink ref="U410" r:id="rId2336" display="▶ BPSC वाला"/>
    <hyperlink ref="V410" r:id="rId2337" display="▶ BPSC वाला"/>
    <hyperlink ref="J411" r:id="rId2338" display="पढ़ें: भारत का भौतिक स्वरूप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ा भौतिक स्वरूप.pdf')। तैयार PDF नोट्स खोजने हेतु क्लिक करें।"/>
    <hyperlink ref="K411" r:id="rId2339" display="वेबसाइट पर पढ़ें: drishtiias.com • visionias.in • ncert.nic.in (क्लिक करें)"/>
    <hyperlink ref="T411" r:id="rId2340" display="▶ दृष्टि IAS"/>
    <hyperlink ref="U411" r:id="rId2341" display="▶ BPSC वाला"/>
    <hyperlink ref="V411" r:id="rId2342" display="▶ BPSC वाला"/>
    <hyperlink ref="J412" r:id="rId234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12" r:id="rId2344" display="वेबसाइट पर पढ़ें: drishtiias.com • visionias.in • pib.gov.in (क्लिक करें)"/>
    <hyperlink ref="T412" r:id="rId2345" display="▶ दृष्टि IAS"/>
    <hyperlink ref="U412" r:id="rId2346" display="▶ BPSC वाला"/>
    <hyperlink ref="V412" r:id="rId2347" display="▶ BPSC वाला"/>
    <hyperlink ref="J413" r:id="rId2348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413" r:id="rId2349" display="वेबसाइट पर पढ़ें: drishtiias.com • visionias.in • ncert.nic.in (क्लिक करें)"/>
    <hyperlink ref="T413" r:id="rId2350" display="▶ दृष्टि IAS"/>
    <hyperlink ref="U413" r:id="rId2351" display="▶ BPSC वाला"/>
    <hyperlink ref="V413" r:id="rId2352" display="▶ BPSC वाला"/>
    <hyperlink ref="J414" r:id="rId2353" display="पढ़ें: भारतीय अपवाह तंत्र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अपवाह तंत्र.pdf')। तैयार PDF नोट्स खोजने हेतु क्लिक करें।"/>
    <hyperlink ref="K414" r:id="rId2354" display="वेबसाइट पर पढ़ें: drishtiias.com • visionias.in • ncert.nic.in (क्लिक करें)"/>
    <hyperlink ref="T414" r:id="rId2355" display="▶ दृष्टि IAS"/>
    <hyperlink ref="U414" r:id="rId2356" display="▶ BPSC वाला"/>
    <hyperlink ref="V414" r:id="rId2357" display="▶ BPSC वाला"/>
    <hyperlink ref="J415" r:id="rId2358" display="पढ़ें: भारत की जलवायु, मानसून, मृदा एवं वनस्पत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 की जलवायु, मानसून, मृदा एवं.pdf')। तैयार PDF नोट्स खोजने हेतु क्लिक करें।"/>
    <hyperlink ref="K415" r:id="rId2359" display="वेबसाइट पर पढ़ें: drishtiias.com • visionias.in • ncert.nic.in (क्लिक करें)"/>
    <hyperlink ref="T415" r:id="rId2360" display="▶ दृष्टि IAS"/>
    <hyperlink ref="U415" r:id="rId2361" display="▶ BPSC वाला"/>
    <hyperlink ref="V415" r:id="rId2362" display="▶ BPSC वाला"/>
    <hyperlink ref="J416" r:id="rId2363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416" r:id="rId2364" display="वेबसाइट पर पढ़ें: drishtiias.com • visionias.in • ncert.nic.in (क्लिक करें)"/>
    <hyperlink ref="T416" r:id="rId2365" display="▶ दृष्टि IAS"/>
    <hyperlink ref="U416" r:id="rId2366" display="▶ BPSC वाला"/>
    <hyperlink ref="V416" r:id="rId2367" display="▶ BPSC वाला"/>
    <hyperlink ref="J417" r:id="rId2368" display="पढ़ें: भारतीय कृषि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भारतीय कृषि.pdf')। तैयार PDF नोट्स खोजने हेतु क्लिक करें।"/>
    <hyperlink ref="K417" r:id="rId2369" display="वेबसाइट पर पढ़ें: drishtiias.com • visionias.in • ncert.nic.in (क्लिक करें)"/>
    <hyperlink ref="T417" r:id="rId2370" display="▶ दृष्टि IAS"/>
    <hyperlink ref="U417" r:id="rId2371" display="▶ BPSC वाला"/>
    <hyperlink ref="V417" r:id="rId2372" display="▶ BPSC वाला"/>
    <hyperlink ref="J418" r:id="rId2373" display="पढ़ें: खनिज, ऊर्जा एवं उद्योग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खनिज, ऊर्जा एवं उद्योग.pdf')। तैयार PDF नोट्स खोजने हेतु क्लिक करें।"/>
    <hyperlink ref="K418" r:id="rId2374" display="वेबसाइट पर पढ़ें: drishtiias.com • visionias.in • ncert.nic.in (क्लिक करें)"/>
    <hyperlink ref="T418" r:id="rId2375" display="▶ दृष्टि IAS"/>
    <hyperlink ref="U418" r:id="rId2376" display="▶ BPSC वाला"/>
    <hyperlink ref="V418" r:id="rId2377" display="▶ BPSC वाला"/>
    <hyperlink ref="J419" r:id="rId237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19" r:id="rId2379" display="वेबसाइट पर पढ़ें: drishtiias.com • visionias.in • pib.gov.in (क्लिक करें)"/>
    <hyperlink ref="T419" r:id="rId2380" display="▶ दृष्टि IAS"/>
    <hyperlink ref="U419" r:id="rId2381" display="▶ BPSC वाला"/>
    <hyperlink ref="V419" r:id="rId2382" display="▶ BPSC वाला"/>
    <hyperlink ref="J420" r:id="rId2383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420" r:id="rId2384" display="वेबसाइट पर पढ़ें: drishtiias.com • visionias.in • ncert.nic.in (क्लिक करें)"/>
    <hyperlink ref="T420" r:id="rId2385" display="▶ दृष्टि IAS"/>
    <hyperlink ref="U420" r:id="rId2386" display="▶ BPSC वाला"/>
    <hyperlink ref="V420" r:id="rId2387" display="▶ BPSC वाला"/>
    <hyperlink ref="J421" r:id="rId2388" display="पढ़ें: परिवहन, जनसंख्या, जनगणना एवं नगरीकरण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परिवहन, जनसंख्या, जनगणना एवं.pdf')। तैयार PDF नोट्स खोजने हेतु क्लिक करें।"/>
    <hyperlink ref="K421" r:id="rId2389" display="वेबसाइट पर पढ़ें: drishtiias.com • visionias.in • ncert.nic.in (क्लिक करें)"/>
    <hyperlink ref="T421" r:id="rId2390" display="▶ दृष्टि IAS"/>
    <hyperlink ref="U421" r:id="rId2391" display="▶ BPSC वाला"/>
    <hyperlink ref="V421" r:id="rId2392" display="▶ BPSC वाला"/>
    <hyperlink ref="J422" r:id="rId2393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422" r:id="rId2394" display="वेबसाइट पर पढ़ें: drishtiias.com • visionias.in • ncert.nic.in (क्लिक करें)"/>
    <hyperlink ref="T422" r:id="rId2395" display="▶ दृष्टि IAS"/>
    <hyperlink ref="U422" r:id="rId2396" display="▶ BPSC वाला"/>
    <hyperlink ref="V422" r:id="rId2397" display="▶ BPSC वाला"/>
    <hyperlink ref="J423" r:id="rId2398" display="पढ़ें: विश्व भूगोल – NCERT भूगोल (कक्षा 6-12) • सविन्द्र सिंह / माजिद हुसैन • दृष्टि IAS भूगोल नोट्स। फिर स्वयं के 1-2 पृष्ठ के नोट्स + 10 फ्लैश-कार्ड बनाएँ और PDF के रूप में सहेजें ('विश्व भूगोल.pdf')। तैयार PDF नोट्स खोजने हेतु क्लिक करें।"/>
    <hyperlink ref="K423" r:id="rId2399" display="वेबसाइट पर पढ़ें: drishtiias.com • visionias.in • ncert.nic.in (क्लिक करें)"/>
    <hyperlink ref="T423" r:id="rId2400" display="▶ दृष्टि IAS"/>
    <hyperlink ref="U423" r:id="rId2401" display="▶ BPSC वाला"/>
    <hyperlink ref="V423" r:id="rId2402" display="▶ BPSC वाला"/>
    <hyperlink ref="J424" r:id="rId2403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424" r:id="rId2404" display="वेबसाइट पर पढ़ें: drishtiias.com • visionias.in • prsindia.org (क्लिक करें)"/>
    <hyperlink ref="T424" r:id="rId2405" display="▶ दृष्टि IAS"/>
    <hyperlink ref="U424" r:id="rId2406" display="▶ BPSC वाला"/>
    <hyperlink ref="V424" r:id="rId2407" display="▶ BPSC वाला"/>
    <hyperlink ref="J425" r:id="rId2408" display="पढ़ें: संविधान निर्माण, प्रस्तावना एवं विशेषत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िधान निर्माण, प्रस्तावना एवं.pdf')। तैयार PDF नोट्स खोजने हेतु क्लिक करें।"/>
    <hyperlink ref="K425" r:id="rId2409" display="वेबसाइट पर पढ़ें: drishtiias.com • visionias.in • prsindia.org (क्लिक करें)"/>
    <hyperlink ref="T425" r:id="rId2410" display="▶ दृष्टि IAS"/>
    <hyperlink ref="U425" r:id="rId2411" display="▶ BPSC वाला"/>
    <hyperlink ref="V425" r:id="rId2412" display="▶ BPSC वाला"/>
    <hyperlink ref="J426" r:id="rId241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26" r:id="rId2414" display="वेबसाइट पर पढ़ें: drishtiias.com • visionias.in • pib.gov.in (क्लिक करें)"/>
    <hyperlink ref="T426" r:id="rId2415" display="▶ दृष्टि IAS"/>
    <hyperlink ref="U426" r:id="rId2416" display="▶ BPSC वाला"/>
    <hyperlink ref="V426" r:id="rId2417" display="▶ BPSC वाला"/>
    <hyperlink ref="J427" r:id="rId2418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427" r:id="rId2419" display="वेबसाइट पर पढ़ें: drishtiias.com • visionias.in • prsindia.org (क्लिक करें)"/>
    <hyperlink ref="T427" r:id="rId2420" display="▶ दृष्टि IAS"/>
    <hyperlink ref="U427" r:id="rId2421" display="▶ BPSC वाला"/>
    <hyperlink ref="V427" r:id="rId2422" display="▶ BPSC वाला"/>
    <hyperlink ref="J428" r:id="rId2423" display="पढ़ें: संघ, नागरिकता एवं मौलिक अधिकार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, नागरिकता एवं मौलिक अधिकार.pdf')। तैयार PDF नोट्स खोजने हेतु क्लिक करें।"/>
    <hyperlink ref="K428" r:id="rId2424" display="वेबसाइट पर पढ़ें: drishtiias.com • visionias.in • prsindia.org (क्लिक करें)"/>
    <hyperlink ref="T428" r:id="rId2425" display="▶ दृष्टि IAS"/>
    <hyperlink ref="U428" r:id="rId2426" display="▶ BPSC वाला"/>
    <hyperlink ref="V428" r:id="rId2427" display="▶ BPSC वाला"/>
    <hyperlink ref="J429" r:id="rId2428" display="पढ़ें: नीति निदेशक तत्व, मौलिक कर्तव्य एवं संविधान संशोधन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ीति निदेशक तत्व, मौलिक कर्तव्य.pdf')। तैयार PDF नोट्स खोजने हेतु क्लिक करें।"/>
    <hyperlink ref="K429" r:id="rId2429" display="वेबसाइट पर पढ़ें: drishtiias.com • visionias.in • prsindia.org (क्लिक करें)"/>
    <hyperlink ref="T429" r:id="rId2430" display="▶ दृष्टि IAS"/>
    <hyperlink ref="U429" r:id="rId2431" display="▶ BPSC वाला"/>
    <hyperlink ref="V429" r:id="rId2432" display="▶ BPSC वाला"/>
    <hyperlink ref="J430" r:id="rId2433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430" r:id="rId2434" display="वेबसाइट पर पढ़ें: drishtiias.com • visionias.in • prsindia.org (क्लिक करें)"/>
    <hyperlink ref="T430" r:id="rId2435" display="▶ दृष्टि IAS"/>
    <hyperlink ref="U430" r:id="rId2436" display="▶ BPSC वाला"/>
    <hyperlink ref="V430" r:id="rId2437" display="▶ BPSC वाला"/>
    <hyperlink ref="J431" r:id="rId2438" display="पढ़ें: संघ की कार्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 की कार्यपालिका.pdf')। तैयार PDF नोट्स खोजने हेतु क्लिक करें।"/>
    <hyperlink ref="K431" r:id="rId2439" display="वेबसाइट पर पढ़ें: drishtiias.com • visionias.in • prsindia.org (क्लिक करें)"/>
    <hyperlink ref="T431" r:id="rId2440" display="▶ दृष्टि IAS"/>
    <hyperlink ref="U431" r:id="rId2441" display="▶ BPSC वाला"/>
    <hyperlink ref="V431" r:id="rId2442" display="▶ BPSC वाला"/>
    <hyperlink ref="J432" r:id="rId2443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432" r:id="rId2444" display="वेबसाइट पर पढ़ें: drishtiias.com • visionias.in • prsindia.org (क्लिक करें)"/>
    <hyperlink ref="T432" r:id="rId2445" display="▶ दृष्टि IAS"/>
    <hyperlink ref="U432" r:id="rId2446" display="▶ BPSC वाला"/>
    <hyperlink ref="V432" r:id="rId2447" display="▶ BPSC वाला"/>
    <hyperlink ref="J433" r:id="rId244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33" r:id="rId2449" display="वेबसाइट पर पढ़ें: drishtiias.com • visionias.in • pib.gov.in (क्लिक करें)"/>
    <hyperlink ref="T433" r:id="rId2450" display="▶ दृष्टि IAS"/>
    <hyperlink ref="U433" r:id="rId2451" display="▶ BPSC वाला"/>
    <hyperlink ref="V433" r:id="rId2452" display="▶ BPSC वाला"/>
    <hyperlink ref="J434" r:id="rId2453" display="पढ़ें: संसद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सद.pdf')। तैयार PDF नोट्स खोजने हेतु क्लिक करें।"/>
    <hyperlink ref="K434" r:id="rId2454" display="वेबसाइट पर पढ़ें: drishtiias.com • visionias.in • prsindia.org (क्लिक करें)"/>
    <hyperlink ref="T434" r:id="rId2455" display="▶ दृष्टि IAS"/>
    <hyperlink ref="U434" r:id="rId2456" display="▶ BPSC वाला"/>
    <hyperlink ref="V434" r:id="rId2457" display="▶ BPSC वाला"/>
    <hyperlink ref="J435" r:id="rId2458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435" r:id="rId2459" display="वेबसाइट पर पढ़ें: drishtiias.com • visionias.in • prsindia.org (क्लिक करें)"/>
    <hyperlink ref="T435" r:id="rId2460" display="▶ दृष्टि IAS"/>
    <hyperlink ref="U435" r:id="rId2461" display="▶ BPSC वाला"/>
    <hyperlink ref="V435" r:id="rId2462" display="▶ BPSC वाला"/>
    <hyperlink ref="J436" r:id="rId2463" display="पढ़ें: न्यायपालिका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न्यायपालिका.pdf')। तैयार PDF नोट्स खोजने हेतु क्लिक करें।"/>
    <hyperlink ref="K436" r:id="rId2464" display="वेबसाइट पर पढ़ें: drishtiias.com • visionias.in • prsindia.org (क्लिक करें)"/>
    <hyperlink ref="T436" r:id="rId2465" display="▶ दृष्टि IAS"/>
    <hyperlink ref="U436" r:id="rId2466" display="▶ BPSC वाला"/>
    <hyperlink ref="V436" r:id="rId2467" display="▶ BPSC वाला"/>
    <hyperlink ref="J437" r:id="rId2468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437" r:id="rId2469" display="वेबसाइट पर पढ़ें: drishtiias.com • visionias.in • prsindia.org (क्लिक करें)"/>
    <hyperlink ref="T437" r:id="rId2470" display="▶ दृष्टि IAS"/>
    <hyperlink ref="U437" r:id="rId2471" display="▶ BPSC वाला"/>
    <hyperlink ref="V437" r:id="rId2472" display="▶ BPSC वाला"/>
    <hyperlink ref="J438" r:id="rId2473" display="पढ़ें: संघवाद: केंद्र–राज्य संबंध एवं आपातकाल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घवाद केंद्र–राज्य संबंध एवं.pdf')। तैयार PDF नोट्स खोजने हेतु क्लिक करें।"/>
    <hyperlink ref="K438" r:id="rId2474" display="वेबसाइट पर पढ़ें: drishtiias.com • visionias.in • prsindia.org (क्लिक करें)"/>
    <hyperlink ref="T438" r:id="rId2475" display="▶ दृष्टि IAS"/>
    <hyperlink ref="U438" r:id="rId2476" display="▶ BPSC वाला"/>
    <hyperlink ref="V438" r:id="rId2477" display="▶ BPSC वाला"/>
    <hyperlink ref="J439" r:id="rId2478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439" r:id="rId2479" display="वेबसाइट पर पढ़ें: drishtiias.com • visionias.in • prsindia.org (क्लिक करें)"/>
    <hyperlink ref="T439" r:id="rId2480" display="▶ दृष्टि IAS"/>
    <hyperlink ref="U439" r:id="rId2481" display="▶ BPSC वाला"/>
    <hyperlink ref="V439" r:id="rId2482" display="▶ BPSC वाला"/>
    <hyperlink ref="J440" r:id="rId248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40" r:id="rId2484" display="वेबसाइट पर पढ़ें: drishtiias.com • visionias.in • pib.gov.in (क्लिक करें)"/>
    <hyperlink ref="T440" r:id="rId2485" display="▶ दृष्टि IAS"/>
    <hyperlink ref="U440" r:id="rId2486" display="▶ BPSC वाला"/>
    <hyperlink ref="V440" r:id="rId2487" display="▶ BPSC वाला"/>
    <hyperlink ref="J441" r:id="rId2488" display="पढ़ें: राज्य सरकार, पंचायती राज एवं नगरपालिकाएँ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राज्य सरकार, पंचायती राज एवं.pdf')। तैयार PDF नोट्स खोजने हेतु क्लिक करें।"/>
    <hyperlink ref="K441" r:id="rId2489" display="वेबसाइट पर पढ़ें: drishtiias.com • visionias.in • prsindia.org (क्लिक करें)"/>
    <hyperlink ref="T441" r:id="rId2490" display="▶ दृष्टि IAS"/>
    <hyperlink ref="U441" r:id="rId2491" display="▶ BPSC वाला"/>
    <hyperlink ref="V441" r:id="rId2492" display="▶ BPSC वाला"/>
    <hyperlink ref="J442" r:id="rId2493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442" r:id="rId2494" display="वेबसाइट पर पढ़ें: drishtiias.com • visionias.in • prsindia.org (क्लिक करें)"/>
    <hyperlink ref="T442" r:id="rId2495" display="▶ दृष्टि IAS"/>
    <hyperlink ref="U442" r:id="rId2496" display="▶ BPSC वाला"/>
    <hyperlink ref="V442" r:id="rId2497" display="▶ BPSC वाला"/>
    <hyperlink ref="J443" r:id="rId2498" display="पढ़ें: संवैधानिक एवं गैर-संवैधानिक निक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संवैधानिक एवं गैर-संवैधानिक.pdf')। तैयार PDF नोट्स खोजने हेतु क्लिक करें।"/>
    <hyperlink ref="K443" r:id="rId2499" display="वेबसाइट पर पढ़ें: drishtiias.com • visionias.in • prsindia.org (क्लिक करें)"/>
    <hyperlink ref="T443" r:id="rId2500" display="▶ दृष्टि IAS"/>
    <hyperlink ref="U443" r:id="rId2501" display="▶ BPSC वाला"/>
    <hyperlink ref="V443" r:id="rId2502" display="▶ BPSC वाला"/>
    <hyperlink ref="J444" r:id="rId2503" display="पढ़ें: शासन, अधिकार एवं सामाजिक न्याय – एम. लक्ष्मीकांत (हिंदी/अंग्रेज़ी) • NCERT कक्षा 11-12 राजव्यवस्था • दृष्टि IAS राजव्यवस्था नोट्स। फिर स्वयं के 1-2 पृष्ठ के नोट्स + 10 फ्लैश-कार्ड बनाएँ और PDF के रूप में सहेजें ('शासन, अधिकार एवं सामाजिक न्याय.pdf')। तैयार PDF नोट्स खोजने हेतु क्लिक करें।"/>
    <hyperlink ref="K444" r:id="rId2504" display="वेबसाइट पर पढ़ें: drishtiias.com • visionias.in • prsindia.org (क्लिक करें)"/>
    <hyperlink ref="T444" r:id="rId2505" display="▶ दृष्टि IAS"/>
    <hyperlink ref="U444" r:id="rId2506" display="▶ BPSC वाला"/>
    <hyperlink ref="V444" r:id="rId2507" display="▶ BPSC वाला"/>
    <hyperlink ref="J445" r:id="rId2508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445" r:id="rId2509" display="वेबसाइट पर पढ़ें: drishtiias.com • visionias.in • pib.gov.in • indiabudget.gov.in (क्लिक करें)"/>
    <hyperlink ref="T445" r:id="rId2510" display="▶ दृष्टि IAS"/>
    <hyperlink ref="U445" r:id="rId2511" display="▶ BPSC वाला"/>
    <hyperlink ref="V445" r:id="rId2512" display="▶ BPSC वाला"/>
    <hyperlink ref="J446" r:id="rId2513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446" r:id="rId2514" display="वेबसाइट पर पढ़ें: drishtiias.com • visionias.in • pib.gov.in • indiabudget.gov.in (क्लिक करें)"/>
    <hyperlink ref="T446" r:id="rId2515" display="▶ दृष्टि IAS"/>
    <hyperlink ref="U446" r:id="rId2516" display="▶ BPSC वाला"/>
    <hyperlink ref="V446" r:id="rId2517" display="▶ BPSC वाला"/>
    <hyperlink ref="J447" r:id="rId251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47" r:id="rId2519" display="वेबसाइट पर पढ़ें: drishtiias.com • visionias.in • pib.gov.in (क्लिक करें)"/>
    <hyperlink ref="T447" r:id="rId2520" display="▶ दृष्टि IAS"/>
    <hyperlink ref="U447" r:id="rId2521" display="▶ BPSC वाला"/>
    <hyperlink ref="V447" r:id="rId2522" display="▶ BPSC वाला"/>
    <hyperlink ref="J448" r:id="rId2523" display="पढ़ें: मूल अवधारणाएँ, राष्ट्रीय आय एवं मुद्रास्फ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ूल अवधारणाएँ, राष्ट्रीय आय एवं.pdf')। तैयार PDF नोट्स खोजने हेतु क्लिक करें।"/>
    <hyperlink ref="K448" r:id="rId2524" display="वेबसाइट पर पढ़ें: drishtiias.com • visionias.in • pib.gov.in • indiabudget.gov.in (क्लिक करें)"/>
    <hyperlink ref="T448" r:id="rId2525" display="▶ दृष्टि IAS"/>
    <hyperlink ref="U448" r:id="rId2526" display="▶ BPSC वाला"/>
    <hyperlink ref="V448" r:id="rId2527" display="▶ BPSC वाला"/>
    <hyperlink ref="J449" r:id="rId2528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449" r:id="rId2529" display="वेबसाइट पर पढ़ें: drishtiias.com • visionias.in • pib.gov.in • indiabudget.gov.in (क्लिक करें)"/>
    <hyperlink ref="T449" r:id="rId2530" display="▶ दृष्टि IAS"/>
    <hyperlink ref="U449" r:id="rId2531" display="▶ BPSC वाला"/>
    <hyperlink ref="V449" r:id="rId2532" display="▶ BPSC वाला"/>
    <hyperlink ref="J450" r:id="rId2533" display="पढ़ें: नियोजन, गरीबी एवं बेरोज़गारी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नियोजन, गरीबी एवं बेरोज़गारी.pdf')। तैयार PDF नोट्स खोजने हेतु क्लिक करें।"/>
    <hyperlink ref="K450" r:id="rId2534" display="वेबसाइट पर पढ़ें: drishtiias.com • visionias.in • pib.gov.in • indiabudget.gov.in (क्लिक करें)"/>
    <hyperlink ref="T450" r:id="rId2535" display="▶ दृष्टि IAS"/>
    <hyperlink ref="U450" r:id="rId2536" display="▶ BPSC वाला"/>
    <hyperlink ref="V450" r:id="rId2537" display="▶ BPSC वाला"/>
    <hyperlink ref="J451" r:id="rId2538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451" r:id="rId2539" display="वेबसाइट पर पढ़ें: drishtiias.com • visionias.in • pib.gov.in • indiabudget.gov.in (क्लिक करें)"/>
    <hyperlink ref="T451" r:id="rId2540" display="▶ दृष्टि IAS"/>
    <hyperlink ref="U451" r:id="rId2541" display="▶ BPSC वाला"/>
    <hyperlink ref="V451" r:id="rId2542" display="▶ BPSC वाला"/>
    <hyperlink ref="J452" r:id="rId2543" display="पढ़ें: मुद्रा, बैंकिंग एवं मौद्रिक नीति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मुद्रा, बैंकिंग एवं मौद्रिक नीति.pdf')। तैयार PDF नोट्स खोजने हेतु क्लिक करें।"/>
    <hyperlink ref="K452" r:id="rId2544" display="वेबसाइट पर पढ़ें: drishtiias.com • visionias.in • pib.gov.in • indiabudget.gov.in (क्लिक करें)"/>
    <hyperlink ref="T452" r:id="rId2545" display="▶ दृष्टि IAS"/>
    <hyperlink ref="U452" r:id="rId2546" display="▶ BPSC वाला"/>
    <hyperlink ref="V452" r:id="rId2547" display="▶ BPSC वाला"/>
    <hyperlink ref="J453" r:id="rId2548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453" r:id="rId2549" display="वेबसाइट पर पढ़ें: drishtiias.com • visionias.in • pib.gov.in • indiabudget.gov.in (क्लिक करें)"/>
    <hyperlink ref="T453" r:id="rId2550" display="▶ दृष्टि IAS"/>
    <hyperlink ref="U453" r:id="rId2551" display="▶ BPSC वाला"/>
    <hyperlink ref="V453" r:id="rId2552" display="▶ BPSC वाला"/>
    <hyperlink ref="J454" r:id="rId255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54" r:id="rId2554" display="वेबसाइट पर पढ़ें: drishtiias.com • visionias.in • pib.gov.in (क्लिक करें)"/>
    <hyperlink ref="T454" r:id="rId2555" display="▶ दृष्टि IAS"/>
    <hyperlink ref="U454" r:id="rId2556" display="▶ BPSC वाला"/>
    <hyperlink ref="V454" r:id="rId2557" display="▶ BPSC वाला"/>
    <hyperlink ref="J455" r:id="rId2558" display="पढ़ें: सार्वजनिक वित्त: बजट, कराधान एवं GST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सार्वजनिक वित्त बजट, कराधान एवं.pdf')। तैयार PDF नोट्स खोजने हेतु क्लिक करें।"/>
    <hyperlink ref="K455" r:id="rId2559" display="वेबसाइट पर पढ़ें: drishtiias.com • visionias.in • pib.gov.in • indiabudget.gov.in (क्लिक करें)"/>
    <hyperlink ref="T455" r:id="rId2560" display="▶ दृष्टि IAS"/>
    <hyperlink ref="U455" r:id="rId2561" display="▶ BPSC वाला"/>
    <hyperlink ref="V455" r:id="rId2562" display="▶ BPSC वाला"/>
    <hyperlink ref="J456" r:id="rId2563" display="पढ़ें: कृषि अर्थव्यवस्थ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कृषि अर्थव्यवस्था.pdf')। तैयार PDF नोट्स खोजने हेतु क्लिक करें।"/>
    <hyperlink ref="K456" r:id="rId2564" display="वेबसाइट पर पढ़ें: drishtiias.com • visionias.in • pib.gov.in • indiabudget.gov.in (क्लिक करें)"/>
    <hyperlink ref="T456" r:id="rId2565" display="▶ दृष्टि IAS"/>
    <hyperlink ref="U456" r:id="rId2566" display="▶ BPSC वाला"/>
    <hyperlink ref="V456" r:id="rId2567" display="▶ BPSC वाला"/>
    <hyperlink ref="J457" r:id="rId2568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457" r:id="rId2569" display="वेबसाइट पर पढ़ें: drishtiias.com • visionias.in • pib.gov.in • indiabudget.gov.in (क्लिक करें)"/>
    <hyperlink ref="T457" r:id="rId2570" display="▶ दृष्टि IAS"/>
    <hyperlink ref="U457" r:id="rId2571" display="▶ BPSC वाला"/>
    <hyperlink ref="V457" r:id="rId2572" display="▶ BPSC वाला"/>
    <hyperlink ref="J458" r:id="rId2573" display="पढ़ें: उद्योग, सेवाएँ एवं अवसंरचना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उद्योग, सेवाएँ एवं अवसंरचना.pdf')। तैयार PDF नोट्स खोजने हेतु क्लिक करें।"/>
    <hyperlink ref="K458" r:id="rId2574" display="वेबसाइट पर पढ़ें: drishtiias.com • visionias.in • pib.gov.in • indiabudget.gov.in (क्लिक करें)"/>
    <hyperlink ref="T458" r:id="rId2575" display="▶ दृष्टि IAS"/>
    <hyperlink ref="U458" r:id="rId2576" display="▶ BPSC वाला"/>
    <hyperlink ref="V458" r:id="rId2577" display="▶ BPSC वाला"/>
    <hyperlink ref="J459" r:id="rId2578" display="पढ़ें: बाह्य क्षेत्र एवं अंतर्राष्ट्रीय संस्थाएँ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बाह्य क्षेत्र एवं अंतर्राष्ट्रीय.pdf')। तैयार PDF नोट्स खोजने हेतु क्लिक करें।"/>
    <hyperlink ref="K459" r:id="rId2579" display="वेबसाइट पर पढ़ें: drishtiias.com • visionias.in • pib.gov.in • indiabudget.gov.in (क्लिक करें)"/>
    <hyperlink ref="T459" r:id="rId2580" display="▶ दृष्टि IAS"/>
    <hyperlink ref="U459" r:id="rId2581" display="▶ BPSC वाला"/>
    <hyperlink ref="V459" r:id="rId2582" display="▶ BPSC वाला"/>
    <hyperlink ref="J460" r:id="rId2583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460" r:id="rId2584" display="वेबसाइट पर पढ़ें: drishtiias.com • visionias.in • pib.gov.in • indiabudget.gov.in (क्लिक करें)"/>
    <hyperlink ref="T460" r:id="rId2585" display="▶ दृष्टि IAS"/>
    <hyperlink ref="U460" r:id="rId2586" display="▶ BPSC वाला"/>
    <hyperlink ref="V460" r:id="rId2587" display="▶ BPSC वाला"/>
    <hyperlink ref="J461" r:id="rId258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61" r:id="rId2589" display="वेबसाइट पर पढ़ें: drishtiias.com • visionias.in • pib.gov.in (क्लिक करें)"/>
    <hyperlink ref="T461" r:id="rId2590" display="▶ दृष्टि IAS"/>
    <hyperlink ref="U461" r:id="rId2591" display="▶ BPSC वाला"/>
    <hyperlink ref="V461" r:id="rId2592" display="▶ BPSC वाला"/>
    <hyperlink ref="J462" r:id="rId2593" display="पढ़ें: पूँजी बाज़ार, बीमा, आर्थिक सर्वेक्षण एवं बजट – NCERT अर्थशास्त्र (कक्षा 9-12) • रमेश सिंह • नवीनतम आर्थिक सर्वेक्षण व बजट। फिर स्वयं के 1-2 पृष्ठ के नोट्स + 10 फ्लैश-कार्ड बनाएँ और PDF के रूप में सहेजें ('पूँजी बाज़ार, बीमा, आर्थिक.pdf')। तैयार PDF नोट्स खोजने हेतु क्लिक करें।"/>
    <hyperlink ref="K462" r:id="rId2594" display="वेबसाइट पर पढ़ें: drishtiias.com • visionias.in • pib.gov.in • indiabudget.gov.in (क्लिक करें)"/>
    <hyperlink ref="T462" r:id="rId2595" display="▶ दृष्टि IAS"/>
    <hyperlink ref="U462" r:id="rId2596" display="▶ BPSC वाला"/>
    <hyperlink ref="V462" r:id="rId2597" display="▶ BPSC वाला"/>
    <hyperlink ref="J463" r:id="rId2598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463" r:id="rId2599" display="वेबसाइट पर पढ़ें: drishtiias.com • visionias.in • pib.gov.in (क्लिक करें)"/>
    <hyperlink ref="T463" r:id="rId2600" display="▶ दृष्टि IAS"/>
    <hyperlink ref="U463" r:id="rId2601" display="▶ BPSC वाला"/>
    <hyperlink ref="V463" r:id="rId2602" display="▶ BPSC वाला"/>
    <hyperlink ref="J464" r:id="rId2603" display="पढ़ें: पारिस्थितिकी एवं पारितंत्र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पारिस्थितिकी एवं पारितंत्र.pdf')। तैयार PDF नोट्स खोजने हेतु क्लिक करें।"/>
    <hyperlink ref="K464" r:id="rId2604" display="वेबसाइट पर पढ़ें: drishtiias.com • visionias.in • pib.gov.in (क्लिक करें)"/>
    <hyperlink ref="T464" r:id="rId2605" display="▶ दृष्टि IAS"/>
    <hyperlink ref="U464" r:id="rId2606" display="▶ BPSC वाला"/>
    <hyperlink ref="V464" r:id="rId2607" display="▶ BPSC वाला"/>
    <hyperlink ref="J465" r:id="rId2608" display="पढ़ें: जैव विविधता एवं संरक्षण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ैव विविधता एवं संरक्षण.pdf')। तैयार PDF नोट्स खोजने हेतु क्लिक करें।"/>
    <hyperlink ref="K465" r:id="rId2609" display="वेबसाइट पर पढ़ें: drishtiias.com • visionias.in • pib.gov.in (क्लिक करें)"/>
    <hyperlink ref="T465" r:id="rId2610" display="▶ दृष्टि IAS"/>
    <hyperlink ref="U465" r:id="rId2611" display="▶ BPSC वाला"/>
    <hyperlink ref="V465" r:id="rId2612" display="▶ BPSC वाला"/>
    <hyperlink ref="J466" r:id="rId2613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466" r:id="rId2614" display="वेबसाइट पर पढ़ें: drishtiias.com • visionias.in • pib.gov.in (क्लिक करें)"/>
    <hyperlink ref="T466" r:id="rId2615" display="▶ दृष्टि IAS"/>
    <hyperlink ref="U466" r:id="rId2616" display="▶ BPSC वाला"/>
    <hyperlink ref="V466" r:id="rId2617" display="▶ BPSC वाला"/>
    <hyperlink ref="J467" r:id="rId2618" display="पढ़ें: जलवायु परिवर्तन, प्रदूषण एवं पर्यावरण कानून – NCERT कक्षा 12 जीव विज्ञान (पारिस्थितिकी) / शंकर IAS • दृष्टि IAS पर्यावरण नोट्स • विजन IAS पर्यावरण। फिर स्वयं के 1-2 पृष्ठ के नोट्स + 10 फ्लैश-कार्ड बनाएँ और PDF के रूप में सहेजें ('जलवायु परिवर्तन, प्रदूषण एवं.pdf')। तैयार PDF नोट्स खोजने हेतु क्लिक करें।"/>
    <hyperlink ref="K467" r:id="rId2619" display="वेबसाइट पर पढ़ें: drishtiias.com • visionias.in • pib.gov.in (क्लिक करें)"/>
    <hyperlink ref="T467" r:id="rId2620" display="▶ दृष्टि IAS"/>
    <hyperlink ref="U467" r:id="rId2621" display="▶ BPSC वाला"/>
    <hyperlink ref="V467" r:id="rId2622" display="▶ BPSC वाला"/>
    <hyperlink ref="J468" r:id="rId262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68" r:id="rId2624" display="वेबसाइट पर पढ़ें: drishtiias.com • visionias.in • pib.gov.in (क्लिक करें)"/>
    <hyperlink ref="T468" r:id="rId2625" display="▶ दृष्टि IAS"/>
    <hyperlink ref="U468" r:id="rId2626" display="▶ BPSC वाला"/>
    <hyperlink ref="V468" r:id="rId2627" display="▶ BPSC वाला"/>
    <hyperlink ref="J469" r:id="rId262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69" r:id="rId2629" display="वेबसाइट पर पढ़ें: bpsc.bihar.gov.in • drishtiias.com • visionias.in (क्लिक करें)"/>
    <hyperlink ref="T469" r:id="rId2630" display="▶ दृष्टि IAS"/>
    <hyperlink ref="U469" r:id="rId2631" display="▶ BPSC वाला"/>
    <hyperlink ref="V469" r:id="rId2632" display="▶ BPSC वाला"/>
    <hyperlink ref="J470" r:id="rId263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0" r:id="rId2634" display="वेबसाइट पर पढ़ें: bpsc.bihar.gov.in • drishtiias.com • visionias.in (क्लिक करें)"/>
    <hyperlink ref="T470" r:id="rId2635" display="▶ दृष्टि IAS"/>
    <hyperlink ref="U470" r:id="rId2636" display="▶ BPSC वाला"/>
    <hyperlink ref="V470" r:id="rId2637" display="▶ BPSC वाला"/>
    <hyperlink ref="J471" r:id="rId263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1" r:id="rId2639" display="वेबसाइट पर पढ़ें: bpsc.bihar.gov.in • drishtiias.com • visionias.in (क्लिक करें)"/>
    <hyperlink ref="T471" r:id="rId2640" display="▶ दृष्टि IAS"/>
    <hyperlink ref="U471" r:id="rId2641" display="▶ BPSC वाला"/>
    <hyperlink ref="V471" r:id="rId2642" display="▶ BPSC वाला"/>
    <hyperlink ref="J472" r:id="rId264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2" r:id="rId2644" display="वेबसाइट पर पढ़ें: bpsc.bihar.gov.in • drishtiias.com • visionias.in (क्लिक करें)"/>
    <hyperlink ref="T472" r:id="rId2645" display="▶ दृष्टि IAS"/>
    <hyperlink ref="U472" r:id="rId2646" display="▶ BPSC वाला"/>
    <hyperlink ref="V472" r:id="rId2647" display="▶ BPSC वाला"/>
    <hyperlink ref="J473" r:id="rId264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3" r:id="rId2649" display="वेबसाइट पर पढ़ें: bpsc.bihar.gov.in • drishtiias.com • visionias.in (क्लिक करें)"/>
    <hyperlink ref="T473" r:id="rId2650" display="▶ दृष्टि IAS"/>
    <hyperlink ref="U473" r:id="rId2651" display="▶ BPSC वाला"/>
    <hyperlink ref="V473" r:id="rId2652" display="▶ BPSC वाला"/>
    <hyperlink ref="J474" r:id="rId265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4" r:id="rId2654" display="वेबसाइट पर पढ़ें: bpsc.bihar.gov.in • drishtiias.com • visionias.in (क्लिक करें)"/>
    <hyperlink ref="T474" r:id="rId2655" display="▶ दृष्टि IAS"/>
    <hyperlink ref="U474" r:id="rId2656" display="▶ BPSC वाला"/>
    <hyperlink ref="V474" r:id="rId2657" display="▶ BPSC वाला"/>
    <hyperlink ref="J475" r:id="rId265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75" r:id="rId2659" display="वेबसाइट पर पढ़ें: drishtiias.com • visionias.in • pib.gov.in (क्लिक करें)"/>
    <hyperlink ref="T475" r:id="rId2660" display="▶ दृष्टि IAS"/>
    <hyperlink ref="U475" r:id="rId2661" display="▶ BPSC वाला"/>
    <hyperlink ref="V475" r:id="rId2662" display="▶ BPSC वाला"/>
    <hyperlink ref="J476" r:id="rId266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6" r:id="rId2664" display="वेबसाइट पर पढ़ें: bpsc.bihar.gov.in • drishtiias.com • visionias.in (क्लिक करें)"/>
    <hyperlink ref="T476" r:id="rId2665" display="▶ दृष्टि IAS"/>
    <hyperlink ref="U476" r:id="rId2666" display="▶ BPSC वाला"/>
    <hyperlink ref="V476" r:id="rId2667" display="▶ BPSC वाला"/>
    <hyperlink ref="J477" r:id="rId266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7" r:id="rId2669" display="वेबसाइट पर पढ़ें: bpsc.bihar.gov.in • drishtiias.com • visionias.in (क्लिक करें)"/>
    <hyperlink ref="T477" r:id="rId2670" display="▶ दृष्टि IAS"/>
    <hyperlink ref="U477" r:id="rId2671" display="▶ BPSC वाला"/>
    <hyperlink ref="V477" r:id="rId2672" display="▶ BPSC वाला"/>
    <hyperlink ref="J478" r:id="rId267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8" r:id="rId2674" display="वेबसाइट पर पढ़ें: bpsc.bihar.gov.in • drishtiias.com • visionias.in (क्लिक करें)"/>
    <hyperlink ref="T478" r:id="rId2675" display="▶ दृष्टि IAS"/>
    <hyperlink ref="U478" r:id="rId2676" display="▶ BPSC वाला"/>
    <hyperlink ref="V478" r:id="rId2677" display="▶ BPSC वाला"/>
    <hyperlink ref="J479" r:id="rId267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79" r:id="rId2679" display="वेबसाइट पर पढ़ें: bpsc.bihar.gov.in • drishtiias.com • visionias.in (क्लिक करें)"/>
    <hyperlink ref="T479" r:id="rId2680" display="▶ दृष्टि IAS"/>
    <hyperlink ref="U479" r:id="rId2681" display="▶ BPSC वाला"/>
    <hyperlink ref="V479" r:id="rId2682" display="▶ BPSC वाला"/>
    <hyperlink ref="J480" r:id="rId268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0" r:id="rId2684" display="वेबसाइट पर पढ़ें: bpsc.bihar.gov.in • drishtiias.com • visionias.in (क्लिक करें)"/>
    <hyperlink ref="T480" r:id="rId2685" display="▶ दृष्टि IAS"/>
    <hyperlink ref="U480" r:id="rId2686" display="▶ BPSC वाला"/>
    <hyperlink ref="V480" r:id="rId2687" display="▶ BPSC वाला"/>
    <hyperlink ref="J481" r:id="rId268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1" r:id="rId2689" display="वेबसाइट पर पढ़ें: bpsc.bihar.gov.in • drishtiias.com • visionias.in (क्लिक करें)"/>
    <hyperlink ref="T481" r:id="rId2690" display="▶ दृष्टि IAS"/>
    <hyperlink ref="U481" r:id="rId2691" display="▶ BPSC वाला"/>
    <hyperlink ref="V481" r:id="rId2692" display="▶ BPSC वाला"/>
    <hyperlink ref="J482" r:id="rId269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82" r:id="rId2694" display="वेबसाइट पर पढ़ें: drishtiias.com • visionias.in • pib.gov.in (क्लिक करें)"/>
    <hyperlink ref="T482" r:id="rId2695" display="▶ दृष्टि IAS"/>
    <hyperlink ref="U482" r:id="rId2696" display="▶ BPSC वाला"/>
    <hyperlink ref="V482" r:id="rId2697" display="▶ BPSC वाला"/>
    <hyperlink ref="J483" r:id="rId269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3" r:id="rId2699" display="वेबसाइट पर पढ़ें: bpsc.bihar.gov.in • drishtiias.com • visionias.in (क्लिक करें)"/>
    <hyperlink ref="T483" r:id="rId2700" display="▶ दृष्टि IAS"/>
    <hyperlink ref="U483" r:id="rId2701" display="▶ BPSC वाला"/>
    <hyperlink ref="V483" r:id="rId2702" display="▶ BPSC वाला"/>
    <hyperlink ref="J484" r:id="rId270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4" r:id="rId2704" display="वेबसाइट पर पढ़ें: bpsc.bihar.gov.in • drishtiias.com • visionias.in (क्लिक करें)"/>
    <hyperlink ref="T484" r:id="rId2705" display="▶ दृष्टि IAS"/>
    <hyperlink ref="U484" r:id="rId2706" display="▶ BPSC वाला"/>
    <hyperlink ref="V484" r:id="rId2707" display="▶ BPSC वाला"/>
    <hyperlink ref="J485" r:id="rId270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5" r:id="rId2709" display="वेबसाइट पर पढ़ें: bpsc.bihar.gov.in • drishtiias.com • visionias.in (क्लिक करें)"/>
    <hyperlink ref="T485" r:id="rId2710" display="▶ दृष्टि IAS"/>
    <hyperlink ref="U485" r:id="rId2711" display="▶ BPSC वाला"/>
    <hyperlink ref="V485" r:id="rId2712" display="▶ BPSC वाला"/>
    <hyperlink ref="J486" r:id="rId271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6" r:id="rId2714" display="वेबसाइट पर पढ़ें: bpsc.bihar.gov.in • drishtiias.com • visionias.in (क्लिक करें)"/>
    <hyperlink ref="T486" r:id="rId2715" display="▶ दृष्टि IAS"/>
    <hyperlink ref="U486" r:id="rId2716" display="▶ BPSC वाला"/>
    <hyperlink ref="V486" r:id="rId2717" display="▶ BPSC वाला"/>
    <hyperlink ref="J487" r:id="rId271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7" r:id="rId2719" display="वेबसाइट पर पढ़ें: bpsc.bihar.gov.in • drishtiias.com • visionias.in (क्लिक करें)"/>
    <hyperlink ref="T487" r:id="rId2720" display="▶ दृष्टि IAS"/>
    <hyperlink ref="U487" r:id="rId2721" display="▶ BPSC वाला"/>
    <hyperlink ref="V487" r:id="rId2722" display="▶ BPSC वाला"/>
    <hyperlink ref="J488" r:id="rId272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88" r:id="rId2724" display="वेबसाइट पर पढ़ें: bpsc.bihar.gov.in • drishtiias.com • visionias.in (क्लिक करें)"/>
    <hyperlink ref="T488" r:id="rId2725" display="▶ दृष्टि IAS"/>
    <hyperlink ref="U488" r:id="rId2726" display="▶ BPSC वाला"/>
    <hyperlink ref="V488" r:id="rId2727" display="▶ BPSC वाला"/>
    <hyperlink ref="J489" r:id="rId272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89" r:id="rId2729" display="वेबसाइट पर पढ़ें: drishtiias.com • visionias.in • pib.gov.in (क्लिक करें)"/>
    <hyperlink ref="T489" r:id="rId2730" display="▶ दृष्टि IAS"/>
    <hyperlink ref="U489" r:id="rId2731" display="▶ BPSC वाला"/>
    <hyperlink ref="V489" r:id="rId2732" display="▶ BPSC वाला"/>
    <hyperlink ref="J490" r:id="rId273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0" r:id="rId2734" display="वेबसाइट पर पढ़ें: bpsc.bihar.gov.in • drishtiias.com • visionias.in (क्लिक करें)"/>
    <hyperlink ref="T490" r:id="rId2735" display="▶ दृष्टि IAS"/>
    <hyperlink ref="U490" r:id="rId2736" display="▶ BPSC वाला"/>
    <hyperlink ref="V490" r:id="rId2737" display="▶ BPSC वाला"/>
    <hyperlink ref="J491" r:id="rId273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1" r:id="rId2739" display="वेबसाइट पर पढ़ें: bpsc.bihar.gov.in • drishtiias.com • visionias.in (क्लिक करें)"/>
    <hyperlink ref="T491" r:id="rId2740" display="▶ दृष्टि IAS"/>
    <hyperlink ref="U491" r:id="rId2741" display="▶ BPSC वाला"/>
    <hyperlink ref="V491" r:id="rId2742" display="▶ BPSC वाला"/>
    <hyperlink ref="J492" r:id="rId274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2" r:id="rId2744" display="वेबसाइट पर पढ़ें: bpsc.bihar.gov.in • drishtiias.com • visionias.in (क्लिक करें)"/>
    <hyperlink ref="T492" r:id="rId2745" display="▶ दृष्टि IAS"/>
    <hyperlink ref="U492" r:id="rId2746" display="▶ BPSC वाला"/>
    <hyperlink ref="V492" r:id="rId2747" display="▶ BPSC वाला"/>
    <hyperlink ref="J493" r:id="rId274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3" r:id="rId2749" display="वेबसाइट पर पढ़ें: bpsc.bihar.gov.in • drishtiias.com • visionias.in (क्लिक करें)"/>
    <hyperlink ref="T493" r:id="rId2750" display="▶ दृष्टि IAS"/>
    <hyperlink ref="U493" r:id="rId2751" display="▶ BPSC वाला"/>
    <hyperlink ref="V493" r:id="rId2752" display="▶ BPSC वाला"/>
    <hyperlink ref="J494" r:id="rId275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4" r:id="rId2754" display="वेबसाइट पर पढ़ें: bpsc.bihar.gov.in • drishtiias.com • visionias.in (क्लिक करें)"/>
    <hyperlink ref="T494" r:id="rId2755" display="▶ दृष्टि IAS"/>
    <hyperlink ref="U494" r:id="rId2756" display="▶ BPSC वाला"/>
    <hyperlink ref="V494" r:id="rId2757" display="▶ BPSC वाला"/>
    <hyperlink ref="J495" r:id="rId275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5" r:id="rId2759" display="वेबसाइट पर पढ़ें: bpsc.bihar.gov.in • drishtiias.com • visionias.in (क्लिक करें)"/>
    <hyperlink ref="T495" r:id="rId2760" display="▶ दृष्टि IAS"/>
    <hyperlink ref="U495" r:id="rId2761" display="▶ BPSC वाला"/>
    <hyperlink ref="V495" r:id="rId2762" display="▶ BPSC वाला"/>
    <hyperlink ref="J496" r:id="rId276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496" r:id="rId2764" display="वेबसाइट पर पढ़ें: drishtiias.com • visionias.in • pib.gov.in (क्लिक करें)"/>
    <hyperlink ref="T496" r:id="rId2765" display="▶ दृष्टि IAS"/>
    <hyperlink ref="U496" r:id="rId2766" display="▶ BPSC वाला"/>
    <hyperlink ref="V496" r:id="rId2767" display="▶ BPSC वाला"/>
    <hyperlink ref="J497" r:id="rId276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7" r:id="rId2769" display="वेबसाइट पर पढ़ें: bpsc.bihar.gov.in • drishtiias.com • visionias.in (क्लिक करें)"/>
    <hyperlink ref="T497" r:id="rId2770" display="▶ दृष्टि IAS"/>
    <hyperlink ref="U497" r:id="rId2771" display="▶ BPSC वाला"/>
    <hyperlink ref="V497" r:id="rId2772" display="▶ BPSC वाला"/>
    <hyperlink ref="J498" r:id="rId277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8" r:id="rId2774" display="वेबसाइट पर पढ़ें: bpsc.bihar.gov.in • drishtiias.com • visionias.in (क्लिक करें)"/>
    <hyperlink ref="T498" r:id="rId2775" display="▶ दृष्टि IAS"/>
    <hyperlink ref="U498" r:id="rId2776" display="▶ BPSC वाला"/>
    <hyperlink ref="V498" r:id="rId2777" display="▶ BPSC वाला"/>
    <hyperlink ref="J499" r:id="rId277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499" r:id="rId2779" display="वेबसाइट पर पढ़ें: bpsc.bihar.gov.in • drishtiias.com • visionias.in (क्लिक करें)"/>
    <hyperlink ref="T499" r:id="rId2780" display="▶ दृष्टि IAS"/>
    <hyperlink ref="U499" r:id="rId2781" display="▶ BPSC वाला"/>
    <hyperlink ref="V499" r:id="rId2782" display="▶ BPSC वाला"/>
    <hyperlink ref="J500" r:id="rId278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0" r:id="rId2784" display="वेबसाइट पर पढ़ें: bpsc.bihar.gov.in • drishtiias.com • visionias.in (क्लिक करें)"/>
    <hyperlink ref="T500" r:id="rId2785" display="▶ दृष्टि IAS"/>
    <hyperlink ref="U500" r:id="rId2786" display="▶ BPSC वाला"/>
    <hyperlink ref="V500" r:id="rId2787" display="▶ BPSC वाला"/>
    <hyperlink ref="J501" r:id="rId278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1" r:id="rId2789" display="वेबसाइट पर पढ़ें: bpsc.bihar.gov.in • drishtiias.com • visionias.in (क्लिक करें)"/>
    <hyperlink ref="T501" r:id="rId2790" display="▶ दृष्टि IAS"/>
    <hyperlink ref="U501" r:id="rId2791" display="▶ BPSC वाला"/>
    <hyperlink ref="V501" r:id="rId2792" display="▶ BPSC वाला"/>
    <hyperlink ref="J502" r:id="rId279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2" r:id="rId2794" display="वेबसाइट पर पढ़ें: bpsc.bihar.gov.in • drishtiias.com • visionias.in (क्लिक करें)"/>
    <hyperlink ref="T502" r:id="rId2795" display="▶ दृष्टि IAS"/>
    <hyperlink ref="U502" r:id="rId2796" display="▶ BPSC वाला"/>
    <hyperlink ref="V502" r:id="rId2797" display="▶ BPSC वाला"/>
    <hyperlink ref="J503" r:id="rId279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03" r:id="rId2799" display="वेबसाइट पर पढ़ें: drishtiias.com • visionias.in • pib.gov.in (क्लिक करें)"/>
    <hyperlink ref="T503" r:id="rId2800" display="▶ दृष्टि IAS"/>
    <hyperlink ref="U503" r:id="rId2801" display="▶ BPSC वाला"/>
    <hyperlink ref="V503" r:id="rId2802" display="▶ BPSC वाला"/>
    <hyperlink ref="J504" r:id="rId280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4" r:id="rId2804" display="वेबसाइट पर पढ़ें: bpsc.bihar.gov.in • drishtiias.com • visionias.in (क्लिक करें)"/>
    <hyperlink ref="T504" r:id="rId2805" display="▶ दृष्टि IAS"/>
    <hyperlink ref="U504" r:id="rId2806" display="▶ BPSC वाला"/>
    <hyperlink ref="V504" r:id="rId2807" display="▶ BPSC वाला"/>
    <hyperlink ref="J505" r:id="rId280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5" r:id="rId2809" display="वेबसाइट पर पढ़ें: bpsc.bihar.gov.in • drishtiias.com • visionias.in (क्लिक करें)"/>
    <hyperlink ref="T505" r:id="rId2810" display="▶ दृष्टि IAS"/>
    <hyperlink ref="U505" r:id="rId2811" display="▶ BPSC वाला"/>
    <hyperlink ref="V505" r:id="rId2812" display="▶ BPSC वाला"/>
    <hyperlink ref="J506" r:id="rId281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6" r:id="rId2814" display="वेबसाइट पर पढ़ें: bpsc.bihar.gov.in • drishtiias.com • visionias.in (क्लिक करें)"/>
    <hyperlink ref="T506" r:id="rId2815" display="▶ दृष्टि IAS"/>
    <hyperlink ref="U506" r:id="rId2816" display="▶ BPSC वाला"/>
    <hyperlink ref="V506" r:id="rId2817" display="▶ BPSC वाला"/>
    <hyperlink ref="J507" r:id="rId281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7" r:id="rId2819" display="वेबसाइट पर पढ़ें: bpsc.bihar.gov.in • drishtiias.com • visionias.in (क्लिक करें)"/>
    <hyperlink ref="T507" r:id="rId2820" display="▶ दृष्टि IAS"/>
    <hyperlink ref="U507" r:id="rId2821" display="▶ BPSC वाला"/>
    <hyperlink ref="V507" r:id="rId2822" display="▶ BPSC वाला"/>
    <hyperlink ref="J508" r:id="rId282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8" r:id="rId2824" display="वेबसाइट पर पढ़ें: bpsc.bihar.gov.in • drishtiias.com • visionias.in (क्लिक करें)"/>
    <hyperlink ref="T508" r:id="rId2825" display="▶ दृष्टि IAS"/>
    <hyperlink ref="U508" r:id="rId2826" display="▶ BPSC वाला"/>
    <hyperlink ref="V508" r:id="rId2827" display="▶ BPSC वाला"/>
    <hyperlink ref="J509" r:id="rId282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09" r:id="rId2829" display="वेबसाइट पर पढ़ें: bpsc.bihar.gov.in • drishtiias.com • visionias.in (क्लिक करें)"/>
    <hyperlink ref="T509" r:id="rId2830" display="▶ दृष्टि IAS"/>
    <hyperlink ref="U509" r:id="rId2831" display="▶ BPSC वाला"/>
    <hyperlink ref="V509" r:id="rId2832" display="▶ BPSC वाला"/>
    <hyperlink ref="J510" r:id="rId283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10" r:id="rId2834" display="वेबसाइट पर पढ़ें: drishtiias.com • visionias.in • pib.gov.in (क्लिक करें)"/>
    <hyperlink ref="T510" r:id="rId2835" display="▶ दृष्टि IAS"/>
    <hyperlink ref="U510" r:id="rId2836" display="▶ BPSC वाला"/>
    <hyperlink ref="V510" r:id="rId2837" display="▶ BPSC वाला"/>
    <hyperlink ref="J511" r:id="rId283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1" r:id="rId2839" display="वेबसाइट पर पढ़ें: bpsc.bihar.gov.in • drishtiias.com • visionias.in (क्लिक करें)"/>
    <hyperlink ref="T511" r:id="rId2840" display="▶ दृष्टि IAS"/>
    <hyperlink ref="U511" r:id="rId2841" display="▶ BPSC वाला"/>
    <hyperlink ref="V511" r:id="rId2842" display="▶ BPSC वाला"/>
    <hyperlink ref="J512" r:id="rId284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2" r:id="rId2844" display="वेबसाइट पर पढ़ें: bpsc.bihar.gov.in • drishtiias.com • visionias.in (क्लिक करें)"/>
    <hyperlink ref="T512" r:id="rId2845" display="▶ दृष्टि IAS"/>
    <hyperlink ref="U512" r:id="rId2846" display="▶ BPSC वाला"/>
    <hyperlink ref="V512" r:id="rId2847" display="▶ BPSC वाला"/>
    <hyperlink ref="J513" r:id="rId284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3" r:id="rId2849" display="वेबसाइट पर पढ़ें: bpsc.bihar.gov.in • drishtiias.com • visionias.in (क्लिक करें)"/>
    <hyperlink ref="T513" r:id="rId2850" display="▶ दृष्टि IAS"/>
    <hyperlink ref="U513" r:id="rId2851" display="▶ BPSC वाला"/>
    <hyperlink ref="V513" r:id="rId2852" display="▶ BPSC वाला"/>
    <hyperlink ref="J514" r:id="rId285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4" r:id="rId2854" display="वेबसाइट पर पढ़ें: bpsc.bihar.gov.in • drishtiias.com • visionias.in (क्लिक करें)"/>
    <hyperlink ref="T514" r:id="rId2855" display="▶ दृष्टि IAS"/>
    <hyperlink ref="U514" r:id="rId2856" display="▶ BPSC वाला"/>
    <hyperlink ref="V514" r:id="rId2857" display="▶ BPSC वाला"/>
    <hyperlink ref="J515" r:id="rId285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5" r:id="rId2859" display="वेबसाइट पर पढ़ें: bpsc.bihar.gov.in • drishtiias.com • visionias.in (क्लिक करें)"/>
    <hyperlink ref="T515" r:id="rId2860" display="▶ दृष्टि IAS"/>
    <hyperlink ref="U515" r:id="rId2861" display="▶ BPSC वाला"/>
    <hyperlink ref="V515" r:id="rId2862" display="▶ BPSC वाला"/>
    <hyperlink ref="J516" r:id="rId286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6" r:id="rId2864" display="वेबसाइट पर पढ़ें: bpsc.bihar.gov.in • drishtiias.com • visionias.in (क्लिक करें)"/>
    <hyperlink ref="T516" r:id="rId2865" display="▶ दृष्टि IAS"/>
    <hyperlink ref="U516" r:id="rId2866" display="▶ BPSC वाला"/>
    <hyperlink ref="V516" r:id="rId2867" display="▶ BPSC वाला"/>
    <hyperlink ref="J517" r:id="rId286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17" r:id="rId2869" display="वेबसाइट पर पढ़ें: drishtiias.com • visionias.in • pib.gov.in (क्लिक करें)"/>
    <hyperlink ref="T517" r:id="rId2870" display="▶ दृष्टि IAS"/>
    <hyperlink ref="U517" r:id="rId2871" display="▶ BPSC वाला"/>
    <hyperlink ref="V517" r:id="rId2872" display="▶ BPSC वाला"/>
    <hyperlink ref="J518" r:id="rId287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8" r:id="rId2874" display="वेबसाइट पर पढ़ें: bpsc.bihar.gov.in • drishtiias.com • visionias.in (क्लिक करें)"/>
    <hyperlink ref="T518" r:id="rId2875" display="▶ दृष्टि IAS"/>
    <hyperlink ref="U518" r:id="rId2876" display="▶ BPSC वाला"/>
    <hyperlink ref="V518" r:id="rId2877" display="▶ BPSC वाला"/>
    <hyperlink ref="J519" r:id="rId287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19" r:id="rId2879" display="वेबसाइट पर पढ़ें: bpsc.bihar.gov.in • drishtiias.com • visionias.in (क्लिक करें)"/>
    <hyperlink ref="T519" r:id="rId2880" display="▶ दृष्टि IAS"/>
    <hyperlink ref="U519" r:id="rId2881" display="▶ BPSC वाला"/>
    <hyperlink ref="V519" r:id="rId2882" display="▶ BPSC वाला"/>
    <hyperlink ref="J520" r:id="rId288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0" r:id="rId2884" display="वेबसाइट पर पढ़ें: bpsc.bihar.gov.in • drishtiias.com • visionias.in (क्लिक करें)"/>
    <hyperlink ref="T520" r:id="rId2885" display="▶ दृष्टि IAS"/>
    <hyperlink ref="U520" r:id="rId2886" display="▶ BPSC वाला"/>
    <hyperlink ref="V520" r:id="rId2887" display="▶ BPSC वाला"/>
    <hyperlink ref="J521" r:id="rId288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1" r:id="rId2889" display="वेबसाइट पर पढ़ें: bpsc.bihar.gov.in • drishtiias.com • visionias.in (क्लिक करें)"/>
    <hyperlink ref="T521" r:id="rId2890" display="▶ दृष्टि IAS"/>
    <hyperlink ref="U521" r:id="rId2891" display="▶ BPSC वाला"/>
    <hyperlink ref="V521" r:id="rId2892" display="▶ BPSC वाला"/>
    <hyperlink ref="J522" r:id="rId289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2" r:id="rId2894" display="वेबसाइट पर पढ़ें: bpsc.bihar.gov.in • drishtiias.com • visionias.in (क्लिक करें)"/>
    <hyperlink ref="T522" r:id="rId2895" display="▶ दृष्टि IAS"/>
    <hyperlink ref="U522" r:id="rId2896" display="▶ BPSC वाला"/>
    <hyperlink ref="V522" r:id="rId2897" display="▶ BPSC वाला"/>
    <hyperlink ref="J523" r:id="rId289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3" r:id="rId2899" display="वेबसाइट पर पढ़ें: bpsc.bihar.gov.in • drishtiias.com • visionias.in (क्लिक करें)"/>
    <hyperlink ref="T523" r:id="rId2900" display="▶ दृष्टि IAS"/>
    <hyperlink ref="U523" r:id="rId2901" display="▶ BPSC वाला"/>
    <hyperlink ref="V523" r:id="rId2902" display="▶ BPSC वाला"/>
    <hyperlink ref="J524" r:id="rId290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24" r:id="rId2904" display="वेबसाइट पर पढ़ें: drishtiias.com • visionias.in • pib.gov.in (क्लिक करें)"/>
    <hyperlink ref="T524" r:id="rId2905" display="▶ दृष्टि IAS"/>
    <hyperlink ref="U524" r:id="rId2906" display="▶ BPSC वाला"/>
    <hyperlink ref="V524" r:id="rId2907" display="▶ BPSC वाला"/>
    <hyperlink ref="J525" r:id="rId290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5" r:id="rId2909" display="वेबसाइट पर पढ़ें: bpsc.bihar.gov.in • drishtiias.com • visionias.in (क्लिक करें)"/>
    <hyperlink ref="T525" r:id="rId2910" display="▶ दृष्टि IAS"/>
    <hyperlink ref="U525" r:id="rId2911" display="▶ BPSC वाला"/>
    <hyperlink ref="V525" r:id="rId2912" display="▶ BPSC वाला"/>
    <hyperlink ref="J526" r:id="rId291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6" r:id="rId2914" display="वेबसाइट पर पढ़ें: bpsc.bihar.gov.in • drishtiias.com • visionias.in (क्लिक करें)"/>
    <hyperlink ref="T526" r:id="rId2915" display="▶ दृष्टि IAS"/>
    <hyperlink ref="U526" r:id="rId2916" display="▶ BPSC वाला"/>
    <hyperlink ref="V526" r:id="rId2917" display="▶ BPSC वाला"/>
    <hyperlink ref="J527" r:id="rId291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7" r:id="rId2919" display="वेबसाइट पर पढ़ें: bpsc.bihar.gov.in • drishtiias.com • visionias.in (क्लिक करें)"/>
    <hyperlink ref="T527" r:id="rId2920" display="▶ दृष्टि IAS"/>
    <hyperlink ref="U527" r:id="rId2921" display="▶ BPSC वाला"/>
    <hyperlink ref="V527" r:id="rId2922" display="▶ BPSC वाला"/>
    <hyperlink ref="J528" r:id="rId292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8" r:id="rId2924" display="वेबसाइट पर पढ़ें: bpsc.bihar.gov.in • drishtiias.com • visionias.in (क्लिक करें)"/>
    <hyperlink ref="T528" r:id="rId2925" display="▶ दृष्टि IAS"/>
    <hyperlink ref="U528" r:id="rId2926" display="▶ BPSC वाला"/>
    <hyperlink ref="V528" r:id="rId2927" display="▶ BPSC वाला"/>
    <hyperlink ref="J529" r:id="rId292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29" r:id="rId2929" display="वेबसाइट पर पढ़ें: bpsc.bihar.gov.in • drishtiias.com • visionias.in (क्लिक करें)"/>
    <hyperlink ref="T529" r:id="rId2930" display="▶ दृष्टि IAS"/>
    <hyperlink ref="U529" r:id="rId2931" display="▶ BPSC वाला"/>
    <hyperlink ref="V529" r:id="rId2932" display="▶ BPSC वाला"/>
    <hyperlink ref="J530" r:id="rId293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0" r:id="rId2934" display="वेबसाइट पर पढ़ें: bpsc.bihar.gov.in • drishtiias.com • visionias.in (क्लिक करें)"/>
    <hyperlink ref="T530" r:id="rId2935" display="▶ दृष्टि IAS"/>
    <hyperlink ref="U530" r:id="rId2936" display="▶ BPSC वाला"/>
    <hyperlink ref="V530" r:id="rId2937" display="▶ BPSC वाला"/>
    <hyperlink ref="J531" r:id="rId293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31" r:id="rId2939" display="वेबसाइट पर पढ़ें: drishtiias.com • visionias.in • pib.gov.in (क्लिक करें)"/>
    <hyperlink ref="T531" r:id="rId2940" display="▶ दृष्टि IAS"/>
    <hyperlink ref="U531" r:id="rId2941" display="▶ BPSC वाला"/>
    <hyperlink ref="V531" r:id="rId2942" display="▶ BPSC वाला"/>
    <hyperlink ref="J532" r:id="rId294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2" r:id="rId2944" display="वेबसाइट पर पढ़ें: bpsc.bihar.gov.in • drishtiias.com • visionias.in (क्लिक करें)"/>
    <hyperlink ref="T532" r:id="rId2945" display="▶ दृष्टि IAS"/>
    <hyperlink ref="U532" r:id="rId2946" display="▶ BPSC वाला"/>
    <hyperlink ref="V532" r:id="rId2947" display="▶ BPSC वाला"/>
    <hyperlink ref="J533" r:id="rId294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3" r:id="rId2949" display="वेबसाइट पर पढ़ें: bpsc.bihar.gov.in • drishtiias.com • visionias.in (क्लिक करें)"/>
    <hyperlink ref="T533" r:id="rId2950" display="▶ दृष्टि IAS"/>
    <hyperlink ref="U533" r:id="rId2951" display="▶ BPSC वाला"/>
    <hyperlink ref="V533" r:id="rId2952" display="▶ BPSC वाला"/>
    <hyperlink ref="J534" r:id="rId295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4" r:id="rId2954" display="वेबसाइट पर पढ़ें: bpsc.bihar.gov.in • drishtiias.com • visionias.in (क्लिक करें)"/>
    <hyperlink ref="T534" r:id="rId2955" display="▶ दृष्टि IAS"/>
    <hyperlink ref="U534" r:id="rId2956" display="▶ BPSC वाला"/>
    <hyperlink ref="V534" r:id="rId2957" display="▶ BPSC वाला"/>
    <hyperlink ref="J535" r:id="rId295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5" r:id="rId2959" display="वेबसाइट पर पढ़ें: bpsc.bihar.gov.in • drishtiias.com • visionias.in (क्लिक करें)"/>
    <hyperlink ref="T535" r:id="rId2960" display="▶ दृष्टि IAS"/>
    <hyperlink ref="U535" r:id="rId2961" display="▶ BPSC वाला"/>
    <hyperlink ref="V535" r:id="rId2962" display="▶ BPSC वाला"/>
    <hyperlink ref="J536" r:id="rId296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6" r:id="rId2964" display="वेबसाइट पर पढ़ें: bpsc.bihar.gov.in • drishtiias.com • visionias.in (क्लिक करें)"/>
    <hyperlink ref="T536" r:id="rId2965" display="▶ दृष्टि IAS"/>
    <hyperlink ref="U536" r:id="rId2966" display="▶ BPSC वाला"/>
    <hyperlink ref="V536" r:id="rId2967" display="▶ BPSC वाला"/>
    <hyperlink ref="J537" r:id="rId296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7" r:id="rId2969" display="वेबसाइट पर पढ़ें: bpsc.bihar.gov.in • drishtiias.com • visionias.in (क्लिक करें)"/>
    <hyperlink ref="T537" r:id="rId2970" display="▶ दृष्टि IAS"/>
    <hyperlink ref="U537" r:id="rId2971" display="▶ BPSC वाला"/>
    <hyperlink ref="V537" r:id="rId2972" display="▶ BPSC वाला"/>
    <hyperlink ref="J538" r:id="rId297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38" r:id="rId2974" display="वेबसाइट पर पढ़ें: drishtiias.com • visionias.in • pib.gov.in (क्लिक करें)"/>
    <hyperlink ref="T538" r:id="rId2975" display="▶ दृष्टि IAS"/>
    <hyperlink ref="U538" r:id="rId2976" display="▶ BPSC वाला"/>
    <hyperlink ref="V538" r:id="rId2977" display="▶ BPSC वाला"/>
    <hyperlink ref="J539" r:id="rId297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39" r:id="rId2979" display="वेबसाइट पर पढ़ें: bpsc.bihar.gov.in • drishtiias.com • visionias.in (क्लिक करें)"/>
    <hyperlink ref="T539" r:id="rId2980" display="▶ दृष्टि IAS"/>
    <hyperlink ref="U539" r:id="rId2981" display="▶ BPSC वाला"/>
    <hyperlink ref="V539" r:id="rId2982" display="▶ BPSC वाला"/>
    <hyperlink ref="J540" r:id="rId298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0" r:id="rId2984" display="वेबसाइट पर पढ़ें: bpsc.bihar.gov.in • drishtiias.com • visionias.in (क्लिक करें)"/>
    <hyperlink ref="T540" r:id="rId2985" display="▶ दृष्टि IAS"/>
    <hyperlink ref="U540" r:id="rId2986" display="▶ BPSC वाला"/>
    <hyperlink ref="V540" r:id="rId2987" display="▶ BPSC वाला"/>
    <hyperlink ref="J541" r:id="rId298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1" r:id="rId2989" display="वेबसाइट पर पढ़ें: bpsc.bihar.gov.in • drishtiias.com • visionias.in (क्लिक करें)"/>
    <hyperlink ref="T541" r:id="rId2990" display="▶ दृष्टि IAS"/>
    <hyperlink ref="U541" r:id="rId2991" display="▶ BPSC वाला"/>
    <hyperlink ref="V541" r:id="rId2992" display="▶ BPSC वाला"/>
    <hyperlink ref="J542" r:id="rId299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2" r:id="rId2994" display="वेबसाइट पर पढ़ें: bpsc.bihar.gov.in • drishtiias.com • visionias.in (क्लिक करें)"/>
    <hyperlink ref="T542" r:id="rId2995" display="▶ दृष्टि IAS"/>
    <hyperlink ref="U542" r:id="rId2996" display="▶ BPSC वाला"/>
    <hyperlink ref="V542" r:id="rId2997" display="▶ BPSC वाला"/>
    <hyperlink ref="J543" r:id="rId299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3" r:id="rId2999" display="वेबसाइट पर पढ़ें: bpsc.bihar.gov.in • drishtiias.com • visionias.in (क्लिक करें)"/>
    <hyperlink ref="T543" r:id="rId3000" display="▶ दृष्टि IAS"/>
    <hyperlink ref="U543" r:id="rId3001" display="▶ BPSC वाला"/>
    <hyperlink ref="V543" r:id="rId3002" display="▶ BPSC वाला"/>
    <hyperlink ref="J544" r:id="rId300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4" r:id="rId3004" display="वेबसाइट पर पढ़ें: bpsc.bihar.gov.in • drishtiias.com • visionias.in (क्लिक करें)"/>
    <hyperlink ref="T544" r:id="rId3005" display="▶ दृष्टि IAS"/>
    <hyperlink ref="U544" r:id="rId3006" display="▶ BPSC वाला"/>
    <hyperlink ref="V544" r:id="rId3007" display="▶ BPSC वाला"/>
    <hyperlink ref="J545" r:id="rId3008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45" r:id="rId3009" display="वेबसाइट पर पढ़ें: drishtiias.com • visionias.in • pib.gov.in (क्लिक करें)"/>
    <hyperlink ref="T545" r:id="rId3010" display="▶ दृष्टि IAS"/>
    <hyperlink ref="U545" r:id="rId3011" display="▶ BPSC वाला"/>
    <hyperlink ref="V545" r:id="rId3012" display="▶ BPSC वाला"/>
    <hyperlink ref="J546" r:id="rId301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6" r:id="rId3014" display="वेबसाइट पर पढ़ें: bpsc.bihar.gov.in • drishtiias.com • visionias.in (क्लिक करें)"/>
    <hyperlink ref="T546" r:id="rId3015" display="▶ दृष्टि IAS"/>
    <hyperlink ref="U546" r:id="rId3016" display="▶ BPSC वाला"/>
    <hyperlink ref="V546" r:id="rId3017" display="▶ BPSC वाला"/>
    <hyperlink ref="J547" r:id="rId301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7" r:id="rId3019" display="वेबसाइट पर पढ़ें: bpsc.bihar.gov.in • drishtiias.com • visionias.in (क्लिक करें)"/>
    <hyperlink ref="T547" r:id="rId3020" display="▶ दृष्टि IAS"/>
    <hyperlink ref="U547" r:id="rId3021" display="▶ BPSC वाला"/>
    <hyperlink ref="V547" r:id="rId3022" display="▶ BPSC वाला"/>
    <hyperlink ref="J548" r:id="rId302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8" r:id="rId3024" display="वेबसाइट पर पढ़ें: bpsc.bihar.gov.in • drishtiias.com • visionias.in (क्लिक करें)"/>
    <hyperlink ref="T548" r:id="rId3025" display="▶ दृष्टि IAS"/>
    <hyperlink ref="U548" r:id="rId3026" display="▶ BPSC वाला"/>
    <hyperlink ref="V548" r:id="rId3027" display="▶ BPSC वाला"/>
    <hyperlink ref="J549" r:id="rId302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49" r:id="rId3029" display="वेबसाइट पर पढ़ें: bpsc.bihar.gov.in • drishtiias.com • visionias.in (क्लिक करें)"/>
    <hyperlink ref="T549" r:id="rId3030" display="▶ दृष्टि IAS"/>
    <hyperlink ref="U549" r:id="rId3031" display="▶ BPSC वाला"/>
    <hyperlink ref="V549" r:id="rId3032" display="▶ BPSC वाला"/>
    <hyperlink ref="J550" r:id="rId3033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50" r:id="rId3034" display="वेबसाइट पर पढ़ें: bpsc.bihar.gov.in • drishtiias.com • visionias.in (क्लिक करें)"/>
    <hyperlink ref="T550" r:id="rId3035" display="▶ दृष्टि IAS"/>
    <hyperlink ref="U550" r:id="rId3036" display="▶ BPSC वाला"/>
    <hyperlink ref="V550" r:id="rId3037" display="▶ BPSC वाला"/>
    <hyperlink ref="J551" r:id="rId3038" display="केवल अपने संक्षिप्त नोट्स के PDF और त्रुटि-लॉग पढ़ें। आज के मॉक का विश्लेषण PDF पृष्ठ के रूप में सहेजें (गलत प्रश्न + सही अवधारणा)।"/>
    <hyperlink ref="K551" r:id="rId3039" display="वेबसाइट पर पढ़ें: bpsc.bihar.gov.in • drishtiias.com • visionias.in (क्लिक करें)"/>
    <hyperlink ref="T551" r:id="rId3040" display="▶ दृष्टि IAS"/>
    <hyperlink ref="U551" r:id="rId3041" display="▶ BPSC वाला"/>
    <hyperlink ref="V551" r:id="rId3042" display="▶ BPSC वाला"/>
    <hyperlink ref="J552" r:id="rId3043" display="इस सप्ताह के अपने PDF/हस्तलिखित नोट्स दोबारा पढ़ें। उन्हें 1 पृष्ठ के साप्ताहिक सारांश PDF में जोड़ें (त्रुटि-लॉग + 20 कमज़ोर बिंदु)।"/>
    <hyperlink ref="K552" r:id="rId3044" display="वेबसाइट पर पढ़ें: drishtiias.com • visionias.in • pib.gov.in (क्लिक करें)"/>
    <hyperlink ref="T552" r:id="rId3045" display="▶ दृष्टि IAS"/>
    <hyperlink ref="U552" r:id="rId3046" display="▶ BPSC वाला"/>
    <hyperlink ref="V552" r:id="rId3047" display="▶ BPSC वाला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4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394"/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48"/>
    <col collapsed="false" customWidth="true" hidden="false" outlineLevel="0" max="4" min="4" style="1" width="80"/>
    <col collapsed="false" customWidth="true" hidden="false" outlineLevel="0" max="5" min="5" style="1" width="21"/>
    <col collapsed="false" customWidth="true" hidden="false" outlineLevel="0" max="6" min="6" style="1" width="16"/>
    <col collapsed="false" customWidth="true" hidden="false" outlineLevel="0" max="7" min="7" style="1" width="60"/>
    <col collapsed="false" customWidth="true" hidden="false" outlineLevel="0" max="10" min="8" style="1" width="17"/>
    <col collapsed="false" customWidth="true" hidden="false" outlineLevel="0" max="11" min="11" style="1" width="20"/>
    <col collapsed="false" customWidth="true" hidden="false" outlineLevel="0" max="12" min="12" style="1" width="15"/>
    <col collapsed="false" customWidth="true" hidden="false" outlineLevel="0" max="13" min="13" style="0" width="34"/>
  </cols>
  <sheetData>
    <row r="1" customFormat="false" ht="39.75" hidden="false" customHeight="true" outlineLevel="0" collapsed="false">
      <c r="A1" s="2" t="s">
        <v>1287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25.5" hidden="false" customHeight="true" outlineLevel="0" collapsed="false">
      <c r="A2" s="4" t="s">
        <v>1288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5" customFormat="false" ht="39.75" hidden="false" customHeight="true" outlineLevel="0" collapsed="false">
      <c r="A5" s="12" t="s">
        <v>1289</v>
      </c>
      <c r="B5" s="12" t="s">
        <v>1290</v>
      </c>
      <c r="C5" s="12" t="s">
        <v>1291</v>
      </c>
      <c r="D5" s="12" t="s">
        <v>1292</v>
      </c>
      <c r="E5" s="12" t="s">
        <v>7</v>
      </c>
      <c r="F5" s="12" t="s">
        <v>1293</v>
      </c>
      <c r="G5" s="12" t="s">
        <v>1294</v>
      </c>
      <c r="H5" s="12" t="s">
        <v>1295</v>
      </c>
      <c r="I5" s="12" t="s">
        <v>1296</v>
      </c>
      <c r="J5" s="12" t="s">
        <v>1297</v>
      </c>
      <c r="K5" s="12" t="s">
        <v>1298</v>
      </c>
      <c r="L5" s="12" t="s">
        <v>1299</v>
      </c>
      <c r="M5" s="12" t="s">
        <v>1300</v>
      </c>
    </row>
    <row r="6" customFormat="false" ht="58.5" hidden="false" customHeight="true" outlineLevel="0" collapsed="false">
      <c r="A6" s="14" t="s">
        <v>1301</v>
      </c>
      <c r="B6" s="14" t="s">
        <v>261</v>
      </c>
      <c r="C6" s="32" t="s">
        <v>1302</v>
      </c>
      <c r="D6" s="32" t="s">
        <v>263</v>
      </c>
      <c r="E6" s="14" t="s">
        <v>1303</v>
      </c>
      <c r="F6" s="15" t="n">
        <f aca="false">IFERROR(INDEX('दैनिक योजना'!$B$6:$B$552,MATCH(C6&amp;"*",'दैनिक योजना'!$H$6:$H$552,0)),"")</f>
        <v>46342</v>
      </c>
      <c r="G6" s="32" t="s">
        <v>271</v>
      </c>
      <c r="H6" s="55" t="s">
        <v>258</v>
      </c>
      <c r="I6" s="55" t="s">
        <v>259</v>
      </c>
      <c r="J6" s="55" t="s">
        <v>1304</v>
      </c>
      <c r="K6" s="55" t="s">
        <v>1305</v>
      </c>
      <c r="L6" s="14" t="s">
        <v>1306</v>
      </c>
      <c r="M6" s="55" t="s">
        <v>273</v>
      </c>
    </row>
    <row r="7" customFormat="false" ht="58.5" hidden="false" customHeight="true" outlineLevel="0" collapsed="false">
      <c r="A7" s="14" t="s">
        <v>1307</v>
      </c>
      <c r="B7" s="14" t="s">
        <v>261</v>
      </c>
      <c r="C7" s="32" t="s">
        <v>1308</v>
      </c>
      <c r="D7" s="32" t="s">
        <v>281</v>
      </c>
      <c r="E7" s="14" t="s">
        <v>1303</v>
      </c>
      <c r="F7" s="15" t="n">
        <f aca="false">IFERROR(INDEX('दैनिक योजना'!$B$6:$B$552,MATCH(C7&amp;"*",'दैनिक योजना'!$H$6:$H$552,0)),"")</f>
        <v>46345</v>
      </c>
      <c r="G7" s="32" t="s">
        <v>271</v>
      </c>
      <c r="H7" s="55" t="s">
        <v>258</v>
      </c>
      <c r="I7" s="55" t="s">
        <v>259</v>
      </c>
      <c r="J7" s="55" t="s">
        <v>1304</v>
      </c>
      <c r="K7" s="55" t="s">
        <v>1305</v>
      </c>
      <c r="L7" s="14" t="s">
        <v>1306</v>
      </c>
      <c r="M7" s="55" t="s">
        <v>273</v>
      </c>
    </row>
    <row r="8" customFormat="false" ht="58.5" hidden="false" customHeight="true" outlineLevel="0" collapsed="false">
      <c r="A8" s="14" t="s">
        <v>1309</v>
      </c>
      <c r="B8" s="14" t="s">
        <v>261</v>
      </c>
      <c r="C8" s="32" t="s">
        <v>1310</v>
      </c>
      <c r="D8" s="32" t="s">
        <v>302</v>
      </c>
      <c r="E8" s="14" t="s">
        <v>1303</v>
      </c>
      <c r="F8" s="15" t="n">
        <f aca="false">IFERROR(INDEX('दैनिक योजना'!$B$6:$B$552,MATCH(C8&amp;"*",'दैनिक योजना'!$H$6:$H$552,0)),"")</f>
        <v>46349</v>
      </c>
      <c r="G8" s="32" t="s">
        <v>271</v>
      </c>
      <c r="H8" s="55" t="s">
        <v>258</v>
      </c>
      <c r="I8" s="55" t="s">
        <v>259</v>
      </c>
      <c r="J8" s="55" t="s">
        <v>1304</v>
      </c>
      <c r="K8" s="55" t="s">
        <v>1305</v>
      </c>
      <c r="L8" s="14" t="s">
        <v>1306</v>
      </c>
      <c r="M8" s="55" t="s">
        <v>273</v>
      </c>
    </row>
    <row r="9" customFormat="false" ht="58.5" hidden="false" customHeight="true" outlineLevel="0" collapsed="false">
      <c r="A9" s="14" t="s">
        <v>1311</v>
      </c>
      <c r="B9" s="14" t="s">
        <v>261</v>
      </c>
      <c r="C9" s="32" t="s">
        <v>1312</v>
      </c>
      <c r="D9" s="32" t="s">
        <v>308</v>
      </c>
      <c r="E9" s="14" t="s">
        <v>1303</v>
      </c>
      <c r="F9" s="15" t="n">
        <f aca="false">IFERROR(INDEX('दैनिक योजना'!$B$6:$B$552,MATCH(C9&amp;"*",'दैनिक योजना'!$H$6:$H$552,0)),"")</f>
        <v>46351</v>
      </c>
      <c r="G9" s="32" t="s">
        <v>271</v>
      </c>
      <c r="H9" s="55" t="s">
        <v>258</v>
      </c>
      <c r="I9" s="55" t="s">
        <v>259</v>
      </c>
      <c r="J9" s="55" t="s">
        <v>1304</v>
      </c>
      <c r="K9" s="55" t="s">
        <v>1305</v>
      </c>
      <c r="L9" s="14" t="s">
        <v>1306</v>
      </c>
      <c r="M9" s="55" t="s">
        <v>273</v>
      </c>
    </row>
    <row r="10" customFormat="false" ht="58.5" hidden="false" customHeight="true" outlineLevel="0" collapsed="false">
      <c r="A10" s="14" t="s">
        <v>1313</v>
      </c>
      <c r="B10" s="14" t="s">
        <v>261</v>
      </c>
      <c r="C10" s="32" t="s">
        <v>315</v>
      </c>
      <c r="D10" s="32" t="s">
        <v>316</v>
      </c>
      <c r="E10" s="14" t="s">
        <v>1303</v>
      </c>
      <c r="F10" s="15" t="n">
        <f aca="false">IFERROR(INDEX('दैनिक योजना'!$B$6:$B$552,MATCH(C10&amp;"*",'दैनिक योजना'!$H$6:$H$552,0)),"")</f>
        <v>46354</v>
      </c>
      <c r="G10" s="32" t="s">
        <v>271</v>
      </c>
      <c r="H10" s="55" t="s">
        <v>258</v>
      </c>
      <c r="I10" s="55" t="s">
        <v>259</v>
      </c>
      <c r="J10" s="55" t="s">
        <v>1304</v>
      </c>
      <c r="K10" s="55" t="s">
        <v>1305</v>
      </c>
      <c r="L10" s="14" t="s">
        <v>1306</v>
      </c>
      <c r="M10" s="55" t="s">
        <v>273</v>
      </c>
    </row>
    <row r="11" customFormat="false" ht="58.5" hidden="false" customHeight="true" outlineLevel="0" collapsed="false">
      <c r="A11" s="14" t="s">
        <v>1314</v>
      </c>
      <c r="B11" s="14" t="s">
        <v>261</v>
      </c>
      <c r="C11" s="32" t="s">
        <v>1315</v>
      </c>
      <c r="D11" s="32" t="s">
        <v>321</v>
      </c>
      <c r="E11" s="14" t="s">
        <v>1303</v>
      </c>
      <c r="F11" s="15" t="n">
        <f aca="false">IFERROR(INDEX('दैनिक योजना'!$B$6:$B$552,MATCH(C11&amp;"*",'दैनिक योजना'!$H$6:$H$552,0)),"")</f>
        <v>46356</v>
      </c>
      <c r="G11" s="32" t="s">
        <v>271</v>
      </c>
      <c r="H11" s="55" t="s">
        <v>258</v>
      </c>
      <c r="I11" s="55" t="s">
        <v>259</v>
      </c>
      <c r="J11" s="55" t="s">
        <v>1304</v>
      </c>
      <c r="K11" s="55" t="s">
        <v>1305</v>
      </c>
      <c r="L11" s="14" t="s">
        <v>1306</v>
      </c>
      <c r="M11" s="55" t="s">
        <v>273</v>
      </c>
    </row>
    <row r="12" customFormat="false" ht="58.5" hidden="false" customHeight="true" outlineLevel="0" collapsed="false">
      <c r="A12" s="14" t="s">
        <v>1316</v>
      </c>
      <c r="B12" s="14" t="s">
        <v>261</v>
      </c>
      <c r="C12" s="32" t="s">
        <v>1317</v>
      </c>
      <c r="D12" s="32" t="s">
        <v>329</v>
      </c>
      <c r="E12" s="14" t="s">
        <v>1303</v>
      </c>
      <c r="F12" s="15" t="n">
        <f aca="false">IFERROR(INDEX('दैनिक योजना'!$B$6:$B$552,MATCH(C12&amp;"*",'दैनिक योजना'!$H$6:$H$552,0)),"")</f>
        <v>46359</v>
      </c>
      <c r="G12" s="32" t="s">
        <v>271</v>
      </c>
      <c r="H12" s="55" t="s">
        <v>258</v>
      </c>
      <c r="I12" s="55" t="s">
        <v>259</v>
      </c>
      <c r="J12" s="55" t="s">
        <v>1304</v>
      </c>
      <c r="K12" s="55" t="s">
        <v>1305</v>
      </c>
      <c r="L12" s="14" t="s">
        <v>1306</v>
      </c>
      <c r="M12" s="55" t="s">
        <v>273</v>
      </c>
    </row>
    <row r="13" customFormat="false" ht="58.5" hidden="false" customHeight="true" outlineLevel="0" collapsed="false">
      <c r="A13" s="14" t="s">
        <v>1318</v>
      </c>
      <c r="B13" s="14" t="s">
        <v>261</v>
      </c>
      <c r="C13" s="32" t="s">
        <v>1319</v>
      </c>
      <c r="D13" s="32" t="s">
        <v>335</v>
      </c>
      <c r="E13" s="14" t="s">
        <v>1303</v>
      </c>
      <c r="F13" s="15" t="n">
        <f aca="false">IFERROR(INDEX('दैनिक योजना'!$B$6:$B$552,MATCH(C13&amp;"*",'दैनिक योजना'!$H$6:$H$552,0)),"")</f>
        <v>46361</v>
      </c>
      <c r="G13" s="32" t="s">
        <v>271</v>
      </c>
      <c r="H13" s="55" t="s">
        <v>258</v>
      </c>
      <c r="I13" s="55" t="s">
        <v>259</v>
      </c>
      <c r="J13" s="55" t="s">
        <v>1304</v>
      </c>
      <c r="K13" s="55" t="s">
        <v>1305</v>
      </c>
      <c r="L13" s="14" t="s">
        <v>1306</v>
      </c>
      <c r="M13" s="55" t="s">
        <v>273</v>
      </c>
    </row>
    <row r="14" customFormat="false" ht="58.5" hidden="false" customHeight="true" outlineLevel="0" collapsed="false">
      <c r="A14" s="14" t="s">
        <v>1320</v>
      </c>
      <c r="B14" s="14" t="s">
        <v>261</v>
      </c>
      <c r="C14" s="32" t="s">
        <v>343</v>
      </c>
      <c r="D14" s="32" t="s">
        <v>344</v>
      </c>
      <c r="E14" s="14" t="s">
        <v>1303</v>
      </c>
      <c r="F14" s="15" t="n">
        <f aca="false">IFERROR(INDEX('दैनिक योजना'!$B$6:$B$552,MATCH(C14&amp;"*",'दैनिक योजना'!$H$6:$H$552,0)),"")</f>
        <v>46365</v>
      </c>
      <c r="G14" s="32" t="s">
        <v>271</v>
      </c>
      <c r="H14" s="55" t="s">
        <v>258</v>
      </c>
      <c r="I14" s="55" t="s">
        <v>259</v>
      </c>
      <c r="J14" s="55" t="s">
        <v>1304</v>
      </c>
      <c r="K14" s="55" t="s">
        <v>1305</v>
      </c>
      <c r="L14" s="14" t="s">
        <v>1306</v>
      </c>
      <c r="M14" s="55" t="s">
        <v>273</v>
      </c>
    </row>
    <row r="15" customFormat="false" ht="58.5" hidden="false" customHeight="true" outlineLevel="0" collapsed="false">
      <c r="A15" s="14" t="s">
        <v>1321</v>
      </c>
      <c r="B15" s="14" t="s">
        <v>261</v>
      </c>
      <c r="C15" s="32" t="s">
        <v>1322</v>
      </c>
      <c r="D15" s="32" t="s">
        <v>348</v>
      </c>
      <c r="E15" s="14" t="s">
        <v>1303</v>
      </c>
      <c r="F15" s="15" t="n">
        <f aca="false">IFERROR(INDEX('दैनिक योजना'!$B$6:$B$552,MATCH(C15&amp;"*",'दैनिक योजना'!$H$6:$H$552,0)),"")</f>
        <v>46366</v>
      </c>
      <c r="G15" s="32" t="s">
        <v>271</v>
      </c>
      <c r="H15" s="55" t="s">
        <v>258</v>
      </c>
      <c r="I15" s="55" t="s">
        <v>259</v>
      </c>
      <c r="J15" s="55" t="s">
        <v>1304</v>
      </c>
      <c r="K15" s="55" t="s">
        <v>1305</v>
      </c>
      <c r="L15" s="14" t="s">
        <v>1306</v>
      </c>
      <c r="M15" s="55" t="s">
        <v>273</v>
      </c>
    </row>
    <row r="16" customFormat="false" ht="58.5" hidden="false" customHeight="true" outlineLevel="0" collapsed="false">
      <c r="A16" s="14" t="s">
        <v>1323</v>
      </c>
      <c r="B16" s="14" t="s">
        <v>261</v>
      </c>
      <c r="C16" s="32" t="s">
        <v>360</v>
      </c>
      <c r="D16" s="32" t="s">
        <v>361</v>
      </c>
      <c r="E16" s="14" t="s">
        <v>1303</v>
      </c>
      <c r="F16" s="15" t="n">
        <f aca="false">IFERROR(INDEX('दैनिक योजना'!$B$6:$B$552,MATCH(C16&amp;"*",'दैनिक योजना'!$H$6:$H$552,0)),"")</f>
        <v>46372</v>
      </c>
      <c r="G16" s="32" t="s">
        <v>271</v>
      </c>
      <c r="H16" s="55" t="s">
        <v>258</v>
      </c>
      <c r="I16" s="55" t="s">
        <v>259</v>
      </c>
      <c r="J16" s="55" t="s">
        <v>1304</v>
      </c>
      <c r="K16" s="55" t="s">
        <v>1305</v>
      </c>
      <c r="L16" s="14" t="s">
        <v>1306</v>
      </c>
      <c r="M16" s="55" t="s">
        <v>273</v>
      </c>
    </row>
    <row r="17" customFormat="false" ht="58.5" hidden="false" customHeight="true" outlineLevel="0" collapsed="false">
      <c r="A17" s="14" t="s">
        <v>1324</v>
      </c>
      <c r="B17" s="14" t="s">
        <v>261</v>
      </c>
      <c r="C17" s="32" t="s">
        <v>1325</v>
      </c>
      <c r="D17" s="32" t="s">
        <v>365</v>
      </c>
      <c r="E17" s="14" t="s">
        <v>1303</v>
      </c>
      <c r="F17" s="15" t="n">
        <f aca="false">IFERROR(INDEX('दैनिक योजना'!$B$6:$B$552,MATCH(C17&amp;"*",'दैनिक योजना'!$H$6:$H$552,0)),"")</f>
        <v>46373</v>
      </c>
      <c r="G17" s="32" t="s">
        <v>271</v>
      </c>
      <c r="H17" s="55" t="s">
        <v>258</v>
      </c>
      <c r="I17" s="55" t="s">
        <v>259</v>
      </c>
      <c r="J17" s="55" t="s">
        <v>1304</v>
      </c>
      <c r="K17" s="55" t="s">
        <v>1305</v>
      </c>
      <c r="L17" s="14" t="s">
        <v>1306</v>
      </c>
      <c r="M17" s="55" t="s">
        <v>273</v>
      </c>
    </row>
    <row r="18" customFormat="false" ht="58.5" hidden="false" customHeight="true" outlineLevel="0" collapsed="false">
      <c r="A18" s="14" t="s">
        <v>1326</v>
      </c>
      <c r="B18" s="14" t="s">
        <v>261</v>
      </c>
      <c r="C18" s="32" t="s">
        <v>1327</v>
      </c>
      <c r="D18" s="32" t="s">
        <v>374</v>
      </c>
      <c r="E18" s="14" t="s">
        <v>1303</v>
      </c>
      <c r="F18" s="15" t="n">
        <f aca="false">IFERROR(INDEX('दैनिक योजना'!$B$6:$B$552,MATCH(C18&amp;"*",'दैनिक योजना'!$H$6:$H$552,0)),"")</f>
        <v>46377</v>
      </c>
      <c r="G18" s="32" t="s">
        <v>271</v>
      </c>
      <c r="H18" s="55" t="s">
        <v>258</v>
      </c>
      <c r="I18" s="55" t="s">
        <v>259</v>
      </c>
      <c r="J18" s="55" t="s">
        <v>1304</v>
      </c>
      <c r="K18" s="55" t="s">
        <v>1305</v>
      </c>
      <c r="L18" s="14" t="s">
        <v>1306</v>
      </c>
      <c r="M18" s="55" t="s">
        <v>273</v>
      </c>
    </row>
    <row r="19" customFormat="false" ht="58.5" hidden="false" customHeight="true" outlineLevel="0" collapsed="false">
      <c r="A19" s="14" t="s">
        <v>1328</v>
      </c>
      <c r="B19" s="14" t="s">
        <v>261</v>
      </c>
      <c r="C19" s="32" t="s">
        <v>379</v>
      </c>
      <c r="D19" s="32" t="s">
        <v>380</v>
      </c>
      <c r="E19" s="14" t="s">
        <v>1303</v>
      </c>
      <c r="F19" s="15" t="n">
        <f aca="false">IFERROR(INDEX('दैनिक योजना'!$B$6:$B$552,MATCH(C19&amp;"*",'दैनिक योजना'!$H$6:$H$552,0)),"")</f>
        <v>46379</v>
      </c>
      <c r="G19" s="32" t="s">
        <v>271</v>
      </c>
      <c r="H19" s="55" t="s">
        <v>258</v>
      </c>
      <c r="I19" s="55" t="s">
        <v>259</v>
      </c>
      <c r="J19" s="55" t="s">
        <v>1304</v>
      </c>
      <c r="K19" s="55" t="s">
        <v>1305</v>
      </c>
      <c r="L19" s="14" t="s">
        <v>1306</v>
      </c>
      <c r="M19" s="55" t="s">
        <v>273</v>
      </c>
    </row>
    <row r="20" customFormat="false" ht="58.5" hidden="false" customHeight="true" outlineLevel="0" collapsed="false">
      <c r="A20" s="14" t="s">
        <v>1329</v>
      </c>
      <c r="B20" s="14" t="s">
        <v>261</v>
      </c>
      <c r="C20" s="32" t="s">
        <v>1330</v>
      </c>
      <c r="D20" s="32" t="s">
        <v>384</v>
      </c>
      <c r="E20" s="14" t="s">
        <v>1303</v>
      </c>
      <c r="F20" s="15" t="n">
        <f aca="false">IFERROR(INDEX('दैनिक योजना'!$B$6:$B$552,MATCH(C20&amp;"*",'दैनिक योजना'!$H$6:$H$552,0)),"")</f>
        <v>46380</v>
      </c>
      <c r="G20" s="32" t="s">
        <v>271</v>
      </c>
      <c r="H20" s="55" t="s">
        <v>258</v>
      </c>
      <c r="I20" s="55" t="s">
        <v>259</v>
      </c>
      <c r="J20" s="55" t="s">
        <v>1304</v>
      </c>
      <c r="K20" s="55" t="s">
        <v>1305</v>
      </c>
      <c r="L20" s="14" t="s">
        <v>1306</v>
      </c>
      <c r="M20" s="55" t="s">
        <v>273</v>
      </c>
    </row>
    <row r="21" customFormat="false" ht="58.5" hidden="false" customHeight="true" outlineLevel="0" collapsed="false">
      <c r="A21" s="14" t="s">
        <v>1331</v>
      </c>
      <c r="B21" s="14" t="s">
        <v>261</v>
      </c>
      <c r="C21" s="32" t="s">
        <v>1332</v>
      </c>
      <c r="D21" s="32" t="s">
        <v>393</v>
      </c>
      <c r="E21" s="14" t="s">
        <v>1303</v>
      </c>
      <c r="F21" s="15" t="n">
        <f aca="false">IFERROR(INDEX('दैनिक योजना'!$B$6:$B$552,MATCH(C21&amp;"*",'दैनिक योजना'!$H$6:$H$552,0)),"")</f>
        <v>46384</v>
      </c>
      <c r="G21" s="32" t="s">
        <v>271</v>
      </c>
      <c r="H21" s="55" t="s">
        <v>258</v>
      </c>
      <c r="I21" s="55" t="s">
        <v>259</v>
      </c>
      <c r="J21" s="55" t="s">
        <v>1304</v>
      </c>
      <c r="K21" s="55" t="s">
        <v>1305</v>
      </c>
      <c r="L21" s="14" t="s">
        <v>1306</v>
      </c>
      <c r="M21" s="55" t="s">
        <v>273</v>
      </c>
    </row>
    <row r="22" customFormat="false" ht="58.5" hidden="false" customHeight="true" outlineLevel="0" collapsed="false">
      <c r="A22" s="14" t="s">
        <v>1333</v>
      </c>
      <c r="B22" s="14" t="s">
        <v>261</v>
      </c>
      <c r="C22" s="32" t="s">
        <v>1334</v>
      </c>
      <c r="D22" s="32" t="s">
        <v>405</v>
      </c>
      <c r="E22" s="14" t="s">
        <v>1303</v>
      </c>
      <c r="F22" s="15" t="n">
        <f aca="false">IFERROR(INDEX('दैनिक योजना'!$B$6:$B$552,MATCH(C22&amp;"*",'दैनिक योजना'!$H$6:$H$552,0)),"")</f>
        <v>46389</v>
      </c>
      <c r="G22" s="32" t="s">
        <v>271</v>
      </c>
      <c r="H22" s="55" t="s">
        <v>258</v>
      </c>
      <c r="I22" s="55" t="s">
        <v>259</v>
      </c>
      <c r="J22" s="55" t="s">
        <v>1304</v>
      </c>
      <c r="K22" s="55" t="s">
        <v>1305</v>
      </c>
      <c r="L22" s="14" t="s">
        <v>1306</v>
      </c>
      <c r="M22" s="55" t="s">
        <v>273</v>
      </c>
    </row>
    <row r="23" customFormat="false" ht="58.5" hidden="false" customHeight="true" outlineLevel="0" collapsed="false">
      <c r="A23" s="14" t="s">
        <v>1335</v>
      </c>
      <c r="B23" s="14" t="s">
        <v>261</v>
      </c>
      <c r="C23" s="32" t="s">
        <v>413</v>
      </c>
      <c r="D23" s="32" t="s">
        <v>414</v>
      </c>
      <c r="E23" s="14" t="s">
        <v>1303</v>
      </c>
      <c r="F23" s="15" t="n">
        <f aca="false">IFERROR(INDEX('दैनिक योजना'!$B$6:$B$552,MATCH(C23&amp;"*",'दैनिक योजना'!$H$6:$H$552,0)),"")</f>
        <v>46393</v>
      </c>
      <c r="G23" s="32" t="s">
        <v>271</v>
      </c>
      <c r="H23" s="55" t="s">
        <v>258</v>
      </c>
      <c r="I23" s="55" t="s">
        <v>259</v>
      </c>
      <c r="J23" s="55" t="s">
        <v>1304</v>
      </c>
      <c r="K23" s="55" t="s">
        <v>1305</v>
      </c>
      <c r="L23" s="14" t="s">
        <v>1306</v>
      </c>
      <c r="M23" s="55" t="s">
        <v>273</v>
      </c>
    </row>
    <row r="24" customFormat="false" ht="58.5" hidden="false" customHeight="true" outlineLevel="0" collapsed="false">
      <c r="A24" s="14" t="s">
        <v>1336</v>
      </c>
      <c r="B24" s="14" t="s">
        <v>261</v>
      </c>
      <c r="C24" s="32" t="s">
        <v>1337</v>
      </c>
      <c r="D24" s="32" t="s">
        <v>418</v>
      </c>
      <c r="E24" s="14" t="s">
        <v>1303</v>
      </c>
      <c r="F24" s="15" t="n">
        <f aca="false">IFERROR(INDEX('दैनिक योजना'!$B$6:$B$552,MATCH(C24&amp;"*",'दैनिक योजना'!$H$6:$H$552,0)),"")</f>
        <v>46394</v>
      </c>
      <c r="G24" s="32" t="s">
        <v>271</v>
      </c>
      <c r="H24" s="55" t="s">
        <v>258</v>
      </c>
      <c r="I24" s="55" t="s">
        <v>259</v>
      </c>
      <c r="J24" s="55" t="s">
        <v>1304</v>
      </c>
      <c r="K24" s="55" t="s">
        <v>1305</v>
      </c>
      <c r="L24" s="14" t="s">
        <v>1306</v>
      </c>
      <c r="M24" s="55" t="s">
        <v>273</v>
      </c>
    </row>
    <row r="25" customFormat="false" ht="58.5" hidden="false" customHeight="true" outlineLevel="0" collapsed="false">
      <c r="A25" s="14" t="s">
        <v>1338</v>
      </c>
      <c r="B25" s="14" t="s">
        <v>261</v>
      </c>
      <c r="C25" s="32" t="s">
        <v>1339</v>
      </c>
      <c r="D25" s="32" t="s">
        <v>427</v>
      </c>
      <c r="E25" s="14" t="s">
        <v>1303</v>
      </c>
      <c r="F25" s="15" t="n">
        <f aca="false">IFERROR(INDEX('दैनिक योजना'!$B$6:$B$552,MATCH(C25&amp;"*",'दैनिक योजना'!$H$6:$H$552,0)),"")</f>
        <v>46398</v>
      </c>
      <c r="G25" s="32" t="s">
        <v>271</v>
      </c>
      <c r="H25" s="55" t="s">
        <v>258</v>
      </c>
      <c r="I25" s="55" t="s">
        <v>259</v>
      </c>
      <c r="J25" s="55" t="s">
        <v>1304</v>
      </c>
      <c r="K25" s="55" t="s">
        <v>1305</v>
      </c>
      <c r="L25" s="14" t="s">
        <v>1306</v>
      </c>
      <c r="M25" s="55" t="s">
        <v>273</v>
      </c>
    </row>
    <row r="26" customFormat="false" ht="58.5" hidden="false" customHeight="true" outlineLevel="0" collapsed="false">
      <c r="A26" s="14" t="s">
        <v>1340</v>
      </c>
      <c r="B26" s="14" t="s">
        <v>436</v>
      </c>
      <c r="C26" s="32" t="s">
        <v>1341</v>
      </c>
      <c r="D26" s="32" t="s">
        <v>438</v>
      </c>
      <c r="E26" s="14" t="s">
        <v>1303</v>
      </c>
      <c r="F26" s="15" t="n">
        <f aca="false">IFERROR(INDEX('दैनिक योजना'!$B$6:$B$552,MATCH(C26&amp;"*",'दैनिक योजना'!$H$6:$H$552,0)),"")</f>
        <v>46401</v>
      </c>
      <c r="G26" s="32" t="s">
        <v>441</v>
      </c>
      <c r="H26" s="55" t="s">
        <v>258</v>
      </c>
      <c r="I26" s="55" t="s">
        <v>259</v>
      </c>
      <c r="J26" s="55" t="s">
        <v>1304</v>
      </c>
      <c r="K26" s="55" t="s">
        <v>1305</v>
      </c>
      <c r="L26" s="14" t="s">
        <v>1306</v>
      </c>
      <c r="M26" s="55" t="s">
        <v>273</v>
      </c>
    </row>
    <row r="27" customFormat="false" ht="58.5" hidden="false" customHeight="true" outlineLevel="0" collapsed="false">
      <c r="A27" s="14" t="s">
        <v>1342</v>
      </c>
      <c r="B27" s="14" t="s">
        <v>436</v>
      </c>
      <c r="C27" s="32" t="s">
        <v>1343</v>
      </c>
      <c r="D27" s="32" t="s">
        <v>450</v>
      </c>
      <c r="E27" s="14" t="s">
        <v>1303</v>
      </c>
      <c r="F27" s="15" t="n">
        <f aca="false">IFERROR(INDEX('दैनिक योजना'!$B$6:$B$552,MATCH(C27&amp;"*",'दैनिक योजना'!$H$6:$H$552,0)),"")</f>
        <v>46406</v>
      </c>
      <c r="G27" s="32" t="s">
        <v>441</v>
      </c>
      <c r="H27" s="55" t="s">
        <v>258</v>
      </c>
      <c r="I27" s="55" t="s">
        <v>259</v>
      </c>
      <c r="J27" s="55" t="s">
        <v>1304</v>
      </c>
      <c r="K27" s="55" t="s">
        <v>1305</v>
      </c>
      <c r="L27" s="14" t="s">
        <v>1306</v>
      </c>
      <c r="M27" s="55" t="s">
        <v>273</v>
      </c>
    </row>
    <row r="28" customFormat="false" ht="58.5" hidden="false" customHeight="true" outlineLevel="0" collapsed="false">
      <c r="A28" s="14" t="s">
        <v>1344</v>
      </c>
      <c r="B28" s="14" t="s">
        <v>436</v>
      </c>
      <c r="C28" s="32" t="s">
        <v>1345</v>
      </c>
      <c r="D28" s="32" t="s">
        <v>458</v>
      </c>
      <c r="E28" s="14" t="s">
        <v>1303</v>
      </c>
      <c r="F28" s="15" t="n">
        <f aca="false">IFERROR(INDEX('दैनिक योजना'!$B$6:$B$552,MATCH(C28&amp;"*",'दैनिक योजना'!$H$6:$H$552,0)),"")</f>
        <v>46409</v>
      </c>
      <c r="G28" s="32" t="s">
        <v>441</v>
      </c>
      <c r="H28" s="55" t="s">
        <v>258</v>
      </c>
      <c r="I28" s="55" t="s">
        <v>259</v>
      </c>
      <c r="J28" s="55" t="s">
        <v>1304</v>
      </c>
      <c r="K28" s="55" t="s">
        <v>1305</v>
      </c>
      <c r="L28" s="14" t="s">
        <v>1306</v>
      </c>
      <c r="M28" s="55" t="s">
        <v>273</v>
      </c>
    </row>
    <row r="29" customFormat="false" ht="58.5" hidden="false" customHeight="true" outlineLevel="0" collapsed="false">
      <c r="A29" s="14" t="s">
        <v>1346</v>
      </c>
      <c r="B29" s="14" t="s">
        <v>436</v>
      </c>
      <c r="C29" s="32" t="s">
        <v>1347</v>
      </c>
      <c r="D29" s="32" t="s">
        <v>469</v>
      </c>
      <c r="E29" s="14" t="s">
        <v>1303</v>
      </c>
      <c r="F29" s="15" t="n">
        <f aca="false">IFERROR(INDEX('दैनिक योजना'!$B$6:$B$552,MATCH(C29&amp;"*",'दैनिक योजना'!$H$6:$H$552,0)),"")</f>
        <v>46414</v>
      </c>
      <c r="G29" s="32" t="s">
        <v>441</v>
      </c>
      <c r="H29" s="55" t="s">
        <v>258</v>
      </c>
      <c r="I29" s="55" t="s">
        <v>259</v>
      </c>
      <c r="J29" s="55" t="s">
        <v>1304</v>
      </c>
      <c r="K29" s="55" t="s">
        <v>1305</v>
      </c>
      <c r="L29" s="14" t="s">
        <v>1306</v>
      </c>
      <c r="M29" s="55" t="s">
        <v>273</v>
      </c>
    </row>
    <row r="30" customFormat="false" ht="58.5" hidden="false" customHeight="true" outlineLevel="0" collapsed="false">
      <c r="A30" s="14" t="s">
        <v>1348</v>
      </c>
      <c r="B30" s="14" t="s">
        <v>436</v>
      </c>
      <c r="C30" s="32" t="s">
        <v>1349</v>
      </c>
      <c r="D30" s="32" t="s">
        <v>475</v>
      </c>
      <c r="E30" s="14" t="s">
        <v>1303</v>
      </c>
      <c r="F30" s="15" t="n">
        <f aca="false">IFERROR(INDEX('दैनिक योजना'!$B$6:$B$552,MATCH(C30&amp;"*",'दैनिक योजना'!$H$6:$H$552,0)),"")</f>
        <v>46416</v>
      </c>
      <c r="G30" s="32" t="s">
        <v>441</v>
      </c>
      <c r="H30" s="55" t="s">
        <v>258</v>
      </c>
      <c r="I30" s="55" t="s">
        <v>259</v>
      </c>
      <c r="J30" s="55" t="s">
        <v>1304</v>
      </c>
      <c r="K30" s="55" t="s">
        <v>1305</v>
      </c>
      <c r="L30" s="14" t="s">
        <v>1306</v>
      </c>
      <c r="M30" s="55" t="s">
        <v>273</v>
      </c>
    </row>
    <row r="31" customFormat="false" ht="58.5" hidden="false" customHeight="true" outlineLevel="0" collapsed="false">
      <c r="A31" s="14" t="s">
        <v>1350</v>
      </c>
      <c r="B31" s="14" t="s">
        <v>436</v>
      </c>
      <c r="C31" s="32" t="s">
        <v>1351</v>
      </c>
      <c r="D31" s="32" t="s">
        <v>484</v>
      </c>
      <c r="E31" s="14" t="s">
        <v>1303</v>
      </c>
      <c r="F31" s="15" t="n">
        <f aca="false">IFERROR(INDEX('दैनिक योजना'!$B$6:$B$552,MATCH(C31&amp;"*",'दैनिक योजना'!$H$6:$H$552,0)),"")</f>
        <v>46420</v>
      </c>
      <c r="G31" s="32" t="s">
        <v>441</v>
      </c>
      <c r="H31" s="55" t="s">
        <v>258</v>
      </c>
      <c r="I31" s="55" t="s">
        <v>259</v>
      </c>
      <c r="J31" s="55" t="s">
        <v>1304</v>
      </c>
      <c r="K31" s="55" t="s">
        <v>1305</v>
      </c>
      <c r="L31" s="14" t="s">
        <v>1306</v>
      </c>
      <c r="M31" s="55" t="s">
        <v>273</v>
      </c>
    </row>
    <row r="32" customFormat="false" ht="58.5" hidden="false" customHeight="true" outlineLevel="0" collapsed="false">
      <c r="A32" s="14" t="s">
        <v>1352</v>
      </c>
      <c r="B32" s="14" t="s">
        <v>436</v>
      </c>
      <c r="C32" s="32" t="s">
        <v>1353</v>
      </c>
      <c r="D32" s="32" t="s">
        <v>492</v>
      </c>
      <c r="E32" s="14" t="s">
        <v>1303</v>
      </c>
      <c r="F32" s="15" t="n">
        <f aca="false">IFERROR(INDEX('दैनिक योजना'!$B$6:$B$552,MATCH(C32&amp;"*",'दैनिक योजना'!$H$6:$H$552,0)),"")</f>
        <v>46423</v>
      </c>
      <c r="G32" s="32" t="s">
        <v>441</v>
      </c>
      <c r="H32" s="55" t="s">
        <v>258</v>
      </c>
      <c r="I32" s="55" t="s">
        <v>259</v>
      </c>
      <c r="J32" s="55" t="s">
        <v>1304</v>
      </c>
      <c r="K32" s="55" t="s">
        <v>1305</v>
      </c>
      <c r="L32" s="14" t="s">
        <v>1306</v>
      </c>
      <c r="M32" s="55" t="s">
        <v>273</v>
      </c>
    </row>
    <row r="33" customFormat="false" ht="58.5" hidden="false" customHeight="true" outlineLevel="0" collapsed="false">
      <c r="A33" s="14" t="s">
        <v>1354</v>
      </c>
      <c r="B33" s="14" t="s">
        <v>436</v>
      </c>
      <c r="C33" s="32" t="s">
        <v>1355</v>
      </c>
      <c r="D33" s="32" t="s">
        <v>501</v>
      </c>
      <c r="E33" s="14" t="s">
        <v>1303</v>
      </c>
      <c r="F33" s="15" t="n">
        <f aca="false">IFERROR(INDEX('दैनिक योजना'!$B$6:$B$552,MATCH(C33&amp;"*",'दैनिक योजना'!$H$6:$H$552,0)),"")</f>
        <v>46427</v>
      </c>
      <c r="G33" s="32" t="s">
        <v>441</v>
      </c>
      <c r="H33" s="55" t="s">
        <v>258</v>
      </c>
      <c r="I33" s="55" t="s">
        <v>259</v>
      </c>
      <c r="J33" s="55" t="s">
        <v>1304</v>
      </c>
      <c r="K33" s="55" t="s">
        <v>1305</v>
      </c>
      <c r="L33" s="14" t="s">
        <v>1306</v>
      </c>
      <c r="M33" s="55" t="s">
        <v>273</v>
      </c>
    </row>
    <row r="34" customFormat="false" ht="58.5" hidden="false" customHeight="true" outlineLevel="0" collapsed="false">
      <c r="A34" s="14" t="s">
        <v>1356</v>
      </c>
      <c r="B34" s="14" t="s">
        <v>436</v>
      </c>
      <c r="C34" s="32" t="s">
        <v>1357</v>
      </c>
      <c r="D34" s="32" t="s">
        <v>509</v>
      </c>
      <c r="E34" s="14" t="s">
        <v>1303</v>
      </c>
      <c r="F34" s="15" t="n">
        <f aca="false">IFERROR(INDEX('दैनिक योजना'!$B$6:$B$552,MATCH(C34&amp;"*",'दैनिक योजना'!$H$6:$H$552,0)),"")</f>
        <v>46430</v>
      </c>
      <c r="G34" s="32" t="s">
        <v>441</v>
      </c>
      <c r="H34" s="55" t="s">
        <v>258</v>
      </c>
      <c r="I34" s="55" t="s">
        <v>259</v>
      </c>
      <c r="J34" s="55" t="s">
        <v>1304</v>
      </c>
      <c r="K34" s="55" t="s">
        <v>1305</v>
      </c>
      <c r="L34" s="14" t="s">
        <v>1306</v>
      </c>
      <c r="M34" s="55" t="s">
        <v>273</v>
      </c>
    </row>
    <row r="35" customFormat="false" ht="58.5" hidden="false" customHeight="true" outlineLevel="0" collapsed="false">
      <c r="A35" s="14" t="s">
        <v>1358</v>
      </c>
      <c r="B35" s="14" t="s">
        <v>436</v>
      </c>
      <c r="C35" s="32" t="s">
        <v>1359</v>
      </c>
      <c r="D35" s="32" t="s">
        <v>518</v>
      </c>
      <c r="E35" s="14" t="s">
        <v>1303</v>
      </c>
      <c r="F35" s="15" t="n">
        <f aca="false">IFERROR(INDEX('दैनिक योजना'!$B$6:$B$552,MATCH(C35&amp;"*",'दैनिक योजना'!$H$6:$H$552,0)),"")</f>
        <v>46434</v>
      </c>
      <c r="G35" s="32" t="s">
        <v>441</v>
      </c>
      <c r="H35" s="55" t="s">
        <v>258</v>
      </c>
      <c r="I35" s="55" t="s">
        <v>259</v>
      </c>
      <c r="J35" s="55" t="s">
        <v>1304</v>
      </c>
      <c r="K35" s="55" t="s">
        <v>1305</v>
      </c>
      <c r="L35" s="14" t="s">
        <v>1306</v>
      </c>
      <c r="M35" s="55" t="s">
        <v>273</v>
      </c>
    </row>
    <row r="36" customFormat="false" ht="58.5" hidden="false" customHeight="true" outlineLevel="0" collapsed="false">
      <c r="A36" s="14" t="s">
        <v>1360</v>
      </c>
      <c r="B36" s="14" t="s">
        <v>436</v>
      </c>
      <c r="C36" s="32" t="s">
        <v>1361</v>
      </c>
      <c r="D36" s="32" t="s">
        <v>526</v>
      </c>
      <c r="E36" s="14" t="s">
        <v>1303</v>
      </c>
      <c r="F36" s="15" t="n">
        <f aca="false">IFERROR(INDEX('दैनिक योजना'!$B$6:$B$552,MATCH(C36&amp;"*",'दैनिक योजना'!$H$6:$H$552,0)),"")</f>
        <v>46437</v>
      </c>
      <c r="G36" s="32" t="s">
        <v>441</v>
      </c>
      <c r="H36" s="55" t="s">
        <v>258</v>
      </c>
      <c r="I36" s="55" t="s">
        <v>259</v>
      </c>
      <c r="J36" s="55" t="s">
        <v>1304</v>
      </c>
      <c r="K36" s="55" t="s">
        <v>1305</v>
      </c>
      <c r="L36" s="14" t="s">
        <v>1306</v>
      </c>
      <c r="M36" s="55" t="s">
        <v>273</v>
      </c>
    </row>
    <row r="37" customFormat="false" ht="58.5" hidden="false" customHeight="true" outlineLevel="0" collapsed="false">
      <c r="A37" s="14" t="s">
        <v>1362</v>
      </c>
      <c r="B37" s="14" t="s">
        <v>536</v>
      </c>
      <c r="C37" s="32" t="s">
        <v>1363</v>
      </c>
      <c r="D37" s="32" t="s">
        <v>538</v>
      </c>
      <c r="E37" s="14" t="s">
        <v>1303</v>
      </c>
      <c r="F37" s="15" t="n">
        <f aca="false">IFERROR(INDEX('दैनिक योजना'!$B$6:$B$552,MATCH(C37&amp;"*",'दैनिक योजना'!$H$6:$H$552,0)),"")</f>
        <v>46442</v>
      </c>
      <c r="G37" s="32" t="s">
        <v>542</v>
      </c>
      <c r="H37" s="55" t="s">
        <v>258</v>
      </c>
      <c r="I37" s="55" t="s">
        <v>259</v>
      </c>
      <c r="J37" s="55" t="s">
        <v>1304</v>
      </c>
      <c r="K37" s="55" t="s">
        <v>1305</v>
      </c>
      <c r="L37" s="14" t="s">
        <v>1306</v>
      </c>
      <c r="M37" s="55" t="s">
        <v>273</v>
      </c>
    </row>
    <row r="38" customFormat="false" ht="58.5" hidden="false" customHeight="true" outlineLevel="0" collapsed="false">
      <c r="A38" s="14" t="s">
        <v>1364</v>
      </c>
      <c r="B38" s="14" t="s">
        <v>536</v>
      </c>
      <c r="C38" s="32" t="s">
        <v>1365</v>
      </c>
      <c r="D38" s="32" t="s">
        <v>548</v>
      </c>
      <c r="E38" s="14" t="s">
        <v>1303</v>
      </c>
      <c r="F38" s="15" t="n">
        <f aca="false">IFERROR(INDEX('दैनिक योजना'!$B$6:$B$552,MATCH(C38&amp;"*",'दैनिक योजना'!$H$6:$H$552,0)),"")</f>
        <v>46445</v>
      </c>
      <c r="G38" s="32" t="s">
        <v>542</v>
      </c>
      <c r="H38" s="55" t="s">
        <v>258</v>
      </c>
      <c r="I38" s="55" t="s">
        <v>259</v>
      </c>
      <c r="J38" s="55" t="s">
        <v>1304</v>
      </c>
      <c r="K38" s="55" t="s">
        <v>1305</v>
      </c>
      <c r="L38" s="14" t="s">
        <v>1306</v>
      </c>
      <c r="M38" s="55" t="s">
        <v>273</v>
      </c>
    </row>
    <row r="39" customFormat="false" ht="58.5" hidden="false" customHeight="true" outlineLevel="0" collapsed="false">
      <c r="A39" s="14" t="s">
        <v>1366</v>
      </c>
      <c r="B39" s="14" t="s">
        <v>536</v>
      </c>
      <c r="C39" s="32" t="s">
        <v>1367</v>
      </c>
      <c r="D39" s="32" t="s">
        <v>557</v>
      </c>
      <c r="E39" s="14" t="s">
        <v>1303</v>
      </c>
      <c r="F39" s="15" t="n">
        <f aca="false">IFERROR(INDEX('दैनिक योजना'!$B$6:$B$552,MATCH(C39&amp;"*",'दैनिक योजना'!$H$6:$H$552,0)),"")</f>
        <v>46449</v>
      </c>
      <c r="G39" s="32" t="s">
        <v>542</v>
      </c>
      <c r="H39" s="55" t="s">
        <v>258</v>
      </c>
      <c r="I39" s="55" t="s">
        <v>259</v>
      </c>
      <c r="J39" s="55" t="s">
        <v>1304</v>
      </c>
      <c r="K39" s="55" t="s">
        <v>1305</v>
      </c>
      <c r="L39" s="14" t="s">
        <v>1306</v>
      </c>
      <c r="M39" s="55" t="s">
        <v>273</v>
      </c>
    </row>
    <row r="40" customFormat="false" ht="58.5" hidden="false" customHeight="true" outlineLevel="0" collapsed="false">
      <c r="A40" s="14" t="s">
        <v>1368</v>
      </c>
      <c r="B40" s="14" t="s">
        <v>536</v>
      </c>
      <c r="C40" s="32" t="s">
        <v>1369</v>
      </c>
      <c r="D40" s="32" t="s">
        <v>567</v>
      </c>
      <c r="E40" s="14" t="s">
        <v>1303</v>
      </c>
      <c r="F40" s="15" t="n">
        <f aca="false">IFERROR(INDEX('दैनिक योजना'!$B$6:$B$552,MATCH(C40&amp;"*",'दैनिक योजना'!$H$6:$H$552,0)),"")</f>
        <v>46452</v>
      </c>
      <c r="G40" s="32" t="s">
        <v>542</v>
      </c>
      <c r="H40" s="55" t="s">
        <v>258</v>
      </c>
      <c r="I40" s="55" t="s">
        <v>259</v>
      </c>
      <c r="J40" s="55" t="s">
        <v>1304</v>
      </c>
      <c r="K40" s="55" t="s">
        <v>1305</v>
      </c>
      <c r="L40" s="14" t="s">
        <v>1306</v>
      </c>
      <c r="M40" s="55" t="s">
        <v>273</v>
      </c>
    </row>
    <row r="41" customFormat="false" ht="58.5" hidden="false" customHeight="true" outlineLevel="0" collapsed="false">
      <c r="A41" s="14" t="s">
        <v>1370</v>
      </c>
      <c r="B41" s="14" t="s">
        <v>536</v>
      </c>
      <c r="C41" s="32" t="s">
        <v>1371</v>
      </c>
      <c r="D41" s="32" t="s">
        <v>576</v>
      </c>
      <c r="E41" s="14" t="s">
        <v>1303</v>
      </c>
      <c r="F41" s="15" t="n">
        <f aca="false">IFERROR(INDEX('दैनिक योजना'!$B$6:$B$552,MATCH(C41&amp;"*",'दैनिक योजना'!$H$6:$H$552,0)),"")</f>
        <v>46456</v>
      </c>
      <c r="G41" s="32" t="s">
        <v>542</v>
      </c>
      <c r="H41" s="55" t="s">
        <v>258</v>
      </c>
      <c r="I41" s="55" t="s">
        <v>259</v>
      </c>
      <c r="J41" s="55" t="s">
        <v>1304</v>
      </c>
      <c r="K41" s="55" t="s">
        <v>1305</v>
      </c>
      <c r="L41" s="14" t="s">
        <v>1306</v>
      </c>
      <c r="M41" s="55" t="s">
        <v>273</v>
      </c>
    </row>
    <row r="42" customFormat="false" ht="58.5" hidden="false" customHeight="true" outlineLevel="0" collapsed="false">
      <c r="A42" s="14" t="s">
        <v>1372</v>
      </c>
      <c r="B42" s="14" t="s">
        <v>536</v>
      </c>
      <c r="C42" s="32" t="s">
        <v>1373</v>
      </c>
      <c r="D42" s="32" t="s">
        <v>589</v>
      </c>
      <c r="E42" s="14" t="s">
        <v>1303</v>
      </c>
      <c r="F42" s="15" t="n">
        <f aca="false">IFERROR(INDEX('दैनिक योजना'!$B$6:$B$552,MATCH(C42&amp;"*",'दैनिक योजना'!$H$6:$H$552,0)),"")</f>
        <v>46462</v>
      </c>
      <c r="G42" s="32" t="s">
        <v>542</v>
      </c>
      <c r="H42" s="55" t="s">
        <v>258</v>
      </c>
      <c r="I42" s="55" t="s">
        <v>259</v>
      </c>
      <c r="J42" s="55" t="s">
        <v>1304</v>
      </c>
      <c r="K42" s="55" t="s">
        <v>1305</v>
      </c>
      <c r="L42" s="14" t="s">
        <v>1306</v>
      </c>
      <c r="M42" s="55" t="s">
        <v>273</v>
      </c>
    </row>
    <row r="43" customFormat="false" ht="58.5" hidden="false" customHeight="true" outlineLevel="0" collapsed="false">
      <c r="A43" s="14" t="s">
        <v>1374</v>
      </c>
      <c r="B43" s="14" t="s">
        <v>536</v>
      </c>
      <c r="C43" s="32" t="s">
        <v>1375</v>
      </c>
      <c r="D43" s="32" t="s">
        <v>597</v>
      </c>
      <c r="E43" s="14" t="s">
        <v>1303</v>
      </c>
      <c r="F43" s="15" t="n">
        <f aca="false">IFERROR(INDEX('दैनिक योजना'!$B$6:$B$552,MATCH(C43&amp;"*",'दैनिक योजना'!$H$6:$H$552,0)),"")</f>
        <v>46465</v>
      </c>
      <c r="G43" s="32" t="s">
        <v>542</v>
      </c>
      <c r="H43" s="55" t="s">
        <v>258</v>
      </c>
      <c r="I43" s="55" t="s">
        <v>259</v>
      </c>
      <c r="J43" s="55" t="s">
        <v>1304</v>
      </c>
      <c r="K43" s="55" t="s">
        <v>1305</v>
      </c>
      <c r="L43" s="14" t="s">
        <v>1306</v>
      </c>
      <c r="M43" s="55" t="s">
        <v>273</v>
      </c>
    </row>
    <row r="44" customFormat="false" ht="58.5" hidden="false" customHeight="true" outlineLevel="0" collapsed="false">
      <c r="A44" s="14" t="s">
        <v>1376</v>
      </c>
      <c r="B44" s="14" t="s">
        <v>536</v>
      </c>
      <c r="C44" s="32" t="s">
        <v>1377</v>
      </c>
      <c r="D44" s="32" t="s">
        <v>606</v>
      </c>
      <c r="E44" s="14" t="s">
        <v>1303</v>
      </c>
      <c r="F44" s="15" t="n">
        <f aca="false">IFERROR(INDEX('दैनिक योजना'!$B$6:$B$552,MATCH(C44&amp;"*",'दैनिक योजना'!$H$6:$H$552,0)),"")</f>
        <v>46469</v>
      </c>
      <c r="G44" s="32" t="s">
        <v>542</v>
      </c>
      <c r="H44" s="55" t="s">
        <v>258</v>
      </c>
      <c r="I44" s="55" t="s">
        <v>259</v>
      </c>
      <c r="J44" s="55" t="s">
        <v>1304</v>
      </c>
      <c r="K44" s="55" t="s">
        <v>1305</v>
      </c>
      <c r="L44" s="14" t="s">
        <v>1306</v>
      </c>
      <c r="M44" s="55" t="s">
        <v>273</v>
      </c>
    </row>
    <row r="45" customFormat="false" ht="58.5" hidden="false" customHeight="true" outlineLevel="0" collapsed="false">
      <c r="A45" s="14" t="s">
        <v>1378</v>
      </c>
      <c r="B45" s="14" t="s">
        <v>536</v>
      </c>
      <c r="C45" s="32" t="s">
        <v>1379</v>
      </c>
      <c r="D45" s="32" t="s">
        <v>619</v>
      </c>
      <c r="E45" s="14" t="s">
        <v>1303</v>
      </c>
      <c r="F45" s="15" t="n">
        <f aca="false">IFERROR(INDEX('दैनिक योजना'!$B$6:$B$552,MATCH(C45&amp;"*",'दैनिक योजना'!$H$6:$H$552,0)),"")</f>
        <v>46475</v>
      </c>
      <c r="G45" s="32" t="s">
        <v>542</v>
      </c>
      <c r="H45" s="55" t="s">
        <v>258</v>
      </c>
      <c r="I45" s="55" t="s">
        <v>259</v>
      </c>
      <c r="J45" s="55" t="s">
        <v>1304</v>
      </c>
      <c r="K45" s="55" t="s">
        <v>1305</v>
      </c>
      <c r="L45" s="14" t="s">
        <v>1306</v>
      </c>
      <c r="M45" s="55" t="s">
        <v>273</v>
      </c>
    </row>
    <row r="46" customFormat="false" ht="58.5" hidden="false" customHeight="true" outlineLevel="0" collapsed="false">
      <c r="A46" s="14" t="s">
        <v>1380</v>
      </c>
      <c r="B46" s="14" t="s">
        <v>536</v>
      </c>
      <c r="C46" s="32" t="s">
        <v>1381</v>
      </c>
      <c r="D46" s="32" t="s">
        <v>627</v>
      </c>
      <c r="E46" s="14" t="s">
        <v>1303</v>
      </c>
      <c r="F46" s="15" t="n">
        <f aca="false">IFERROR(INDEX('दैनिक योजना'!$B$6:$B$552,MATCH(C46&amp;"*",'दैनिक योजना'!$H$6:$H$552,0)),"")</f>
        <v>46478</v>
      </c>
      <c r="G46" s="32" t="s">
        <v>542</v>
      </c>
      <c r="H46" s="55" t="s">
        <v>258</v>
      </c>
      <c r="I46" s="55" t="s">
        <v>259</v>
      </c>
      <c r="J46" s="55" t="s">
        <v>1304</v>
      </c>
      <c r="K46" s="55" t="s">
        <v>1305</v>
      </c>
      <c r="L46" s="14" t="s">
        <v>1306</v>
      </c>
      <c r="M46" s="55" t="s">
        <v>273</v>
      </c>
    </row>
    <row r="47" customFormat="false" ht="58.5" hidden="false" customHeight="true" outlineLevel="0" collapsed="false">
      <c r="A47" s="14" t="s">
        <v>1382</v>
      </c>
      <c r="B47" s="14" t="s">
        <v>635</v>
      </c>
      <c r="C47" s="32" t="s">
        <v>1383</v>
      </c>
      <c r="D47" s="32" t="s">
        <v>637</v>
      </c>
      <c r="E47" s="14" t="s">
        <v>1303</v>
      </c>
      <c r="F47" s="15" t="n">
        <f aca="false">IFERROR(INDEX('दैनिक योजना'!$B$6:$B$552,MATCH(C47&amp;"*",'दैनिक योजना'!$H$6:$H$552,0)),"")</f>
        <v>46482</v>
      </c>
      <c r="G47" s="32" t="s">
        <v>641</v>
      </c>
      <c r="H47" s="55" t="s">
        <v>258</v>
      </c>
      <c r="I47" s="55" t="s">
        <v>259</v>
      </c>
      <c r="J47" s="55" t="s">
        <v>1304</v>
      </c>
      <c r="K47" s="55" t="s">
        <v>1305</v>
      </c>
      <c r="L47" s="14" t="s">
        <v>1306</v>
      </c>
      <c r="M47" s="55" t="s">
        <v>273</v>
      </c>
    </row>
    <row r="48" customFormat="false" ht="58.5" hidden="false" customHeight="true" outlineLevel="0" collapsed="false">
      <c r="A48" s="14" t="s">
        <v>1384</v>
      </c>
      <c r="B48" s="14" t="s">
        <v>635</v>
      </c>
      <c r="C48" s="32" t="s">
        <v>1385</v>
      </c>
      <c r="D48" s="32" t="s">
        <v>649</v>
      </c>
      <c r="E48" s="14" t="s">
        <v>1303</v>
      </c>
      <c r="F48" s="15" t="n">
        <f aca="false">IFERROR(INDEX('दैनिक योजना'!$B$6:$B$552,MATCH(C48&amp;"*",'दैनिक योजना'!$H$6:$H$552,0)),"")</f>
        <v>46486</v>
      </c>
      <c r="G48" s="32" t="s">
        <v>641</v>
      </c>
      <c r="H48" s="55" t="s">
        <v>258</v>
      </c>
      <c r="I48" s="55" t="s">
        <v>259</v>
      </c>
      <c r="J48" s="55" t="s">
        <v>1304</v>
      </c>
      <c r="K48" s="55" t="s">
        <v>1305</v>
      </c>
      <c r="L48" s="14" t="s">
        <v>1306</v>
      </c>
      <c r="M48" s="55" t="s">
        <v>273</v>
      </c>
    </row>
    <row r="49" customFormat="false" ht="58.5" hidden="false" customHeight="true" outlineLevel="0" collapsed="false">
      <c r="A49" s="14" t="s">
        <v>1386</v>
      </c>
      <c r="B49" s="14" t="s">
        <v>635</v>
      </c>
      <c r="C49" s="32" t="s">
        <v>1387</v>
      </c>
      <c r="D49" s="32" t="s">
        <v>658</v>
      </c>
      <c r="E49" s="14" t="s">
        <v>1303</v>
      </c>
      <c r="F49" s="15" t="n">
        <f aca="false">IFERROR(INDEX('दैनिक योजना'!$B$6:$B$552,MATCH(C49&amp;"*",'दैनिक योजना'!$H$6:$H$552,0)),"")</f>
        <v>46490</v>
      </c>
      <c r="G49" s="32" t="s">
        <v>641</v>
      </c>
      <c r="H49" s="55" t="s">
        <v>258</v>
      </c>
      <c r="I49" s="55" t="s">
        <v>259</v>
      </c>
      <c r="J49" s="55" t="s">
        <v>1304</v>
      </c>
      <c r="K49" s="55" t="s">
        <v>1305</v>
      </c>
      <c r="L49" s="14" t="s">
        <v>1306</v>
      </c>
      <c r="M49" s="55" t="s">
        <v>273</v>
      </c>
    </row>
    <row r="50" customFormat="false" ht="58.5" hidden="false" customHeight="true" outlineLevel="0" collapsed="false">
      <c r="A50" s="14" t="s">
        <v>1388</v>
      </c>
      <c r="B50" s="14" t="s">
        <v>635</v>
      </c>
      <c r="C50" s="32" t="s">
        <v>1389</v>
      </c>
      <c r="D50" s="32" t="s">
        <v>671</v>
      </c>
      <c r="E50" s="14" t="s">
        <v>1303</v>
      </c>
      <c r="F50" s="15" t="n">
        <f aca="false">IFERROR(INDEX('दैनिक योजना'!$B$6:$B$552,MATCH(C50&amp;"*",'दैनिक योजना'!$H$6:$H$552,0)),"")</f>
        <v>46496</v>
      </c>
      <c r="G50" s="32" t="s">
        <v>641</v>
      </c>
      <c r="H50" s="55" t="s">
        <v>258</v>
      </c>
      <c r="I50" s="55" t="s">
        <v>259</v>
      </c>
      <c r="J50" s="55" t="s">
        <v>1304</v>
      </c>
      <c r="K50" s="55" t="s">
        <v>1305</v>
      </c>
      <c r="L50" s="14" t="s">
        <v>1306</v>
      </c>
      <c r="M50" s="55" t="s">
        <v>273</v>
      </c>
    </row>
    <row r="51" customFormat="false" ht="58.5" hidden="false" customHeight="true" outlineLevel="0" collapsed="false">
      <c r="A51" s="14" t="s">
        <v>1390</v>
      </c>
      <c r="B51" s="14" t="s">
        <v>635</v>
      </c>
      <c r="C51" s="32" t="s">
        <v>1391</v>
      </c>
      <c r="D51" s="32" t="s">
        <v>679</v>
      </c>
      <c r="E51" s="14" t="s">
        <v>1303</v>
      </c>
      <c r="F51" s="15" t="n">
        <f aca="false">IFERROR(INDEX('दैनिक योजना'!$B$6:$B$552,MATCH(C51&amp;"*",'दैनिक योजना'!$H$6:$H$552,0)),"")</f>
        <v>46499</v>
      </c>
      <c r="G51" s="32" t="s">
        <v>641</v>
      </c>
      <c r="H51" s="55" t="s">
        <v>258</v>
      </c>
      <c r="I51" s="55" t="s">
        <v>259</v>
      </c>
      <c r="J51" s="55" t="s">
        <v>1304</v>
      </c>
      <c r="K51" s="55" t="s">
        <v>1305</v>
      </c>
      <c r="L51" s="14" t="s">
        <v>1306</v>
      </c>
      <c r="M51" s="55" t="s">
        <v>273</v>
      </c>
    </row>
    <row r="52" customFormat="false" ht="58.5" hidden="false" customHeight="true" outlineLevel="0" collapsed="false">
      <c r="A52" s="14" t="s">
        <v>1392</v>
      </c>
      <c r="B52" s="14" t="s">
        <v>635</v>
      </c>
      <c r="C52" s="32" t="s">
        <v>1393</v>
      </c>
      <c r="D52" s="32" t="s">
        <v>688</v>
      </c>
      <c r="E52" s="14" t="s">
        <v>1303</v>
      </c>
      <c r="F52" s="15" t="n">
        <f aca="false">IFERROR(INDEX('दैनिक योजना'!$B$6:$B$552,MATCH(C52&amp;"*",'दैनिक योजना'!$H$6:$H$552,0)),"")</f>
        <v>46503</v>
      </c>
      <c r="G52" s="32" t="s">
        <v>641</v>
      </c>
      <c r="H52" s="55" t="s">
        <v>258</v>
      </c>
      <c r="I52" s="55" t="s">
        <v>259</v>
      </c>
      <c r="J52" s="55" t="s">
        <v>1304</v>
      </c>
      <c r="K52" s="55" t="s">
        <v>1305</v>
      </c>
      <c r="L52" s="14" t="s">
        <v>1306</v>
      </c>
      <c r="M52" s="55" t="s">
        <v>273</v>
      </c>
    </row>
    <row r="53" customFormat="false" ht="58.5" hidden="false" customHeight="true" outlineLevel="0" collapsed="false">
      <c r="A53" s="14" t="s">
        <v>1394</v>
      </c>
      <c r="B53" s="14" t="s">
        <v>635</v>
      </c>
      <c r="C53" s="32" t="s">
        <v>1395</v>
      </c>
      <c r="D53" s="32" t="s">
        <v>698</v>
      </c>
      <c r="E53" s="14" t="s">
        <v>1303</v>
      </c>
      <c r="F53" s="15" t="n">
        <f aca="false">IFERROR(INDEX('दैनिक योजना'!$B$6:$B$552,MATCH(C53&amp;"*",'दैनिक योजना'!$H$6:$H$552,0)),"")</f>
        <v>46506</v>
      </c>
      <c r="G53" s="32" t="s">
        <v>641</v>
      </c>
      <c r="H53" s="55" t="s">
        <v>258</v>
      </c>
      <c r="I53" s="55" t="s">
        <v>259</v>
      </c>
      <c r="J53" s="55" t="s">
        <v>1304</v>
      </c>
      <c r="K53" s="55" t="s">
        <v>1305</v>
      </c>
      <c r="L53" s="14" t="s">
        <v>1306</v>
      </c>
      <c r="M53" s="55" t="s">
        <v>273</v>
      </c>
    </row>
    <row r="54" customFormat="false" ht="58.5" hidden="false" customHeight="true" outlineLevel="0" collapsed="false">
      <c r="A54" s="14" t="s">
        <v>1396</v>
      </c>
      <c r="B54" s="14" t="s">
        <v>635</v>
      </c>
      <c r="C54" s="32" t="s">
        <v>1397</v>
      </c>
      <c r="D54" s="32" t="s">
        <v>707</v>
      </c>
      <c r="E54" s="14" t="s">
        <v>1303</v>
      </c>
      <c r="F54" s="15" t="n">
        <f aca="false">IFERROR(INDEX('दैनिक योजना'!$B$6:$B$552,MATCH(C54&amp;"*",'दैनिक योजना'!$H$6:$H$552,0)),"")</f>
        <v>46510</v>
      </c>
      <c r="G54" s="32" t="s">
        <v>641</v>
      </c>
      <c r="H54" s="55" t="s">
        <v>258</v>
      </c>
      <c r="I54" s="55" t="s">
        <v>259</v>
      </c>
      <c r="J54" s="55" t="s">
        <v>1304</v>
      </c>
      <c r="K54" s="55" t="s">
        <v>1305</v>
      </c>
      <c r="L54" s="14" t="s">
        <v>1306</v>
      </c>
      <c r="M54" s="55" t="s">
        <v>273</v>
      </c>
    </row>
    <row r="55" customFormat="false" ht="58.5" hidden="false" customHeight="true" outlineLevel="0" collapsed="false">
      <c r="A55" s="14" t="s">
        <v>1398</v>
      </c>
      <c r="B55" s="14" t="s">
        <v>714</v>
      </c>
      <c r="C55" s="32" t="s">
        <v>1399</v>
      </c>
      <c r="D55" s="32" t="s">
        <v>716</v>
      </c>
      <c r="E55" s="14" t="s">
        <v>1303</v>
      </c>
      <c r="F55" s="15" t="n">
        <f aca="false">IFERROR(INDEX('दैनिक योजना'!$B$6:$B$552,MATCH(C55&amp;"*",'दैनिक योजना'!$H$6:$H$552,0)),"")</f>
        <v>46513</v>
      </c>
      <c r="G55" s="32" t="s">
        <v>719</v>
      </c>
      <c r="H55" s="55" t="s">
        <v>258</v>
      </c>
      <c r="I55" s="55" t="s">
        <v>259</v>
      </c>
      <c r="J55" s="55" t="s">
        <v>1304</v>
      </c>
      <c r="K55" s="55" t="s">
        <v>1305</v>
      </c>
      <c r="L55" s="14" t="s">
        <v>1306</v>
      </c>
      <c r="M55" s="55" t="s">
        <v>273</v>
      </c>
    </row>
    <row r="56" customFormat="false" ht="58.5" hidden="false" customHeight="true" outlineLevel="0" collapsed="false">
      <c r="A56" s="14" t="s">
        <v>1400</v>
      </c>
      <c r="B56" s="14" t="s">
        <v>714</v>
      </c>
      <c r="C56" s="32" t="s">
        <v>1401</v>
      </c>
      <c r="D56" s="32" t="s">
        <v>726</v>
      </c>
      <c r="E56" s="14" t="s">
        <v>1303</v>
      </c>
      <c r="F56" s="15" t="n">
        <f aca="false">IFERROR(INDEX('दैनिक योजना'!$B$6:$B$552,MATCH(C56&amp;"*",'दैनिक योजना'!$H$6:$H$552,0)),"")</f>
        <v>46517</v>
      </c>
      <c r="G56" s="32" t="s">
        <v>719</v>
      </c>
      <c r="H56" s="55" t="s">
        <v>258</v>
      </c>
      <c r="I56" s="55" t="s">
        <v>259</v>
      </c>
      <c r="J56" s="55" t="s">
        <v>1304</v>
      </c>
      <c r="K56" s="55" t="s">
        <v>1305</v>
      </c>
      <c r="L56" s="14" t="s">
        <v>1306</v>
      </c>
      <c r="M56" s="55" t="s">
        <v>273</v>
      </c>
    </row>
    <row r="57" customFormat="false" ht="58.5" hidden="false" customHeight="true" outlineLevel="0" collapsed="false">
      <c r="A57" s="14" t="s">
        <v>1402</v>
      </c>
      <c r="B57" s="14" t="s">
        <v>714</v>
      </c>
      <c r="C57" s="32" t="s">
        <v>1403</v>
      </c>
      <c r="D57" s="32" t="s">
        <v>734</v>
      </c>
      <c r="E57" s="14" t="s">
        <v>1303</v>
      </c>
      <c r="F57" s="15" t="n">
        <f aca="false">IFERROR(INDEX('दैनिक योजना'!$B$6:$B$552,MATCH(C57&amp;"*",'दैनिक योजना'!$H$6:$H$552,0)),"")</f>
        <v>46520</v>
      </c>
      <c r="G57" s="32" t="s">
        <v>719</v>
      </c>
      <c r="H57" s="55" t="s">
        <v>258</v>
      </c>
      <c r="I57" s="55" t="s">
        <v>259</v>
      </c>
      <c r="J57" s="55" t="s">
        <v>1304</v>
      </c>
      <c r="K57" s="55" t="s">
        <v>1305</v>
      </c>
      <c r="L57" s="14" t="s">
        <v>1306</v>
      </c>
      <c r="M57" s="55" t="s">
        <v>273</v>
      </c>
    </row>
    <row r="58" customFormat="false" ht="75.75" hidden="false" customHeight="true" outlineLevel="0" collapsed="false">
      <c r="A58" s="14" t="s">
        <v>1404</v>
      </c>
      <c r="B58" s="14" t="s">
        <v>266</v>
      </c>
      <c r="C58" s="32" t="s">
        <v>1405</v>
      </c>
      <c r="D58" s="32" t="s">
        <v>1406</v>
      </c>
      <c r="E58" s="14" t="s">
        <v>1407</v>
      </c>
      <c r="F58" s="15" t="n">
        <f aca="false">IFERROR(INDEX('दैनिक योजना'!$B$6:$B$552,MATCH(C58&amp;"*",'दैनिक योजना'!$M$6:$M$552,0)),"")</f>
        <v>46342</v>
      </c>
      <c r="G58" s="32" t="s">
        <v>272</v>
      </c>
      <c r="H58" s="55" t="s">
        <v>258</v>
      </c>
      <c r="I58" s="55" t="s">
        <v>259</v>
      </c>
      <c r="J58" s="55" t="s">
        <v>1304</v>
      </c>
      <c r="K58" s="55" t="s">
        <v>1305</v>
      </c>
      <c r="L58" s="14" t="s">
        <v>1306</v>
      </c>
      <c r="M58" s="55" t="s">
        <v>1408</v>
      </c>
    </row>
    <row r="59" customFormat="false" ht="75.75" hidden="false" customHeight="true" outlineLevel="0" collapsed="false">
      <c r="A59" s="14" t="s">
        <v>1409</v>
      </c>
      <c r="B59" s="14" t="s">
        <v>266</v>
      </c>
      <c r="C59" s="32" t="s">
        <v>1410</v>
      </c>
      <c r="D59" s="32" t="s">
        <v>1411</v>
      </c>
      <c r="E59" s="14" t="s">
        <v>1407</v>
      </c>
      <c r="F59" s="15" t="n">
        <f aca="false">IFERROR(INDEX('दैनिक योजना'!$B$6:$B$552,MATCH(C59&amp;"*",'दैनिक योजना'!$M$6:$M$552,0)),"")</f>
        <v>46347</v>
      </c>
      <c r="G59" s="32" t="s">
        <v>272</v>
      </c>
      <c r="H59" s="55" t="s">
        <v>258</v>
      </c>
      <c r="I59" s="55" t="s">
        <v>259</v>
      </c>
      <c r="J59" s="55" t="s">
        <v>1304</v>
      </c>
      <c r="K59" s="55" t="s">
        <v>1305</v>
      </c>
      <c r="L59" s="14" t="s">
        <v>1306</v>
      </c>
      <c r="M59" s="55" t="s">
        <v>1408</v>
      </c>
    </row>
    <row r="60" customFormat="false" ht="75.75" hidden="false" customHeight="true" outlineLevel="0" collapsed="false">
      <c r="A60" s="14" t="s">
        <v>1412</v>
      </c>
      <c r="B60" s="14" t="s">
        <v>266</v>
      </c>
      <c r="C60" s="32" t="s">
        <v>1413</v>
      </c>
      <c r="D60" s="32" t="s">
        <v>1414</v>
      </c>
      <c r="E60" s="14" t="s">
        <v>1407</v>
      </c>
      <c r="F60" s="15" t="n">
        <f aca="false">IFERROR(INDEX('दैनिक योजना'!$B$6:$B$552,MATCH(C60&amp;"*",'दैनिक योजना'!$M$6:$M$552,0)),"")</f>
        <v>46353</v>
      </c>
      <c r="G60" s="32" t="s">
        <v>272</v>
      </c>
      <c r="H60" s="55" t="s">
        <v>258</v>
      </c>
      <c r="I60" s="55" t="s">
        <v>259</v>
      </c>
      <c r="J60" s="55" t="s">
        <v>1304</v>
      </c>
      <c r="K60" s="55" t="s">
        <v>1305</v>
      </c>
      <c r="L60" s="14" t="s">
        <v>1306</v>
      </c>
      <c r="M60" s="55" t="s">
        <v>1408</v>
      </c>
    </row>
    <row r="61" customFormat="false" ht="75.75" hidden="false" customHeight="true" outlineLevel="0" collapsed="false">
      <c r="A61" s="14" t="s">
        <v>1415</v>
      </c>
      <c r="B61" s="14" t="s">
        <v>266</v>
      </c>
      <c r="C61" s="32" t="s">
        <v>181</v>
      </c>
      <c r="D61" s="32" t="s">
        <v>1416</v>
      </c>
      <c r="E61" s="14" t="s">
        <v>1407</v>
      </c>
      <c r="F61" s="15" t="n">
        <f aca="false">IFERROR(INDEX('दैनिक योजना'!$B$6:$B$552,MATCH(C61&amp;"*",'दैनिक योजना'!$M$6:$M$552,0)),"")</f>
        <v>46359</v>
      </c>
      <c r="G61" s="32" t="s">
        <v>272</v>
      </c>
      <c r="H61" s="55" t="s">
        <v>258</v>
      </c>
      <c r="I61" s="55" t="s">
        <v>259</v>
      </c>
      <c r="J61" s="55" t="s">
        <v>1304</v>
      </c>
      <c r="K61" s="55" t="s">
        <v>1305</v>
      </c>
      <c r="L61" s="14" t="s">
        <v>1306</v>
      </c>
      <c r="M61" s="55" t="s">
        <v>1408</v>
      </c>
    </row>
    <row r="62" customFormat="false" ht="75.75" hidden="false" customHeight="true" outlineLevel="0" collapsed="false">
      <c r="A62" s="14" t="s">
        <v>1417</v>
      </c>
      <c r="B62" s="14" t="s">
        <v>266</v>
      </c>
      <c r="C62" s="32" t="s">
        <v>1418</v>
      </c>
      <c r="D62" s="32" t="s">
        <v>1419</v>
      </c>
      <c r="E62" s="14" t="s">
        <v>1407</v>
      </c>
      <c r="F62" s="15" t="n">
        <f aca="false">IFERROR(INDEX('दैनिक योजना'!$B$6:$B$552,MATCH(C62&amp;"*",'दैनिक योजना'!$M$6:$M$552,0)),"")</f>
        <v>46368</v>
      </c>
      <c r="G62" s="32" t="s">
        <v>272</v>
      </c>
      <c r="H62" s="55" t="s">
        <v>258</v>
      </c>
      <c r="I62" s="55" t="s">
        <v>259</v>
      </c>
      <c r="J62" s="55" t="s">
        <v>1304</v>
      </c>
      <c r="K62" s="55" t="s">
        <v>1305</v>
      </c>
      <c r="L62" s="14" t="s">
        <v>1306</v>
      </c>
      <c r="M62" s="55" t="s">
        <v>1408</v>
      </c>
    </row>
    <row r="63" customFormat="false" ht="75.75" hidden="false" customHeight="true" outlineLevel="0" collapsed="false">
      <c r="A63" s="14" t="s">
        <v>1420</v>
      </c>
      <c r="B63" s="14" t="s">
        <v>266</v>
      </c>
      <c r="C63" s="32" t="s">
        <v>1421</v>
      </c>
      <c r="D63" s="32" t="s">
        <v>1422</v>
      </c>
      <c r="E63" s="14" t="s">
        <v>1407</v>
      </c>
      <c r="F63" s="15" t="n">
        <f aca="false">IFERROR(INDEX('दैनिक योजना'!$B$6:$B$552,MATCH(C63&amp;"*",'दैनिक योजना'!$M$6:$M$552,0)),"")</f>
        <v>46374</v>
      </c>
      <c r="G63" s="32" t="s">
        <v>272</v>
      </c>
      <c r="H63" s="55" t="s">
        <v>258</v>
      </c>
      <c r="I63" s="55" t="s">
        <v>259</v>
      </c>
      <c r="J63" s="55" t="s">
        <v>1304</v>
      </c>
      <c r="K63" s="55" t="s">
        <v>1305</v>
      </c>
      <c r="L63" s="14" t="s">
        <v>1306</v>
      </c>
      <c r="M63" s="55" t="s">
        <v>1408</v>
      </c>
    </row>
    <row r="64" customFormat="false" ht="75.75" hidden="false" customHeight="true" outlineLevel="0" collapsed="false">
      <c r="A64" s="14" t="s">
        <v>1423</v>
      </c>
      <c r="B64" s="14" t="s">
        <v>266</v>
      </c>
      <c r="C64" s="32" t="s">
        <v>1424</v>
      </c>
      <c r="D64" s="32" t="s">
        <v>1425</v>
      </c>
      <c r="E64" s="14" t="s">
        <v>1407</v>
      </c>
      <c r="F64" s="15" t="n">
        <f aca="false">IFERROR(INDEX('दैनिक योजना'!$B$6:$B$552,MATCH(C64&amp;"*",'दैनिक योजना'!$M$6:$M$552,0)),"")</f>
        <v>46382</v>
      </c>
      <c r="G64" s="32" t="s">
        <v>272</v>
      </c>
      <c r="H64" s="55" t="s">
        <v>258</v>
      </c>
      <c r="I64" s="55" t="s">
        <v>259</v>
      </c>
      <c r="J64" s="55" t="s">
        <v>1304</v>
      </c>
      <c r="K64" s="55" t="s">
        <v>1305</v>
      </c>
      <c r="L64" s="14" t="s">
        <v>1306</v>
      </c>
      <c r="M64" s="55" t="s">
        <v>1408</v>
      </c>
    </row>
    <row r="65" customFormat="false" ht="75.75" hidden="false" customHeight="true" outlineLevel="0" collapsed="false">
      <c r="A65" s="14" t="s">
        <v>1426</v>
      </c>
      <c r="B65" s="14" t="s">
        <v>266</v>
      </c>
      <c r="C65" s="32" t="s">
        <v>1427</v>
      </c>
      <c r="D65" s="32" t="s">
        <v>1428</v>
      </c>
      <c r="E65" s="14" t="s">
        <v>1407</v>
      </c>
      <c r="F65" s="15" t="n">
        <f aca="false">IFERROR(INDEX('दैनिक योजना'!$B$6:$B$552,MATCH(C65&amp;"*",'दैनिक योजना'!$M$6:$M$552,0)),"")</f>
        <v>46388</v>
      </c>
      <c r="G65" s="32" t="s">
        <v>272</v>
      </c>
      <c r="H65" s="55" t="s">
        <v>258</v>
      </c>
      <c r="I65" s="55" t="s">
        <v>259</v>
      </c>
      <c r="J65" s="55" t="s">
        <v>1304</v>
      </c>
      <c r="K65" s="55" t="s">
        <v>1305</v>
      </c>
      <c r="L65" s="14" t="s">
        <v>1306</v>
      </c>
      <c r="M65" s="55" t="s">
        <v>1408</v>
      </c>
    </row>
    <row r="66" customFormat="false" ht="75.75" hidden="false" customHeight="true" outlineLevel="0" collapsed="false">
      <c r="A66" s="14" t="s">
        <v>1429</v>
      </c>
      <c r="B66" s="14" t="s">
        <v>266</v>
      </c>
      <c r="C66" s="32" t="s">
        <v>1430</v>
      </c>
      <c r="D66" s="32" t="s">
        <v>1431</v>
      </c>
      <c r="E66" s="14" t="s">
        <v>1407</v>
      </c>
      <c r="F66" s="15" t="n">
        <f aca="false">IFERROR(INDEX('दैनिक योजना'!$B$6:$B$552,MATCH(C66&amp;"*",'दैनिक योजना'!$M$6:$M$552,0)),"")</f>
        <v>46394</v>
      </c>
      <c r="G66" s="32" t="s">
        <v>272</v>
      </c>
      <c r="H66" s="55" t="s">
        <v>258</v>
      </c>
      <c r="I66" s="55" t="s">
        <v>259</v>
      </c>
      <c r="J66" s="55" t="s">
        <v>1304</v>
      </c>
      <c r="K66" s="55" t="s">
        <v>1305</v>
      </c>
      <c r="L66" s="14" t="s">
        <v>1306</v>
      </c>
      <c r="M66" s="55" t="s">
        <v>1408</v>
      </c>
    </row>
    <row r="67" customFormat="false" ht="58.5" hidden="false" customHeight="true" outlineLevel="0" collapsed="false">
      <c r="A67" s="14" t="s">
        <v>1432</v>
      </c>
      <c r="B67" s="14" t="s">
        <v>433</v>
      </c>
      <c r="C67" s="32" t="s">
        <v>1433</v>
      </c>
      <c r="D67" s="32" t="s">
        <v>1434</v>
      </c>
      <c r="E67" s="14" t="s">
        <v>1407</v>
      </c>
      <c r="F67" s="15" t="n">
        <f aca="false">IFERROR(INDEX('दैनिक योजना'!$B$6:$B$552,MATCH(C67&amp;"*",'दैनिक योजना'!$M$6:$M$552,0)),"")</f>
        <v>46400</v>
      </c>
      <c r="G67" s="32" t="s">
        <v>435</v>
      </c>
      <c r="H67" s="55" t="s">
        <v>258</v>
      </c>
      <c r="I67" s="55" t="s">
        <v>259</v>
      </c>
      <c r="J67" s="55" t="s">
        <v>1304</v>
      </c>
      <c r="K67" s="55" t="s">
        <v>1305</v>
      </c>
      <c r="L67" s="14" t="s">
        <v>1306</v>
      </c>
      <c r="M67" s="55" t="s">
        <v>273</v>
      </c>
    </row>
    <row r="68" customFormat="false" ht="58.5" hidden="false" customHeight="true" outlineLevel="0" collapsed="false">
      <c r="A68" s="14" t="s">
        <v>1435</v>
      </c>
      <c r="B68" s="14" t="s">
        <v>433</v>
      </c>
      <c r="C68" s="32" t="s">
        <v>1436</v>
      </c>
      <c r="D68" s="32" t="s">
        <v>1437</v>
      </c>
      <c r="E68" s="14" t="s">
        <v>1407</v>
      </c>
      <c r="F68" s="15" t="n">
        <f aca="false">IFERROR(INDEX('दैनिक योजना'!$B$6:$B$552,MATCH(C68&amp;"*",'दैनिक योजना'!$M$6:$M$552,0)),"")</f>
        <v>46406</v>
      </c>
      <c r="G68" s="32" t="s">
        <v>435</v>
      </c>
      <c r="H68" s="55" t="s">
        <v>258</v>
      </c>
      <c r="I68" s="55" t="s">
        <v>259</v>
      </c>
      <c r="J68" s="55" t="s">
        <v>1304</v>
      </c>
      <c r="K68" s="55" t="s">
        <v>1305</v>
      </c>
      <c r="L68" s="14" t="s">
        <v>1306</v>
      </c>
      <c r="M68" s="55" t="s">
        <v>273</v>
      </c>
    </row>
    <row r="69" customFormat="false" ht="58.5" hidden="false" customHeight="true" outlineLevel="0" collapsed="false">
      <c r="A69" s="14" t="s">
        <v>1438</v>
      </c>
      <c r="B69" s="14" t="s">
        <v>433</v>
      </c>
      <c r="C69" s="32" t="s">
        <v>1439</v>
      </c>
      <c r="D69" s="32" t="s">
        <v>1440</v>
      </c>
      <c r="E69" s="14" t="s">
        <v>1407</v>
      </c>
      <c r="F69" s="15" t="n">
        <f aca="false">IFERROR(INDEX('दैनिक योजना'!$B$6:$B$552,MATCH(C69&amp;"*",'दैनिक योजना'!$M$6:$M$552,0)),"")</f>
        <v>46415</v>
      </c>
      <c r="G69" s="32" t="s">
        <v>435</v>
      </c>
      <c r="H69" s="55" t="s">
        <v>258</v>
      </c>
      <c r="I69" s="55" t="s">
        <v>259</v>
      </c>
      <c r="J69" s="55" t="s">
        <v>1304</v>
      </c>
      <c r="K69" s="55" t="s">
        <v>1305</v>
      </c>
      <c r="L69" s="14" t="s">
        <v>1306</v>
      </c>
      <c r="M69" s="55" t="s">
        <v>273</v>
      </c>
    </row>
    <row r="70" customFormat="false" ht="58.5" hidden="false" customHeight="true" outlineLevel="0" collapsed="false">
      <c r="A70" s="14" t="s">
        <v>1441</v>
      </c>
      <c r="B70" s="14" t="s">
        <v>433</v>
      </c>
      <c r="C70" s="32" t="s">
        <v>1442</v>
      </c>
      <c r="D70" s="32" t="s">
        <v>1443</v>
      </c>
      <c r="E70" s="14" t="s">
        <v>1407</v>
      </c>
      <c r="F70" s="15" t="n">
        <f aca="false">IFERROR(INDEX('दैनिक योजना'!$B$6:$B$552,MATCH(C70&amp;"*",'दैनिक योजना'!$M$6:$M$552,0)),"")</f>
        <v>46421</v>
      </c>
      <c r="G70" s="32" t="s">
        <v>435</v>
      </c>
      <c r="H70" s="55" t="s">
        <v>258</v>
      </c>
      <c r="I70" s="55" t="s">
        <v>259</v>
      </c>
      <c r="J70" s="55" t="s">
        <v>1304</v>
      </c>
      <c r="K70" s="55" t="s">
        <v>1305</v>
      </c>
      <c r="L70" s="14" t="s">
        <v>1306</v>
      </c>
      <c r="M70" s="55" t="s">
        <v>273</v>
      </c>
    </row>
    <row r="71" customFormat="false" ht="58.5" hidden="false" customHeight="true" outlineLevel="0" collapsed="false">
      <c r="A71" s="14" t="s">
        <v>1444</v>
      </c>
      <c r="B71" s="14" t="s">
        <v>433</v>
      </c>
      <c r="C71" s="32" t="s">
        <v>1445</v>
      </c>
      <c r="D71" s="32" t="s">
        <v>1446</v>
      </c>
      <c r="E71" s="14" t="s">
        <v>1407</v>
      </c>
      <c r="F71" s="15" t="n">
        <f aca="false">IFERROR(INDEX('दैनिक योजना'!$B$6:$B$552,MATCH(C71&amp;"*",'दैनिक योजना'!$M$6:$M$552,0)),"")</f>
        <v>46427</v>
      </c>
      <c r="G71" s="32" t="s">
        <v>435</v>
      </c>
      <c r="H71" s="55" t="s">
        <v>258</v>
      </c>
      <c r="I71" s="55" t="s">
        <v>259</v>
      </c>
      <c r="J71" s="55" t="s">
        <v>1304</v>
      </c>
      <c r="K71" s="55" t="s">
        <v>1305</v>
      </c>
      <c r="L71" s="14" t="s">
        <v>1306</v>
      </c>
      <c r="M71" s="55" t="s">
        <v>273</v>
      </c>
    </row>
    <row r="72" customFormat="false" ht="58.5" hidden="false" customHeight="true" outlineLevel="0" collapsed="false">
      <c r="A72" s="14" t="s">
        <v>1447</v>
      </c>
      <c r="B72" s="14" t="s">
        <v>433</v>
      </c>
      <c r="C72" s="32" t="s">
        <v>155</v>
      </c>
      <c r="D72" s="32" t="s">
        <v>1448</v>
      </c>
      <c r="E72" s="14" t="s">
        <v>1407</v>
      </c>
      <c r="F72" s="15" t="n">
        <f aca="false">IFERROR(INDEX('दैनिक योजना'!$B$6:$B$552,MATCH(C72&amp;"*",'दैनिक योजना'!$M$6:$M$552,0)),"")</f>
        <v>46433</v>
      </c>
      <c r="G72" s="32" t="s">
        <v>435</v>
      </c>
      <c r="H72" s="55" t="s">
        <v>258</v>
      </c>
      <c r="I72" s="55" t="s">
        <v>259</v>
      </c>
      <c r="J72" s="55" t="s">
        <v>1304</v>
      </c>
      <c r="K72" s="55" t="s">
        <v>1305</v>
      </c>
      <c r="L72" s="14" t="s">
        <v>1306</v>
      </c>
      <c r="M72" s="55" t="s">
        <v>273</v>
      </c>
    </row>
    <row r="73" customFormat="false" ht="58.5" hidden="false" customHeight="true" outlineLevel="0" collapsed="false">
      <c r="A73" s="14" t="s">
        <v>1449</v>
      </c>
      <c r="B73" s="14" t="s">
        <v>433</v>
      </c>
      <c r="C73" s="32" t="s">
        <v>1450</v>
      </c>
      <c r="D73" s="32" t="s">
        <v>1451</v>
      </c>
      <c r="E73" s="14" t="s">
        <v>1407</v>
      </c>
      <c r="F73" s="15" t="n">
        <f aca="false">IFERROR(INDEX('दैनिक योजना'!$B$6:$B$552,MATCH(C73&amp;"*",'दैनिक योजना'!$M$6:$M$552,0)),"")</f>
        <v>46442</v>
      </c>
      <c r="G73" s="32" t="s">
        <v>435</v>
      </c>
      <c r="H73" s="55" t="s">
        <v>258</v>
      </c>
      <c r="I73" s="55" t="s">
        <v>259</v>
      </c>
      <c r="J73" s="55" t="s">
        <v>1304</v>
      </c>
      <c r="K73" s="55" t="s">
        <v>1305</v>
      </c>
      <c r="L73" s="14" t="s">
        <v>1306</v>
      </c>
      <c r="M73" s="55" t="s">
        <v>273</v>
      </c>
    </row>
    <row r="74" customFormat="false" ht="58.5" hidden="false" customHeight="true" outlineLevel="0" collapsed="false">
      <c r="A74" s="14" t="s">
        <v>1452</v>
      </c>
      <c r="B74" s="14" t="s">
        <v>561</v>
      </c>
      <c r="C74" s="32" t="s">
        <v>1453</v>
      </c>
      <c r="D74" s="32" t="s">
        <v>1454</v>
      </c>
      <c r="E74" s="14" t="s">
        <v>1407</v>
      </c>
      <c r="F74" s="15" t="n">
        <f aca="false">IFERROR(INDEX('दैनिक योजना'!$B$6:$B$552,MATCH(C74&amp;"*",'दैनिक योजना'!$M$6:$M$552,0)),"")</f>
        <v>46450</v>
      </c>
      <c r="G74" s="32" t="s">
        <v>563</v>
      </c>
      <c r="H74" s="55" t="s">
        <v>258</v>
      </c>
      <c r="I74" s="55" t="s">
        <v>259</v>
      </c>
      <c r="J74" s="55" t="s">
        <v>1304</v>
      </c>
      <c r="K74" s="55" t="s">
        <v>1305</v>
      </c>
      <c r="L74" s="14" t="s">
        <v>1306</v>
      </c>
      <c r="M74" s="55" t="s">
        <v>1455</v>
      </c>
    </row>
    <row r="75" customFormat="false" ht="58.5" hidden="false" customHeight="true" outlineLevel="0" collapsed="false">
      <c r="A75" s="14" t="s">
        <v>1456</v>
      </c>
      <c r="B75" s="14" t="s">
        <v>561</v>
      </c>
      <c r="C75" s="32" t="s">
        <v>1457</v>
      </c>
      <c r="D75" s="32" t="s">
        <v>1458</v>
      </c>
      <c r="E75" s="14" t="s">
        <v>1407</v>
      </c>
      <c r="F75" s="15" t="n">
        <f aca="false">IFERROR(INDEX('दैनिक योजना'!$B$6:$B$552,MATCH(C75&amp;"*",'दैनिक योजना'!$M$6:$M$552,0)),"")</f>
        <v>46456</v>
      </c>
      <c r="G75" s="32" t="s">
        <v>563</v>
      </c>
      <c r="H75" s="55" t="s">
        <v>258</v>
      </c>
      <c r="I75" s="55" t="s">
        <v>259</v>
      </c>
      <c r="J75" s="55" t="s">
        <v>1304</v>
      </c>
      <c r="K75" s="55" t="s">
        <v>1305</v>
      </c>
      <c r="L75" s="14" t="s">
        <v>1306</v>
      </c>
      <c r="M75" s="55" t="s">
        <v>1455</v>
      </c>
    </row>
    <row r="76" customFormat="false" ht="58.5" hidden="false" customHeight="true" outlineLevel="0" collapsed="false">
      <c r="A76" s="14" t="s">
        <v>1459</v>
      </c>
      <c r="B76" s="14" t="s">
        <v>561</v>
      </c>
      <c r="C76" s="32" t="s">
        <v>1460</v>
      </c>
      <c r="D76" s="32" t="s">
        <v>1461</v>
      </c>
      <c r="E76" s="14" t="s">
        <v>1407</v>
      </c>
      <c r="F76" s="15" t="n">
        <f aca="false">IFERROR(INDEX('दैनिक योजना'!$B$6:$B$552,MATCH(C76&amp;"*",'दैनिक योजना'!$M$6:$M$552,0)),"")</f>
        <v>46465</v>
      </c>
      <c r="G76" s="32" t="s">
        <v>563</v>
      </c>
      <c r="H76" s="55" t="s">
        <v>258</v>
      </c>
      <c r="I76" s="55" t="s">
        <v>259</v>
      </c>
      <c r="J76" s="55" t="s">
        <v>1304</v>
      </c>
      <c r="K76" s="55" t="s">
        <v>1305</v>
      </c>
      <c r="L76" s="14" t="s">
        <v>1306</v>
      </c>
      <c r="M76" s="55" t="s">
        <v>1455</v>
      </c>
    </row>
    <row r="77" customFormat="false" ht="58.5" hidden="false" customHeight="true" outlineLevel="0" collapsed="false">
      <c r="A77" s="14" t="s">
        <v>1462</v>
      </c>
      <c r="B77" s="14" t="s">
        <v>561</v>
      </c>
      <c r="C77" s="32" t="s">
        <v>167</v>
      </c>
      <c r="D77" s="32" t="s">
        <v>1463</v>
      </c>
      <c r="E77" s="14" t="s">
        <v>1407</v>
      </c>
      <c r="F77" s="15" t="n">
        <f aca="false">IFERROR(INDEX('दैनिक योजना'!$B$6:$B$552,MATCH(C77&amp;"*",'दैनिक योजना'!$M$6:$M$552,0)),"")</f>
        <v>46473</v>
      </c>
      <c r="G77" s="32" t="s">
        <v>563</v>
      </c>
      <c r="H77" s="55" t="s">
        <v>258</v>
      </c>
      <c r="I77" s="55" t="s">
        <v>259</v>
      </c>
      <c r="J77" s="55" t="s">
        <v>1304</v>
      </c>
      <c r="K77" s="55" t="s">
        <v>1305</v>
      </c>
      <c r="L77" s="14" t="s">
        <v>1306</v>
      </c>
      <c r="M77" s="55" t="s">
        <v>1455</v>
      </c>
    </row>
    <row r="78" customFormat="false" ht="58.5" hidden="false" customHeight="true" outlineLevel="0" collapsed="false">
      <c r="A78" s="14" t="s">
        <v>1464</v>
      </c>
      <c r="B78" s="14" t="s">
        <v>561</v>
      </c>
      <c r="C78" s="32" t="s">
        <v>1465</v>
      </c>
      <c r="D78" s="32" t="s">
        <v>1466</v>
      </c>
      <c r="E78" s="14" t="s">
        <v>1407</v>
      </c>
      <c r="F78" s="15" t="n">
        <f aca="false">IFERROR(INDEX('दैनिक योजना'!$B$6:$B$552,MATCH(C78&amp;"*",'दैनिक योजना'!$M$6:$M$552,0)),"")</f>
        <v>46483</v>
      </c>
      <c r="G78" s="32" t="s">
        <v>563</v>
      </c>
      <c r="H78" s="55" t="s">
        <v>258</v>
      </c>
      <c r="I78" s="55" t="s">
        <v>259</v>
      </c>
      <c r="J78" s="55" t="s">
        <v>1304</v>
      </c>
      <c r="K78" s="55" t="s">
        <v>1305</v>
      </c>
      <c r="L78" s="14" t="s">
        <v>1306</v>
      </c>
      <c r="M78" s="55" t="s">
        <v>1455</v>
      </c>
    </row>
    <row r="79" customFormat="false" ht="58.5" hidden="false" customHeight="true" outlineLevel="0" collapsed="false">
      <c r="A79" s="14" t="s">
        <v>1467</v>
      </c>
      <c r="B79" s="14" t="s">
        <v>561</v>
      </c>
      <c r="C79" s="32" t="s">
        <v>1468</v>
      </c>
      <c r="D79" s="32" t="s">
        <v>1469</v>
      </c>
      <c r="E79" s="14" t="s">
        <v>1407</v>
      </c>
      <c r="F79" s="15" t="n">
        <f aca="false">IFERROR(INDEX('दैनिक योजना'!$B$6:$B$552,MATCH(C79&amp;"*",'दैनिक योजना'!$M$6:$M$552,0)),"")</f>
        <v>46489</v>
      </c>
      <c r="G79" s="32" t="s">
        <v>563</v>
      </c>
      <c r="H79" s="55" t="s">
        <v>258</v>
      </c>
      <c r="I79" s="55" t="s">
        <v>259</v>
      </c>
      <c r="J79" s="55" t="s">
        <v>1304</v>
      </c>
      <c r="K79" s="55" t="s">
        <v>1305</v>
      </c>
      <c r="L79" s="14" t="s">
        <v>1306</v>
      </c>
      <c r="M79" s="55" t="s">
        <v>1455</v>
      </c>
    </row>
    <row r="80" customFormat="false" ht="58.5" hidden="false" customHeight="true" outlineLevel="0" collapsed="false">
      <c r="A80" s="14" t="s">
        <v>1470</v>
      </c>
      <c r="B80" s="14" t="s">
        <v>561</v>
      </c>
      <c r="C80" s="32" t="s">
        <v>173</v>
      </c>
      <c r="D80" s="32" t="s">
        <v>1471</v>
      </c>
      <c r="E80" s="14" t="s">
        <v>1407</v>
      </c>
      <c r="F80" s="15" t="n">
        <f aca="false">IFERROR(INDEX('दैनिक योजना'!$B$6:$B$552,MATCH(C80&amp;"*",'दैनिक योजना'!$M$6:$M$552,0)),"")</f>
        <v>46494</v>
      </c>
      <c r="G80" s="32" t="s">
        <v>563</v>
      </c>
      <c r="H80" s="55" t="s">
        <v>258</v>
      </c>
      <c r="I80" s="55" t="s">
        <v>259</v>
      </c>
      <c r="J80" s="55" t="s">
        <v>1304</v>
      </c>
      <c r="K80" s="55" t="s">
        <v>1305</v>
      </c>
      <c r="L80" s="14" t="s">
        <v>1306</v>
      </c>
      <c r="M80" s="55" t="s">
        <v>1455</v>
      </c>
    </row>
    <row r="81" customFormat="false" ht="58.5" hidden="false" customHeight="true" outlineLevel="0" collapsed="false">
      <c r="A81" s="14" t="s">
        <v>1472</v>
      </c>
      <c r="B81" s="14" t="s">
        <v>690</v>
      </c>
      <c r="C81" s="32" t="s">
        <v>1473</v>
      </c>
      <c r="D81" s="32" t="s">
        <v>1474</v>
      </c>
      <c r="E81" s="14" t="s">
        <v>1407</v>
      </c>
      <c r="F81" s="15" t="n">
        <f aca="false">IFERROR(INDEX('दैनिक योजना'!$B$6:$B$552,MATCH(C81&amp;"*",'दैनिक योजना'!$M$6:$M$552,0)),"")</f>
        <v>46503</v>
      </c>
      <c r="G81" s="32" t="s">
        <v>692</v>
      </c>
      <c r="H81" s="55" t="s">
        <v>258</v>
      </c>
      <c r="I81" s="55" t="s">
        <v>259</v>
      </c>
      <c r="J81" s="55" t="s">
        <v>1304</v>
      </c>
      <c r="K81" s="55" t="s">
        <v>1305</v>
      </c>
      <c r="L81" s="14" t="s">
        <v>1306</v>
      </c>
      <c r="M81" s="55" t="s">
        <v>1475</v>
      </c>
    </row>
    <row r="82" customFormat="false" ht="58.5" hidden="false" customHeight="true" outlineLevel="0" collapsed="false">
      <c r="A82" s="14" t="s">
        <v>1476</v>
      </c>
      <c r="B82" s="14" t="s">
        <v>690</v>
      </c>
      <c r="C82" s="32" t="s">
        <v>177</v>
      </c>
      <c r="D82" s="32" t="s">
        <v>1477</v>
      </c>
      <c r="E82" s="14" t="s">
        <v>1407</v>
      </c>
      <c r="F82" s="15" t="n">
        <f aca="false">IFERROR(INDEX('दैनिक योजना'!$B$6:$B$552,MATCH(C82&amp;"*",'दैनिक योजना'!$M$6:$M$552,0)),"")</f>
        <v>46508</v>
      </c>
      <c r="G82" s="32" t="s">
        <v>692</v>
      </c>
      <c r="H82" s="55" t="s">
        <v>258</v>
      </c>
      <c r="I82" s="55" t="s">
        <v>259</v>
      </c>
      <c r="J82" s="55" t="s">
        <v>1304</v>
      </c>
      <c r="K82" s="55" t="s">
        <v>1305</v>
      </c>
      <c r="L82" s="14" t="s">
        <v>1306</v>
      </c>
      <c r="M82" s="55" t="s">
        <v>1475</v>
      </c>
    </row>
    <row r="83" customFormat="false" ht="58.5" hidden="false" customHeight="true" outlineLevel="0" collapsed="false">
      <c r="A83" s="14" t="s">
        <v>1478</v>
      </c>
      <c r="B83" s="14" t="s">
        <v>690</v>
      </c>
      <c r="C83" s="32" t="s">
        <v>1479</v>
      </c>
      <c r="D83" s="32" t="s">
        <v>1480</v>
      </c>
      <c r="E83" s="14" t="s">
        <v>1407</v>
      </c>
      <c r="F83" s="15" t="n">
        <f aca="false">IFERROR(INDEX('दैनिक योजना'!$B$6:$B$552,MATCH(C83&amp;"*",'दैनिक योजना'!$M$6:$M$552,0)),"")</f>
        <v>46518</v>
      </c>
      <c r="G83" s="32" t="s">
        <v>692</v>
      </c>
      <c r="H83" s="55" t="s">
        <v>258</v>
      </c>
      <c r="I83" s="55" t="s">
        <v>259</v>
      </c>
      <c r="J83" s="55" t="s">
        <v>1304</v>
      </c>
      <c r="K83" s="55" t="s">
        <v>1305</v>
      </c>
      <c r="L83" s="14" t="s">
        <v>1306</v>
      </c>
      <c r="M83" s="55" t="s">
        <v>1475</v>
      </c>
    </row>
    <row r="84" customFormat="false" ht="58.5" hidden="false" customHeight="true" outlineLevel="0" collapsed="false">
      <c r="A84" s="14" t="s">
        <v>1481</v>
      </c>
      <c r="B84" s="14" t="s">
        <v>898</v>
      </c>
      <c r="C84" s="32" t="s">
        <v>1482</v>
      </c>
      <c r="D84" s="32" t="s">
        <v>1483</v>
      </c>
      <c r="E84" s="14" t="s">
        <v>1484</v>
      </c>
      <c r="F84" s="15" t="n">
        <f aca="false">IFERROR(INDEX('दैनिक योजना'!$B$6:$B$552,MATCH(C84&amp;"*",'दैनिक योजना'!$M$6:$M$552,0)),"")</f>
        <v>46612</v>
      </c>
      <c r="G84" s="32" t="s">
        <v>900</v>
      </c>
      <c r="H84" s="55" t="s">
        <v>258</v>
      </c>
      <c r="I84" s="55" t="s">
        <v>259</v>
      </c>
      <c r="J84" s="55" t="s">
        <v>1304</v>
      </c>
      <c r="K84" s="55" t="s">
        <v>1305</v>
      </c>
      <c r="L84" s="14" t="s">
        <v>1306</v>
      </c>
      <c r="M84" s="55" t="s">
        <v>1485</v>
      </c>
    </row>
    <row r="85" customFormat="false" ht="58.5" hidden="false" customHeight="true" outlineLevel="0" collapsed="false">
      <c r="A85" s="14" t="s">
        <v>1486</v>
      </c>
      <c r="B85" s="14" t="s">
        <v>898</v>
      </c>
      <c r="C85" s="32" t="s">
        <v>1487</v>
      </c>
      <c r="D85" s="32" t="s">
        <v>1488</v>
      </c>
      <c r="E85" s="14" t="s">
        <v>1484</v>
      </c>
      <c r="F85" s="15" t="n">
        <f aca="false">IFERROR(INDEX('दैनिक योजना'!$B$6:$B$552,MATCH(C85&amp;"*",'दैनिक योजना'!$M$6:$M$552,0)),"")</f>
        <v>46617</v>
      </c>
      <c r="G85" s="32" t="s">
        <v>900</v>
      </c>
      <c r="H85" s="55" t="s">
        <v>258</v>
      </c>
      <c r="I85" s="55" t="s">
        <v>259</v>
      </c>
      <c r="J85" s="55" t="s">
        <v>1304</v>
      </c>
      <c r="K85" s="55" t="s">
        <v>1305</v>
      </c>
      <c r="L85" s="14" t="s">
        <v>1306</v>
      </c>
      <c r="M85" s="55" t="s">
        <v>1485</v>
      </c>
    </row>
    <row r="86" customFormat="false" ht="58.5" hidden="false" customHeight="true" outlineLevel="0" collapsed="false">
      <c r="A86" s="14" t="s">
        <v>1489</v>
      </c>
      <c r="B86" s="14" t="s">
        <v>898</v>
      </c>
      <c r="C86" s="32" t="s">
        <v>1490</v>
      </c>
      <c r="D86" s="32" t="s">
        <v>1491</v>
      </c>
      <c r="E86" s="14" t="s">
        <v>1484</v>
      </c>
      <c r="F86" s="15" t="n">
        <f aca="false">IFERROR(INDEX('दैनिक योजना'!$B$6:$B$552,MATCH(C86&amp;"*",'दैनिक योजना'!$M$6:$M$552,0)),"")</f>
        <v>46625</v>
      </c>
      <c r="G86" s="32" t="s">
        <v>900</v>
      </c>
      <c r="H86" s="55" t="s">
        <v>258</v>
      </c>
      <c r="I86" s="55" t="s">
        <v>259</v>
      </c>
      <c r="J86" s="55" t="s">
        <v>1304</v>
      </c>
      <c r="K86" s="55" t="s">
        <v>1305</v>
      </c>
      <c r="L86" s="14" t="s">
        <v>1306</v>
      </c>
      <c r="M86" s="55" t="s">
        <v>1485</v>
      </c>
    </row>
    <row r="87" customFormat="false" ht="58.5" hidden="false" customHeight="true" outlineLevel="0" collapsed="false">
      <c r="A87" s="14" t="s">
        <v>1492</v>
      </c>
      <c r="B87" s="14" t="s">
        <v>898</v>
      </c>
      <c r="C87" s="32" t="s">
        <v>187</v>
      </c>
      <c r="D87" s="32" t="s">
        <v>1493</v>
      </c>
      <c r="E87" s="14" t="s">
        <v>1484</v>
      </c>
      <c r="F87" s="15" t="n">
        <f aca="false">IFERROR(INDEX('दैनिक योजना'!$B$6:$B$552,MATCH(C87&amp;"*",'दैनिक योजना'!$M$6:$M$552,0)),"")</f>
        <v>46634</v>
      </c>
      <c r="G87" s="32" t="s">
        <v>900</v>
      </c>
      <c r="H87" s="55" t="s">
        <v>258</v>
      </c>
      <c r="I87" s="55" t="s">
        <v>259</v>
      </c>
      <c r="J87" s="55" t="s">
        <v>1304</v>
      </c>
      <c r="K87" s="55" t="s">
        <v>1305</v>
      </c>
      <c r="L87" s="14" t="s">
        <v>1306</v>
      </c>
      <c r="M87" s="55" t="s">
        <v>1485</v>
      </c>
    </row>
    <row r="88" customFormat="false" ht="58.5" hidden="false" customHeight="true" outlineLevel="0" collapsed="false">
      <c r="A88" s="14" t="s">
        <v>1494</v>
      </c>
      <c r="B88" s="14" t="s">
        <v>898</v>
      </c>
      <c r="C88" s="32" t="s">
        <v>1495</v>
      </c>
      <c r="D88" s="32" t="s">
        <v>1496</v>
      </c>
      <c r="E88" s="14" t="s">
        <v>1484</v>
      </c>
      <c r="F88" s="15" t="n">
        <f aca="false">IFERROR(INDEX('दैनिक योजना'!$B$6:$B$552,MATCH(C88&amp;"*",'दैनिक योजना'!$M$6:$M$552,0)),"")</f>
        <v>46644</v>
      </c>
      <c r="G88" s="32" t="s">
        <v>900</v>
      </c>
      <c r="H88" s="55" t="s">
        <v>258</v>
      </c>
      <c r="I88" s="55" t="s">
        <v>259</v>
      </c>
      <c r="J88" s="55" t="s">
        <v>1304</v>
      </c>
      <c r="K88" s="55" t="s">
        <v>1305</v>
      </c>
      <c r="L88" s="14" t="s">
        <v>1306</v>
      </c>
      <c r="M88" s="55" t="s">
        <v>1485</v>
      </c>
    </row>
    <row r="89" customFormat="false" ht="58.5" hidden="false" customHeight="true" outlineLevel="0" collapsed="false">
      <c r="A89" s="14" t="s">
        <v>1497</v>
      </c>
      <c r="B89" s="14" t="s">
        <v>898</v>
      </c>
      <c r="C89" s="32" t="s">
        <v>1498</v>
      </c>
      <c r="D89" s="32" t="s">
        <v>1499</v>
      </c>
      <c r="E89" s="14" t="s">
        <v>1484</v>
      </c>
      <c r="F89" s="15" t="n">
        <f aca="false">IFERROR(INDEX('दैनिक योजना'!$B$6:$B$552,MATCH(C89&amp;"*",'दैनिक योजना'!$M$6:$M$552,0)),"")</f>
        <v>46652</v>
      </c>
      <c r="G89" s="32" t="s">
        <v>900</v>
      </c>
      <c r="H89" s="55" t="s">
        <v>258</v>
      </c>
      <c r="I89" s="55" t="s">
        <v>259</v>
      </c>
      <c r="J89" s="55" t="s">
        <v>1304</v>
      </c>
      <c r="K89" s="55" t="s">
        <v>1305</v>
      </c>
      <c r="L89" s="14" t="s">
        <v>1306</v>
      </c>
      <c r="M89" s="55" t="s">
        <v>1485</v>
      </c>
    </row>
    <row r="90" customFormat="false" ht="58.5" hidden="false" customHeight="true" outlineLevel="0" collapsed="false">
      <c r="A90" s="14" t="s">
        <v>1500</v>
      </c>
      <c r="B90" s="14" t="s">
        <v>898</v>
      </c>
      <c r="C90" s="32" t="s">
        <v>191</v>
      </c>
      <c r="D90" s="32" t="s">
        <v>1501</v>
      </c>
      <c r="E90" s="14" t="s">
        <v>1484</v>
      </c>
      <c r="F90" s="15" t="n">
        <f aca="false">IFERROR(INDEX('दैनिक योजना'!$B$6:$B$552,MATCH(C90&amp;"*",'दैनिक योजना'!$M$6:$M$552,0)),"")</f>
        <v>46661</v>
      </c>
      <c r="G90" s="32" t="s">
        <v>900</v>
      </c>
      <c r="H90" s="55" t="s">
        <v>258</v>
      </c>
      <c r="I90" s="55" t="s">
        <v>259</v>
      </c>
      <c r="J90" s="55" t="s">
        <v>1304</v>
      </c>
      <c r="K90" s="55" t="s">
        <v>1305</v>
      </c>
      <c r="L90" s="14" t="s">
        <v>1306</v>
      </c>
      <c r="M90" s="55" t="s">
        <v>1485</v>
      </c>
    </row>
    <row r="91" customFormat="false" ht="58.5" hidden="false" customHeight="true" outlineLevel="0" collapsed="false">
      <c r="A91" s="14" t="s">
        <v>1502</v>
      </c>
      <c r="B91" s="14" t="s">
        <v>898</v>
      </c>
      <c r="C91" s="32" t="s">
        <v>192</v>
      </c>
      <c r="D91" s="32" t="s">
        <v>1503</v>
      </c>
      <c r="E91" s="14" t="s">
        <v>1484</v>
      </c>
      <c r="F91" s="15" t="n">
        <f aca="false">IFERROR(INDEX('दैनिक योजना'!$B$6:$B$552,MATCH(C91&amp;"*",'दैनिक योजना'!$M$6:$M$552,0)),"")</f>
        <v>46671</v>
      </c>
      <c r="G91" s="32" t="s">
        <v>900</v>
      </c>
      <c r="H91" s="55" t="s">
        <v>258</v>
      </c>
      <c r="I91" s="55" t="s">
        <v>259</v>
      </c>
      <c r="J91" s="55" t="s">
        <v>1304</v>
      </c>
      <c r="K91" s="55" t="s">
        <v>1305</v>
      </c>
      <c r="L91" s="14" t="s">
        <v>1306</v>
      </c>
      <c r="M91" s="55" t="s">
        <v>1485</v>
      </c>
    </row>
    <row r="92" customFormat="false" ht="58.5" hidden="false" customHeight="true" outlineLevel="0" collapsed="false">
      <c r="A92" s="14" t="s">
        <v>1504</v>
      </c>
      <c r="B92" s="14" t="s">
        <v>898</v>
      </c>
      <c r="C92" s="32" t="s">
        <v>1505</v>
      </c>
      <c r="D92" s="32" t="s">
        <v>1506</v>
      </c>
      <c r="E92" s="14" t="s">
        <v>1484</v>
      </c>
      <c r="F92" s="15" t="n">
        <f aca="false">IFERROR(INDEX('दैनिक योजना'!$B$6:$B$552,MATCH(C92&amp;"*",'दैनिक योजना'!$M$6:$M$552,0)),"")</f>
        <v>46679</v>
      </c>
      <c r="G92" s="32" t="s">
        <v>900</v>
      </c>
      <c r="H92" s="55" t="s">
        <v>258</v>
      </c>
      <c r="I92" s="55" t="s">
        <v>259</v>
      </c>
      <c r="J92" s="55" t="s">
        <v>1304</v>
      </c>
      <c r="K92" s="55" t="s">
        <v>1305</v>
      </c>
      <c r="L92" s="14" t="s">
        <v>1306</v>
      </c>
      <c r="M92" s="55" t="s">
        <v>1485</v>
      </c>
    </row>
    <row r="93" customFormat="false" ht="58.5" hidden="false" customHeight="true" outlineLevel="0" collapsed="false">
      <c r="A93" s="14" t="s">
        <v>1507</v>
      </c>
      <c r="B93" s="14" t="s">
        <v>898</v>
      </c>
      <c r="C93" s="32" t="s">
        <v>1508</v>
      </c>
      <c r="D93" s="32" t="s">
        <v>1509</v>
      </c>
      <c r="E93" s="14" t="s">
        <v>1484</v>
      </c>
      <c r="F93" s="15" t="n">
        <f aca="false">IFERROR(INDEX('दैनिक योजना'!$B$6:$B$552,MATCH(C93&amp;"*",'दैनिक योजना'!$M$6:$M$552,0)),"")</f>
        <v>46688</v>
      </c>
      <c r="G93" s="32" t="s">
        <v>900</v>
      </c>
      <c r="H93" s="55" t="s">
        <v>258</v>
      </c>
      <c r="I93" s="55" t="s">
        <v>259</v>
      </c>
      <c r="J93" s="55" t="s">
        <v>1304</v>
      </c>
      <c r="K93" s="55" t="s">
        <v>1305</v>
      </c>
      <c r="L93" s="14" t="s">
        <v>1306</v>
      </c>
      <c r="M93" s="55" t="s">
        <v>1485</v>
      </c>
    </row>
    <row r="94" customFormat="false" ht="58.5" hidden="false" customHeight="true" outlineLevel="0" collapsed="false">
      <c r="A94" s="14" t="s">
        <v>1510</v>
      </c>
      <c r="B94" s="14" t="s">
        <v>898</v>
      </c>
      <c r="C94" s="32" t="s">
        <v>1511</v>
      </c>
      <c r="D94" s="32" t="s">
        <v>1512</v>
      </c>
      <c r="E94" s="14" t="s">
        <v>1484</v>
      </c>
      <c r="F94" s="15" t="n">
        <f aca="false">IFERROR(INDEX('दैनिक योजना'!$B$6:$B$552,MATCH(C94&amp;"*",'दैनिक योजना'!$M$6:$M$552,0)),"")</f>
        <v>46696</v>
      </c>
      <c r="G94" s="32" t="s">
        <v>900</v>
      </c>
      <c r="H94" s="55" t="s">
        <v>258</v>
      </c>
      <c r="I94" s="55" t="s">
        <v>259</v>
      </c>
      <c r="J94" s="55" t="s">
        <v>1304</v>
      </c>
      <c r="K94" s="55" t="s">
        <v>1305</v>
      </c>
      <c r="L94" s="14" t="s">
        <v>1306</v>
      </c>
      <c r="M94" s="55" t="s">
        <v>1485</v>
      </c>
    </row>
    <row r="95" customFormat="false" ht="58.5" hidden="false" customHeight="true" outlineLevel="0" collapsed="false">
      <c r="A95" s="14" t="s">
        <v>1513</v>
      </c>
      <c r="B95" s="14" t="s">
        <v>898</v>
      </c>
      <c r="C95" s="32" t="s">
        <v>1514</v>
      </c>
      <c r="D95" s="32" t="s">
        <v>1515</v>
      </c>
      <c r="E95" s="14" t="s">
        <v>1484</v>
      </c>
      <c r="F95" s="15" t="n">
        <f aca="false">IFERROR(INDEX('दैनिक योजना'!$B$6:$B$552,MATCH(C95&amp;"*",'दैनिक योजना'!$M$6:$M$552,0)),"")</f>
        <v>46701</v>
      </c>
      <c r="G95" s="32" t="s">
        <v>900</v>
      </c>
      <c r="H95" s="55" t="s">
        <v>258</v>
      </c>
      <c r="I95" s="55" t="s">
        <v>259</v>
      </c>
      <c r="J95" s="55" t="s">
        <v>1304</v>
      </c>
      <c r="K95" s="55" t="s">
        <v>1305</v>
      </c>
      <c r="L95" s="14" t="s">
        <v>1306</v>
      </c>
      <c r="M95" s="55" t="s">
        <v>1485</v>
      </c>
    </row>
  </sheetData>
  <autoFilter ref="A5:M95"/>
  <dataValidations count="1">
    <dataValidation allowBlank="false" errorStyle="stop" operator="between" showDropDown="false" showErrorMessage="false" showInputMessage="false" sqref="L6:L95" type="list">
      <formula1>"नहीं,जारी,हाँ"</formula1>
      <formula2>0</formula2>
    </dataValidation>
  </dataValidations>
  <hyperlinks>
    <hyperlink ref="H6" r:id="rId1" display="▶ दृष्टि IAS"/>
    <hyperlink ref="I6" r:id="rId2" display="▶ BPSC वाला"/>
    <hyperlink ref="J6" r:id="rId3" display="▶ विजन IAS"/>
    <hyperlink ref="K6" r:id="rId4" display="▶ EduTeria"/>
    <hyperlink ref="M6" r:id="rId5" display="📖 पढ़ें: दृष्टि • विजन • NCERT • जागरण जोश • GKToday"/>
    <hyperlink ref="H7" r:id="rId6" display="▶ दृष्टि IAS"/>
    <hyperlink ref="I7" r:id="rId7" display="▶ BPSC वाला"/>
    <hyperlink ref="J7" r:id="rId8" display="▶ विजन IAS"/>
    <hyperlink ref="K7" r:id="rId9" display="▶ EduTeria"/>
    <hyperlink ref="M7" r:id="rId10" display="📖 पढ़ें: दृष्टि • विजन • NCERT • जागरण जोश • GKToday"/>
    <hyperlink ref="H8" r:id="rId11" display="▶ दृष्टि IAS"/>
    <hyperlink ref="I8" r:id="rId12" display="▶ BPSC वाला"/>
    <hyperlink ref="J8" r:id="rId13" display="▶ विजन IAS"/>
    <hyperlink ref="K8" r:id="rId14" display="▶ EduTeria"/>
    <hyperlink ref="M8" r:id="rId15" display="📖 पढ़ें: दृष्टि • विजन • NCERT • जागरण जोश • GKToday"/>
    <hyperlink ref="H9" r:id="rId16" display="▶ दृष्टि IAS"/>
    <hyperlink ref="I9" r:id="rId17" display="▶ BPSC वाला"/>
    <hyperlink ref="J9" r:id="rId18" display="▶ विजन IAS"/>
    <hyperlink ref="K9" r:id="rId19" display="▶ EduTeria"/>
    <hyperlink ref="M9" r:id="rId20" display="📖 पढ़ें: दृष्टि • विजन • NCERT • जागरण जोश • GKToday"/>
    <hyperlink ref="H10" r:id="rId21" display="▶ दृष्टि IAS"/>
    <hyperlink ref="I10" r:id="rId22" display="▶ BPSC वाला"/>
    <hyperlink ref="J10" r:id="rId23" display="▶ विजन IAS"/>
    <hyperlink ref="K10" r:id="rId24" display="▶ EduTeria"/>
    <hyperlink ref="M10" r:id="rId25" display="📖 पढ़ें: दृष्टि • विजन • NCERT • जागरण जोश • GKToday"/>
    <hyperlink ref="H11" r:id="rId26" display="▶ दृष्टि IAS"/>
    <hyperlink ref="I11" r:id="rId27" display="▶ BPSC वाला"/>
    <hyperlink ref="J11" r:id="rId28" display="▶ विजन IAS"/>
    <hyperlink ref="K11" r:id="rId29" display="▶ EduTeria"/>
    <hyperlink ref="M11" r:id="rId30" display="📖 पढ़ें: दृष्टि • विजन • NCERT • जागरण जोश • GKToday"/>
    <hyperlink ref="H12" r:id="rId31" display="▶ दृष्टि IAS"/>
    <hyperlink ref="I12" r:id="rId32" display="▶ BPSC वाला"/>
    <hyperlink ref="J12" r:id="rId33" display="▶ विजन IAS"/>
    <hyperlink ref="K12" r:id="rId34" display="▶ EduTeria"/>
    <hyperlink ref="M12" r:id="rId35" display="📖 पढ़ें: दृष्टि • विजन • NCERT • जागरण जोश • GKToday"/>
    <hyperlink ref="H13" r:id="rId36" display="▶ दृष्टि IAS"/>
    <hyperlink ref="I13" r:id="rId37" display="▶ BPSC वाला"/>
    <hyperlink ref="J13" r:id="rId38" display="▶ विजन IAS"/>
    <hyperlink ref="K13" r:id="rId39" display="▶ EduTeria"/>
    <hyperlink ref="M13" r:id="rId40" display="📖 पढ़ें: दृष्टि • विजन • NCERT • जागरण जोश • GKToday"/>
    <hyperlink ref="H14" r:id="rId41" display="▶ दृष्टि IAS"/>
    <hyperlink ref="I14" r:id="rId42" display="▶ BPSC वाला"/>
    <hyperlink ref="J14" r:id="rId43" display="▶ विजन IAS"/>
    <hyperlink ref="K14" r:id="rId44" display="▶ EduTeria"/>
    <hyperlink ref="M14" r:id="rId45" display="📖 पढ़ें: दृष्टि • विजन • NCERT • जागरण जोश • GKToday"/>
    <hyperlink ref="H15" r:id="rId46" display="▶ दृष्टि IAS"/>
    <hyperlink ref="I15" r:id="rId47" display="▶ BPSC वाला"/>
    <hyperlink ref="J15" r:id="rId48" display="▶ विजन IAS"/>
    <hyperlink ref="K15" r:id="rId49" display="▶ EduTeria"/>
    <hyperlink ref="M15" r:id="rId50" display="📖 पढ़ें: दृष्टि • विजन • NCERT • जागरण जोश • GKToday"/>
    <hyperlink ref="H16" r:id="rId51" display="▶ दृष्टि IAS"/>
    <hyperlink ref="I16" r:id="rId52" display="▶ BPSC वाला"/>
    <hyperlink ref="J16" r:id="rId53" display="▶ विजन IAS"/>
    <hyperlink ref="K16" r:id="rId54" display="▶ EduTeria"/>
    <hyperlink ref="M16" r:id="rId55" display="📖 पढ़ें: दृष्टि • विजन • NCERT • जागरण जोश • GKToday"/>
    <hyperlink ref="H17" r:id="rId56" display="▶ दृष्टि IAS"/>
    <hyperlink ref="I17" r:id="rId57" display="▶ BPSC वाला"/>
    <hyperlink ref="J17" r:id="rId58" display="▶ विजन IAS"/>
    <hyperlink ref="K17" r:id="rId59" display="▶ EduTeria"/>
    <hyperlink ref="M17" r:id="rId60" display="📖 पढ़ें: दृष्टि • विजन • NCERT • जागरण जोश • GKToday"/>
    <hyperlink ref="H18" r:id="rId61" display="▶ दृष्टि IAS"/>
    <hyperlink ref="I18" r:id="rId62" display="▶ BPSC वाला"/>
    <hyperlink ref="J18" r:id="rId63" display="▶ विजन IAS"/>
    <hyperlink ref="K18" r:id="rId64" display="▶ EduTeria"/>
    <hyperlink ref="M18" r:id="rId65" display="📖 पढ़ें: दृष्टि • विजन • NCERT • जागरण जोश • GKToday"/>
    <hyperlink ref="H19" r:id="rId66" display="▶ दृष्टि IAS"/>
    <hyperlink ref="I19" r:id="rId67" display="▶ BPSC वाला"/>
    <hyperlink ref="J19" r:id="rId68" display="▶ विजन IAS"/>
    <hyperlink ref="K19" r:id="rId69" display="▶ EduTeria"/>
    <hyperlink ref="M19" r:id="rId70" display="📖 पढ़ें: दृष्टि • विजन • NCERT • जागरण जोश • GKToday"/>
    <hyperlink ref="H20" r:id="rId71" display="▶ दृष्टि IAS"/>
    <hyperlink ref="I20" r:id="rId72" display="▶ BPSC वाला"/>
    <hyperlink ref="J20" r:id="rId73" display="▶ विजन IAS"/>
    <hyperlink ref="K20" r:id="rId74" display="▶ EduTeria"/>
    <hyperlink ref="M20" r:id="rId75" display="📖 पढ़ें: दृष्टि • विजन • NCERT • जागरण जोश • GKToday"/>
    <hyperlink ref="H21" r:id="rId76" display="▶ दृष्टि IAS"/>
    <hyperlink ref="I21" r:id="rId77" display="▶ BPSC वाला"/>
    <hyperlink ref="J21" r:id="rId78" display="▶ विजन IAS"/>
    <hyperlink ref="K21" r:id="rId79" display="▶ EduTeria"/>
    <hyperlink ref="M21" r:id="rId80" display="📖 पढ़ें: दृष्टि • विजन • NCERT • जागरण जोश • GKToday"/>
    <hyperlink ref="H22" r:id="rId81" display="▶ दृष्टि IAS"/>
    <hyperlink ref="I22" r:id="rId82" display="▶ BPSC वाला"/>
    <hyperlink ref="J22" r:id="rId83" display="▶ विजन IAS"/>
    <hyperlink ref="K22" r:id="rId84" display="▶ EduTeria"/>
    <hyperlink ref="M22" r:id="rId85" display="📖 पढ़ें: दृष्टि • विजन • NCERT • जागरण जोश • GKToday"/>
    <hyperlink ref="H23" r:id="rId86" display="▶ दृष्टि IAS"/>
    <hyperlink ref="I23" r:id="rId87" display="▶ BPSC वाला"/>
    <hyperlink ref="J23" r:id="rId88" display="▶ विजन IAS"/>
    <hyperlink ref="K23" r:id="rId89" display="▶ EduTeria"/>
    <hyperlink ref="M23" r:id="rId90" display="📖 पढ़ें: दृष्टि • विजन • NCERT • जागरण जोश • GKToday"/>
    <hyperlink ref="H24" r:id="rId91" display="▶ दृष्टि IAS"/>
    <hyperlink ref="I24" r:id="rId92" display="▶ BPSC वाला"/>
    <hyperlink ref="J24" r:id="rId93" display="▶ विजन IAS"/>
    <hyperlink ref="K24" r:id="rId94" display="▶ EduTeria"/>
    <hyperlink ref="M24" r:id="rId95" display="📖 पढ़ें: दृष्टि • विजन • NCERT • जागरण जोश • GKToday"/>
    <hyperlink ref="H25" r:id="rId96" display="▶ दृष्टि IAS"/>
    <hyperlink ref="I25" r:id="rId97" display="▶ BPSC वाला"/>
    <hyperlink ref="J25" r:id="rId98" display="▶ विजन IAS"/>
    <hyperlink ref="K25" r:id="rId99" display="▶ EduTeria"/>
    <hyperlink ref="M25" r:id="rId100" display="📖 पढ़ें: दृष्टि • विजन • NCERT • जागरण जोश • GKToday"/>
    <hyperlink ref="H26" r:id="rId101" display="▶ दृष्टि IAS"/>
    <hyperlink ref="I26" r:id="rId102" display="▶ BPSC वाला"/>
    <hyperlink ref="J26" r:id="rId103" display="▶ विजन IAS"/>
    <hyperlink ref="K26" r:id="rId104" display="▶ EduTeria"/>
    <hyperlink ref="M26" r:id="rId105" display="📖 पढ़ें: दृष्टि • विजन • NCERT • जागरण जोश • GKToday"/>
    <hyperlink ref="H27" r:id="rId106" display="▶ दृष्टि IAS"/>
    <hyperlink ref="I27" r:id="rId107" display="▶ BPSC वाला"/>
    <hyperlink ref="J27" r:id="rId108" display="▶ विजन IAS"/>
    <hyperlink ref="K27" r:id="rId109" display="▶ EduTeria"/>
    <hyperlink ref="M27" r:id="rId110" display="📖 पढ़ें: दृष्टि • विजन • NCERT • जागरण जोश • GKToday"/>
    <hyperlink ref="H28" r:id="rId111" display="▶ दृष्टि IAS"/>
    <hyperlink ref="I28" r:id="rId112" display="▶ BPSC वाला"/>
    <hyperlink ref="J28" r:id="rId113" display="▶ विजन IAS"/>
    <hyperlink ref="K28" r:id="rId114" display="▶ EduTeria"/>
    <hyperlink ref="M28" r:id="rId115" display="📖 पढ़ें: दृष्टि • विजन • NCERT • जागरण जोश • GKToday"/>
    <hyperlink ref="H29" r:id="rId116" display="▶ दृष्टि IAS"/>
    <hyperlink ref="I29" r:id="rId117" display="▶ BPSC वाला"/>
    <hyperlink ref="J29" r:id="rId118" display="▶ विजन IAS"/>
    <hyperlink ref="K29" r:id="rId119" display="▶ EduTeria"/>
    <hyperlink ref="M29" r:id="rId120" display="📖 पढ़ें: दृष्टि • विजन • NCERT • जागरण जोश • GKToday"/>
    <hyperlink ref="H30" r:id="rId121" display="▶ दृष्टि IAS"/>
    <hyperlink ref="I30" r:id="rId122" display="▶ BPSC वाला"/>
    <hyperlink ref="J30" r:id="rId123" display="▶ विजन IAS"/>
    <hyperlink ref="K30" r:id="rId124" display="▶ EduTeria"/>
    <hyperlink ref="M30" r:id="rId125" display="📖 पढ़ें: दृष्टि • विजन • NCERT • जागरण जोश • GKToday"/>
    <hyperlink ref="H31" r:id="rId126" display="▶ दृष्टि IAS"/>
    <hyperlink ref="I31" r:id="rId127" display="▶ BPSC वाला"/>
    <hyperlink ref="J31" r:id="rId128" display="▶ विजन IAS"/>
    <hyperlink ref="K31" r:id="rId129" display="▶ EduTeria"/>
    <hyperlink ref="M31" r:id="rId130" display="📖 पढ़ें: दृष्टि • विजन • NCERT • जागरण जोश • GKToday"/>
    <hyperlink ref="H32" r:id="rId131" display="▶ दृष्टि IAS"/>
    <hyperlink ref="I32" r:id="rId132" display="▶ BPSC वाला"/>
    <hyperlink ref="J32" r:id="rId133" display="▶ विजन IAS"/>
    <hyperlink ref="K32" r:id="rId134" display="▶ EduTeria"/>
    <hyperlink ref="M32" r:id="rId135" display="📖 पढ़ें: दृष्टि • विजन • NCERT • जागरण जोश • GKToday"/>
    <hyperlink ref="H33" r:id="rId136" display="▶ दृष्टि IAS"/>
    <hyperlink ref="I33" r:id="rId137" display="▶ BPSC वाला"/>
    <hyperlink ref="J33" r:id="rId138" display="▶ विजन IAS"/>
    <hyperlink ref="K33" r:id="rId139" display="▶ EduTeria"/>
    <hyperlink ref="M33" r:id="rId140" display="📖 पढ़ें: दृष्टि • विजन • NCERT • जागरण जोश • GKToday"/>
    <hyperlink ref="H34" r:id="rId141" display="▶ दृष्टि IAS"/>
    <hyperlink ref="I34" r:id="rId142" display="▶ BPSC वाला"/>
    <hyperlink ref="J34" r:id="rId143" display="▶ विजन IAS"/>
    <hyperlink ref="K34" r:id="rId144" display="▶ EduTeria"/>
    <hyperlink ref="M34" r:id="rId145" display="📖 पढ़ें: दृष्टि • विजन • NCERT • जागरण जोश • GKToday"/>
    <hyperlink ref="H35" r:id="rId146" display="▶ दृष्टि IAS"/>
    <hyperlink ref="I35" r:id="rId147" display="▶ BPSC वाला"/>
    <hyperlink ref="J35" r:id="rId148" display="▶ विजन IAS"/>
    <hyperlink ref="K35" r:id="rId149" display="▶ EduTeria"/>
    <hyperlink ref="M35" r:id="rId150" display="📖 पढ़ें: दृष्टि • विजन • NCERT • जागरण जोश • GKToday"/>
    <hyperlink ref="H36" r:id="rId151" display="▶ दृष्टि IAS"/>
    <hyperlink ref="I36" r:id="rId152" display="▶ BPSC वाला"/>
    <hyperlink ref="J36" r:id="rId153" display="▶ विजन IAS"/>
    <hyperlink ref="K36" r:id="rId154" display="▶ EduTeria"/>
    <hyperlink ref="M36" r:id="rId155" display="📖 पढ़ें: दृष्टि • विजन • NCERT • जागरण जोश • GKToday"/>
    <hyperlink ref="H37" r:id="rId156" display="▶ दृष्टि IAS"/>
    <hyperlink ref="I37" r:id="rId157" display="▶ BPSC वाला"/>
    <hyperlink ref="J37" r:id="rId158" display="▶ विजन IAS"/>
    <hyperlink ref="K37" r:id="rId159" display="▶ EduTeria"/>
    <hyperlink ref="M37" r:id="rId160" display="📖 पढ़ें: दृष्टि • विजन • NCERT • जागरण जोश • GKToday"/>
    <hyperlink ref="H38" r:id="rId161" display="▶ दृष्टि IAS"/>
    <hyperlink ref="I38" r:id="rId162" display="▶ BPSC वाला"/>
    <hyperlink ref="J38" r:id="rId163" display="▶ विजन IAS"/>
    <hyperlink ref="K38" r:id="rId164" display="▶ EduTeria"/>
    <hyperlink ref="M38" r:id="rId165" display="📖 पढ़ें: दृष्टि • विजन • NCERT • जागरण जोश • GKToday"/>
    <hyperlink ref="H39" r:id="rId166" display="▶ दृष्टि IAS"/>
    <hyperlink ref="I39" r:id="rId167" display="▶ BPSC वाला"/>
    <hyperlink ref="J39" r:id="rId168" display="▶ विजन IAS"/>
    <hyperlink ref="K39" r:id="rId169" display="▶ EduTeria"/>
    <hyperlink ref="M39" r:id="rId170" display="📖 पढ़ें: दृष्टि • विजन • NCERT • जागरण जोश • GKToday"/>
    <hyperlink ref="H40" r:id="rId171" display="▶ दृष्टि IAS"/>
    <hyperlink ref="I40" r:id="rId172" display="▶ BPSC वाला"/>
    <hyperlink ref="J40" r:id="rId173" display="▶ विजन IAS"/>
    <hyperlink ref="K40" r:id="rId174" display="▶ EduTeria"/>
    <hyperlink ref="M40" r:id="rId175" display="📖 पढ़ें: दृष्टि • विजन • NCERT • जागरण जोश • GKToday"/>
    <hyperlink ref="H41" r:id="rId176" display="▶ दृष्टि IAS"/>
    <hyperlink ref="I41" r:id="rId177" display="▶ BPSC वाला"/>
    <hyperlink ref="J41" r:id="rId178" display="▶ विजन IAS"/>
    <hyperlink ref="K41" r:id="rId179" display="▶ EduTeria"/>
    <hyperlink ref="M41" r:id="rId180" display="📖 पढ़ें: दृष्टि • विजन • NCERT • जागरण जोश • GKToday"/>
    <hyperlink ref="H42" r:id="rId181" display="▶ दृष्टि IAS"/>
    <hyperlink ref="I42" r:id="rId182" display="▶ BPSC वाला"/>
    <hyperlink ref="J42" r:id="rId183" display="▶ विजन IAS"/>
    <hyperlink ref="K42" r:id="rId184" display="▶ EduTeria"/>
    <hyperlink ref="M42" r:id="rId185" display="📖 पढ़ें: दृष्टि • विजन • NCERT • जागरण जोश • GKToday"/>
    <hyperlink ref="H43" r:id="rId186" display="▶ दृष्टि IAS"/>
    <hyperlink ref="I43" r:id="rId187" display="▶ BPSC वाला"/>
    <hyperlink ref="J43" r:id="rId188" display="▶ विजन IAS"/>
    <hyperlink ref="K43" r:id="rId189" display="▶ EduTeria"/>
    <hyperlink ref="M43" r:id="rId190" display="📖 पढ़ें: दृष्टि • विजन • NCERT • जागरण जोश • GKToday"/>
    <hyperlink ref="H44" r:id="rId191" display="▶ दृष्टि IAS"/>
    <hyperlink ref="I44" r:id="rId192" display="▶ BPSC वाला"/>
    <hyperlink ref="J44" r:id="rId193" display="▶ विजन IAS"/>
    <hyperlink ref="K44" r:id="rId194" display="▶ EduTeria"/>
    <hyperlink ref="M44" r:id="rId195" display="📖 पढ़ें: दृष्टि • विजन • NCERT • जागरण जोश • GKToday"/>
    <hyperlink ref="H45" r:id="rId196" display="▶ दृष्टि IAS"/>
    <hyperlink ref="I45" r:id="rId197" display="▶ BPSC वाला"/>
    <hyperlink ref="J45" r:id="rId198" display="▶ विजन IAS"/>
    <hyperlink ref="K45" r:id="rId199" display="▶ EduTeria"/>
    <hyperlink ref="M45" r:id="rId200" display="📖 पढ़ें: दृष्टि • विजन • NCERT • जागरण जोश • GKToday"/>
    <hyperlink ref="H46" r:id="rId201" display="▶ दृष्टि IAS"/>
    <hyperlink ref="I46" r:id="rId202" display="▶ BPSC वाला"/>
    <hyperlink ref="J46" r:id="rId203" display="▶ विजन IAS"/>
    <hyperlink ref="K46" r:id="rId204" display="▶ EduTeria"/>
    <hyperlink ref="M46" r:id="rId205" display="📖 पढ़ें: दृष्टि • विजन • NCERT • जागरण जोश • GKToday"/>
    <hyperlink ref="H47" r:id="rId206" display="▶ दृष्टि IAS"/>
    <hyperlink ref="I47" r:id="rId207" display="▶ BPSC वाला"/>
    <hyperlink ref="J47" r:id="rId208" display="▶ विजन IAS"/>
    <hyperlink ref="K47" r:id="rId209" display="▶ EduTeria"/>
    <hyperlink ref="M47" r:id="rId210" display="📖 पढ़ें: दृष्टि • विजन • NCERT • जागरण जोश • GKToday"/>
    <hyperlink ref="H48" r:id="rId211" display="▶ दृष्टि IAS"/>
    <hyperlink ref="I48" r:id="rId212" display="▶ BPSC वाला"/>
    <hyperlink ref="J48" r:id="rId213" display="▶ विजन IAS"/>
    <hyperlink ref="K48" r:id="rId214" display="▶ EduTeria"/>
    <hyperlink ref="M48" r:id="rId215" display="📖 पढ़ें: दृष्टि • विजन • NCERT • जागरण जोश • GKToday"/>
    <hyperlink ref="H49" r:id="rId216" display="▶ दृष्टि IAS"/>
    <hyperlink ref="I49" r:id="rId217" display="▶ BPSC वाला"/>
    <hyperlink ref="J49" r:id="rId218" display="▶ विजन IAS"/>
    <hyperlink ref="K49" r:id="rId219" display="▶ EduTeria"/>
    <hyperlink ref="M49" r:id="rId220" display="📖 पढ़ें: दृष्टि • विजन • NCERT • जागरण जोश • GKToday"/>
    <hyperlink ref="H50" r:id="rId221" display="▶ दृष्टि IAS"/>
    <hyperlink ref="I50" r:id="rId222" display="▶ BPSC वाला"/>
    <hyperlink ref="J50" r:id="rId223" display="▶ विजन IAS"/>
    <hyperlink ref="K50" r:id="rId224" display="▶ EduTeria"/>
    <hyperlink ref="M50" r:id="rId225" display="📖 पढ़ें: दृष्टि • विजन • NCERT • जागरण जोश • GKToday"/>
    <hyperlink ref="H51" r:id="rId226" display="▶ दृष्टि IAS"/>
    <hyperlink ref="I51" r:id="rId227" display="▶ BPSC वाला"/>
    <hyperlink ref="J51" r:id="rId228" display="▶ विजन IAS"/>
    <hyperlink ref="K51" r:id="rId229" display="▶ EduTeria"/>
    <hyperlink ref="M51" r:id="rId230" display="📖 पढ़ें: दृष्टि • विजन • NCERT • जागरण जोश • GKToday"/>
    <hyperlink ref="H52" r:id="rId231" display="▶ दृष्टि IAS"/>
    <hyperlink ref="I52" r:id="rId232" display="▶ BPSC वाला"/>
    <hyperlink ref="J52" r:id="rId233" display="▶ विजन IAS"/>
    <hyperlink ref="K52" r:id="rId234" display="▶ EduTeria"/>
    <hyperlink ref="M52" r:id="rId235" display="📖 पढ़ें: दृष्टि • विजन • NCERT • जागरण जोश • GKToday"/>
    <hyperlink ref="H53" r:id="rId236" display="▶ दृष्टि IAS"/>
    <hyperlink ref="I53" r:id="rId237" display="▶ BPSC वाला"/>
    <hyperlink ref="J53" r:id="rId238" display="▶ विजन IAS"/>
    <hyperlink ref="K53" r:id="rId239" display="▶ EduTeria"/>
    <hyperlink ref="M53" r:id="rId240" display="📖 पढ़ें: दृष्टि • विजन • NCERT • जागरण जोश • GKToday"/>
    <hyperlink ref="H54" r:id="rId241" display="▶ दृष्टि IAS"/>
    <hyperlink ref="I54" r:id="rId242" display="▶ BPSC वाला"/>
    <hyperlink ref="J54" r:id="rId243" display="▶ विजन IAS"/>
    <hyperlink ref="K54" r:id="rId244" display="▶ EduTeria"/>
    <hyperlink ref="M54" r:id="rId245" display="📖 पढ़ें: दृष्टि • विजन • NCERT • जागरण जोश • GKToday"/>
    <hyperlink ref="H55" r:id="rId246" display="▶ दृष्टि IAS"/>
    <hyperlink ref="I55" r:id="rId247" display="▶ BPSC वाला"/>
    <hyperlink ref="J55" r:id="rId248" display="▶ विजन IAS"/>
    <hyperlink ref="K55" r:id="rId249" display="▶ EduTeria"/>
    <hyperlink ref="M55" r:id="rId250" display="📖 पढ़ें: दृष्टि • विजन • NCERT • जागरण जोश • GKToday"/>
    <hyperlink ref="H56" r:id="rId251" display="▶ दृष्टि IAS"/>
    <hyperlink ref="I56" r:id="rId252" display="▶ BPSC वाला"/>
    <hyperlink ref="J56" r:id="rId253" display="▶ विजन IAS"/>
    <hyperlink ref="K56" r:id="rId254" display="▶ EduTeria"/>
    <hyperlink ref="M56" r:id="rId255" display="📖 पढ़ें: दृष्टि • विजन • NCERT • जागरण जोश • GKToday"/>
    <hyperlink ref="H57" r:id="rId256" display="▶ दृष्टि IAS"/>
    <hyperlink ref="I57" r:id="rId257" display="▶ BPSC वाला"/>
    <hyperlink ref="J57" r:id="rId258" display="▶ विजन IAS"/>
    <hyperlink ref="K57" r:id="rId259" display="▶ EduTeria"/>
    <hyperlink ref="M57" r:id="rId260" display="📖 पढ़ें: दृष्टि • विजन • NCERT • जागरण जोश • GKToday"/>
    <hyperlink ref="H58" r:id="rId261" display="▶ दृष्टि IAS"/>
    <hyperlink ref="I58" r:id="rId262" display="▶ BPSC वाला"/>
    <hyperlink ref="J58" r:id="rId263" display="▶ विजन IAS"/>
    <hyperlink ref="K58" r:id="rId264" display="▶ EduTeria"/>
    <hyperlink ref="M58" r:id="rId265" display="📖 पढ़ें: दृष्टि • जागरण जोश • GKToday • Testbook • बिहार सरकार"/>
    <hyperlink ref="H59" r:id="rId266" display="▶ दृष्टि IAS"/>
    <hyperlink ref="I59" r:id="rId267" display="▶ BPSC वाला"/>
    <hyperlink ref="J59" r:id="rId268" display="▶ विजन IAS"/>
    <hyperlink ref="K59" r:id="rId269" display="▶ EduTeria"/>
    <hyperlink ref="M59" r:id="rId270" display="📖 पढ़ें: दृष्टि • जागरण जोश • GKToday • Testbook • बिहार सरकार"/>
    <hyperlink ref="H60" r:id="rId271" display="▶ दृष्टि IAS"/>
    <hyperlink ref="I60" r:id="rId272" display="▶ BPSC वाला"/>
    <hyperlink ref="J60" r:id="rId273" display="▶ विजन IAS"/>
    <hyperlink ref="K60" r:id="rId274" display="▶ EduTeria"/>
    <hyperlink ref="M60" r:id="rId275" display="📖 पढ़ें: दृष्टि • जागरण जोश • GKToday • Testbook • बिहार सरकार"/>
    <hyperlink ref="H61" r:id="rId276" display="▶ दृष्टि IAS"/>
    <hyperlink ref="I61" r:id="rId277" display="▶ BPSC वाला"/>
    <hyperlink ref="J61" r:id="rId278" display="▶ विजन IAS"/>
    <hyperlink ref="K61" r:id="rId279" display="▶ EduTeria"/>
    <hyperlink ref="M61" r:id="rId280" display="📖 पढ़ें: दृष्टि • जागरण जोश • GKToday • Testbook • बिहार सरकार"/>
    <hyperlink ref="H62" r:id="rId281" display="▶ दृष्टि IAS"/>
    <hyperlink ref="I62" r:id="rId282" display="▶ BPSC वाला"/>
    <hyperlink ref="J62" r:id="rId283" display="▶ विजन IAS"/>
    <hyperlink ref="K62" r:id="rId284" display="▶ EduTeria"/>
    <hyperlink ref="M62" r:id="rId285" display="📖 पढ़ें: दृष्टि • जागरण जोश • GKToday • Testbook • बिहार सरकार"/>
    <hyperlink ref="H63" r:id="rId286" display="▶ दृष्टि IAS"/>
    <hyperlink ref="I63" r:id="rId287" display="▶ BPSC वाला"/>
    <hyperlink ref="J63" r:id="rId288" display="▶ विजन IAS"/>
    <hyperlink ref="K63" r:id="rId289" display="▶ EduTeria"/>
    <hyperlink ref="M63" r:id="rId290" display="📖 पढ़ें: दृष्टि • जागरण जोश • GKToday • Testbook • बिहार सरकार"/>
    <hyperlink ref="H64" r:id="rId291" display="▶ दृष्टि IAS"/>
    <hyperlink ref="I64" r:id="rId292" display="▶ BPSC वाला"/>
    <hyperlink ref="J64" r:id="rId293" display="▶ विजन IAS"/>
    <hyperlink ref="K64" r:id="rId294" display="▶ EduTeria"/>
    <hyperlink ref="M64" r:id="rId295" display="📖 पढ़ें: दृष्टि • जागरण जोश • GKToday • Testbook • बिहार सरकार"/>
    <hyperlink ref="H65" r:id="rId296" display="▶ दृष्टि IAS"/>
    <hyperlink ref="I65" r:id="rId297" display="▶ BPSC वाला"/>
    <hyperlink ref="J65" r:id="rId298" display="▶ विजन IAS"/>
    <hyperlink ref="K65" r:id="rId299" display="▶ EduTeria"/>
    <hyperlink ref="M65" r:id="rId300" display="📖 पढ़ें: दृष्टि • जागरण जोश • GKToday • Testbook • बिहार सरकार"/>
    <hyperlink ref="H66" r:id="rId301" display="▶ दृष्टि IAS"/>
    <hyperlink ref="I66" r:id="rId302" display="▶ BPSC वाला"/>
    <hyperlink ref="J66" r:id="rId303" display="▶ विजन IAS"/>
    <hyperlink ref="K66" r:id="rId304" display="▶ EduTeria"/>
    <hyperlink ref="M66" r:id="rId305" display="📖 पढ़ें: दृष्टि • जागरण जोश • GKToday • Testbook • बिहार सरकार"/>
    <hyperlink ref="H67" r:id="rId306" display="▶ दृष्टि IAS"/>
    <hyperlink ref="I67" r:id="rId307" display="▶ BPSC वाला"/>
    <hyperlink ref="J67" r:id="rId308" display="▶ विजन IAS"/>
    <hyperlink ref="K67" r:id="rId309" display="▶ EduTeria"/>
    <hyperlink ref="M67" r:id="rId310" display="📖 पढ़ें: दृष्टि • विजन • NCERT • जागरण जोश • GKToday"/>
    <hyperlink ref="H68" r:id="rId311" display="▶ दृष्टि IAS"/>
    <hyperlink ref="I68" r:id="rId312" display="▶ BPSC वाला"/>
    <hyperlink ref="J68" r:id="rId313" display="▶ विजन IAS"/>
    <hyperlink ref="K68" r:id="rId314" display="▶ EduTeria"/>
    <hyperlink ref="M68" r:id="rId315" display="📖 पढ़ें: दृष्टि • विजन • NCERT • जागरण जोश • GKToday"/>
    <hyperlink ref="H69" r:id="rId316" display="▶ दृष्टि IAS"/>
    <hyperlink ref="I69" r:id="rId317" display="▶ BPSC वाला"/>
    <hyperlink ref="J69" r:id="rId318" display="▶ विजन IAS"/>
    <hyperlink ref="K69" r:id="rId319" display="▶ EduTeria"/>
    <hyperlink ref="M69" r:id="rId320" display="📖 पढ़ें: दृष्टि • विजन • NCERT • जागरण जोश • GKToday"/>
    <hyperlink ref="H70" r:id="rId321" display="▶ दृष्टि IAS"/>
    <hyperlink ref="I70" r:id="rId322" display="▶ BPSC वाला"/>
    <hyperlink ref="J70" r:id="rId323" display="▶ विजन IAS"/>
    <hyperlink ref="K70" r:id="rId324" display="▶ EduTeria"/>
    <hyperlink ref="M70" r:id="rId325" display="📖 पढ़ें: दृष्टि • विजन • NCERT • जागरण जोश • GKToday"/>
    <hyperlink ref="H71" r:id="rId326" display="▶ दृष्टि IAS"/>
    <hyperlink ref="I71" r:id="rId327" display="▶ BPSC वाला"/>
    <hyperlink ref="J71" r:id="rId328" display="▶ विजन IAS"/>
    <hyperlink ref="K71" r:id="rId329" display="▶ EduTeria"/>
    <hyperlink ref="M71" r:id="rId330" display="📖 पढ़ें: दृष्टि • विजन • NCERT • जागरण जोश • GKToday"/>
    <hyperlink ref="H72" r:id="rId331" display="▶ दृष्टि IAS"/>
    <hyperlink ref="I72" r:id="rId332" display="▶ BPSC वाला"/>
    <hyperlink ref="J72" r:id="rId333" display="▶ विजन IAS"/>
    <hyperlink ref="K72" r:id="rId334" display="▶ EduTeria"/>
    <hyperlink ref="M72" r:id="rId335" display="📖 पढ़ें: दृष्टि • विजन • NCERT • जागरण जोश • GKToday"/>
    <hyperlink ref="H73" r:id="rId336" display="▶ दृष्टि IAS"/>
    <hyperlink ref="I73" r:id="rId337" display="▶ BPSC वाला"/>
    <hyperlink ref="J73" r:id="rId338" display="▶ विजन IAS"/>
    <hyperlink ref="K73" r:id="rId339" display="▶ EduTeria"/>
    <hyperlink ref="M73" r:id="rId340" display="📖 पढ़ें: दृष्टि • विजन • NCERT • जागरण जोश • GKToday"/>
    <hyperlink ref="H74" r:id="rId341" display="▶ दृष्टि IAS"/>
    <hyperlink ref="I74" r:id="rId342" display="▶ BPSC वाला"/>
    <hyperlink ref="J74" r:id="rId343" display="▶ विजन IAS"/>
    <hyperlink ref="K74" r:id="rId344" display="▶ EduTeria"/>
    <hyperlink ref="M74" r:id="rId345" display="📖 पढ़ें: BYJU'S • Testbook • Adda247 • जागरण जोश"/>
    <hyperlink ref="H75" r:id="rId346" display="▶ दृष्टि IAS"/>
    <hyperlink ref="I75" r:id="rId347" display="▶ BPSC वाला"/>
    <hyperlink ref="J75" r:id="rId348" display="▶ विजन IAS"/>
    <hyperlink ref="K75" r:id="rId349" display="▶ EduTeria"/>
    <hyperlink ref="M75" r:id="rId350" display="📖 पढ़ें: BYJU'S • Testbook • Adda247 • जागरण जोश"/>
    <hyperlink ref="H76" r:id="rId351" display="▶ दृष्टि IAS"/>
    <hyperlink ref="I76" r:id="rId352" display="▶ BPSC वाला"/>
    <hyperlink ref="J76" r:id="rId353" display="▶ विजन IAS"/>
    <hyperlink ref="K76" r:id="rId354" display="▶ EduTeria"/>
    <hyperlink ref="M76" r:id="rId355" display="📖 पढ़ें: BYJU'S • Testbook • Adda247 • जागरण जोश"/>
    <hyperlink ref="H77" r:id="rId356" display="▶ दृष्टि IAS"/>
    <hyperlink ref="I77" r:id="rId357" display="▶ BPSC वाला"/>
    <hyperlink ref="J77" r:id="rId358" display="▶ विजन IAS"/>
    <hyperlink ref="K77" r:id="rId359" display="▶ EduTeria"/>
    <hyperlink ref="M77" r:id="rId360" display="📖 पढ़ें: BYJU'S • Testbook • Adda247 • जागरण जोश"/>
    <hyperlink ref="H78" r:id="rId361" display="▶ दृष्टि IAS"/>
    <hyperlink ref="I78" r:id="rId362" display="▶ BPSC वाला"/>
    <hyperlink ref="J78" r:id="rId363" display="▶ विजन IAS"/>
    <hyperlink ref="K78" r:id="rId364" display="▶ EduTeria"/>
    <hyperlink ref="M78" r:id="rId365" display="📖 पढ़ें: BYJU'S • Testbook • Adda247 • जागरण जोश"/>
    <hyperlink ref="H79" r:id="rId366" display="▶ दृष्टि IAS"/>
    <hyperlink ref="I79" r:id="rId367" display="▶ BPSC वाला"/>
    <hyperlink ref="J79" r:id="rId368" display="▶ विजन IAS"/>
    <hyperlink ref="K79" r:id="rId369" display="▶ EduTeria"/>
    <hyperlink ref="M79" r:id="rId370" display="📖 पढ़ें: BYJU'S • Testbook • Adda247 • जागरण जोश"/>
    <hyperlink ref="H80" r:id="rId371" display="▶ दृष्टि IAS"/>
    <hyperlink ref="I80" r:id="rId372" display="▶ BPSC वाला"/>
    <hyperlink ref="J80" r:id="rId373" display="▶ विजन IAS"/>
    <hyperlink ref="K80" r:id="rId374" display="▶ EduTeria"/>
    <hyperlink ref="M80" r:id="rId375" display="📖 पढ़ें: BYJU'S • Testbook • Adda247 • जागरण जोश"/>
    <hyperlink ref="H81" r:id="rId376" display="▶ दृष्टि IAS"/>
    <hyperlink ref="I81" r:id="rId377" display="▶ BPSC वाला"/>
    <hyperlink ref="J81" r:id="rId378" display="▶ विजन IAS"/>
    <hyperlink ref="K81" r:id="rId379" display="▶ EduTeria"/>
    <hyperlink ref="M81" r:id="rId380" display="📖 पढ़ें: जागरण जोश • हिंदी व्याकरण • Testbook • Adda247"/>
    <hyperlink ref="H82" r:id="rId381" display="▶ दृष्टि IAS"/>
    <hyperlink ref="I82" r:id="rId382" display="▶ BPSC वाला"/>
    <hyperlink ref="J82" r:id="rId383" display="▶ विजन IAS"/>
    <hyperlink ref="K82" r:id="rId384" display="▶ EduTeria"/>
    <hyperlink ref="M82" r:id="rId385" display="📖 पढ़ें: जागरण जोश • हिंदी व्याकरण • Testbook • Adda247"/>
    <hyperlink ref="H83" r:id="rId386" display="▶ दृष्टि IAS"/>
    <hyperlink ref="I83" r:id="rId387" display="▶ BPSC वाला"/>
    <hyperlink ref="J83" r:id="rId388" display="▶ विजन IAS"/>
    <hyperlink ref="K83" r:id="rId389" display="▶ EduTeria"/>
    <hyperlink ref="M83" r:id="rId390" display="📖 पढ़ें: जागरण जोश • हिंदी व्याकरण • Testbook • Adda247"/>
    <hyperlink ref="H84" r:id="rId391" display="▶ दृष्टि IAS"/>
    <hyperlink ref="I84" r:id="rId392" display="▶ BPSC वाला"/>
    <hyperlink ref="J84" r:id="rId393" display="▶ विजन IAS"/>
    <hyperlink ref="K84" r:id="rId394" display="▶ EduTeria"/>
    <hyperlink ref="M84" r:id="rId395" display="📖 पढ़ें: दृष्टि • विजन • जागरण जोश • Insights"/>
    <hyperlink ref="H85" r:id="rId396" display="▶ दृष्टि IAS"/>
    <hyperlink ref="I85" r:id="rId397" display="▶ BPSC वाला"/>
    <hyperlink ref="J85" r:id="rId398" display="▶ विजन IAS"/>
    <hyperlink ref="K85" r:id="rId399" display="▶ EduTeria"/>
    <hyperlink ref="M85" r:id="rId400" display="📖 पढ़ें: दृष्टि • विजन • जागरण जोश • Insights"/>
    <hyperlink ref="H86" r:id="rId401" display="▶ दृष्टि IAS"/>
    <hyperlink ref="I86" r:id="rId402" display="▶ BPSC वाला"/>
    <hyperlink ref="J86" r:id="rId403" display="▶ विजन IAS"/>
    <hyperlink ref="K86" r:id="rId404" display="▶ EduTeria"/>
    <hyperlink ref="M86" r:id="rId405" display="📖 पढ़ें: दृष्टि • विजन • जागरण जोश • Insights"/>
    <hyperlink ref="H87" r:id="rId406" display="▶ दृष्टि IAS"/>
    <hyperlink ref="I87" r:id="rId407" display="▶ BPSC वाला"/>
    <hyperlink ref="J87" r:id="rId408" display="▶ विजन IAS"/>
    <hyperlink ref="K87" r:id="rId409" display="▶ EduTeria"/>
    <hyperlink ref="M87" r:id="rId410" display="📖 पढ़ें: दृष्टि • विजन • जागरण जोश • Insights"/>
    <hyperlink ref="H88" r:id="rId411" display="▶ दृष्टि IAS"/>
    <hyperlink ref="I88" r:id="rId412" display="▶ BPSC वाला"/>
    <hyperlink ref="J88" r:id="rId413" display="▶ विजन IAS"/>
    <hyperlink ref="K88" r:id="rId414" display="▶ EduTeria"/>
    <hyperlink ref="M88" r:id="rId415" display="📖 पढ़ें: दृष्टि • विजन • जागरण जोश • Insights"/>
    <hyperlink ref="H89" r:id="rId416" display="▶ दृष्टि IAS"/>
    <hyperlink ref="I89" r:id="rId417" display="▶ BPSC वाला"/>
    <hyperlink ref="J89" r:id="rId418" display="▶ विजन IAS"/>
    <hyperlink ref="K89" r:id="rId419" display="▶ EduTeria"/>
    <hyperlink ref="M89" r:id="rId420" display="📖 पढ़ें: दृष्टि • विजन • जागरण जोश • Insights"/>
    <hyperlink ref="H90" r:id="rId421" display="▶ दृष्टि IAS"/>
    <hyperlink ref="I90" r:id="rId422" display="▶ BPSC वाला"/>
    <hyperlink ref="J90" r:id="rId423" display="▶ विजन IAS"/>
    <hyperlink ref="K90" r:id="rId424" display="▶ EduTeria"/>
    <hyperlink ref="M90" r:id="rId425" display="📖 पढ़ें: दृष्टि • विजन • जागरण जोश • Insights"/>
    <hyperlink ref="H91" r:id="rId426" display="▶ दृष्टि IAS"/>
    <hyperlink ref="I91" r:id="rId427" display="▶ BPSC वाला"/>
    <hyperlink ref="J91" r:id="rId428" display="▶ विजन IAS"/>
    <hyperlink ref="K91" r:id="rId429" display="▶ EduTeria"/>
    <hyperlink ref="M91" r:id="rId430" display="📖 पढ़ें: दृष्टि • विजन • जागरण जोश • Insights"/>
    <hyperlink ref="H92" r:id="rId431" display="▶ दृष्टि IAS"/>
    <hyperlink ref="I92" r:id="rId432" display="▶ BPSC वाला"/>
    <hyperlink ref="J92" r:id="rId433" display="▶ विजन IAS"/>
    <hyperlink ref="K92" r:id="rId434" display="▶ EduTeria"/>
    <hyperlink ref="M92" r:id="rId435" display="📖 पढ़ें: दृष्टि • विजन • जागरण जोश • Insights"/>
    <hyperlink ref="H93" r:id="rId436" display="▶ दृष्टि IAS"/>
    <hyperlink ref="I93" r:id="rId437" display="▶ BPSC वाला"/>
    <hyperlink ref="J93" r:id="rId438" display="▶ विजन IAS"/>
    <hyperlink ref="K93" r:id="rId439" display="▶ EduTeria"/>
    <hyperlink ref="M93" r:id="rId440" display="📖 पढ़ें: दृष्टि • विजन • जागरण जोश • Insights"/>
    <hyperlink ref="H94" r:id="rId441" display="▶ दृष्टि IAS"/>
    <hyperlink ref="I94" r:id="rId442" display="▶ BPSC वाला"/>
    <hyperlink ref="J94" r:id="rId443" display="▶ विजन IAS"/>
    <hyperlink ref="K94" r:id="rId444" display="▶ EduTeria"/>
    <hyperlink ref="M94" r:id="rId445" display="📖 पढ़ें: दृष्टि • विजन • जागरण जोश • Insights"/>
    <hyperlink ref="H95" r:id="rId446" display="▶ दृष्टि IAS"/>
    <hyperlink ref="I95" r:id="rId447" display="▶ BPSC वाला"/>
    <hyperlink ref="J95" r:id="rId448" display="▶ विजन IAS"/>
    <hyperlink ref="K95" r:id="rId449" display="▶ EduTeria"/>
    <hyperlink ref="M95" r:id="rId450" display="📖 पढ़ें: दृष्टि • विजन • जागरण जोश • Ins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5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9"/>
    <col collapsed="false" customWidth="true" hidden="false" outlineLevel="0" max="2" min="2" style="1" width="21"/>
    <col collapsed="false" customWidth="true" hidden="false" outlineLevel="0" max="3" min="3" style="1" width="69"/>
    <col collapsed="false" customWidth="true" hidden="false" outlineLevel="0" max="4" min="4" style="1" width="80"/>
  </cols>
  <sheetData>
    <row r="1" customFormat="false" ht="39.75" hidden="false" customHeight="true" outlineLevel="0" collapsed="false">
      <c r="A1" s="2" t="s">
        <v>1516</v>
      </c>
      <c r="B1" s="3"/>
      <c r="C1" s="3"/>
      <c r="D1" s="3"/>
    </row>
    <row r="2" customFormat="false" ht="25.5" hidden="false" customHeight="true" outlineLevel="0" collapsed="false">
      <c r="A2" s="4" t="s">
        <v>1517</v>
      </c>
      <c r="B2" s="5"/>
      <c r="C2" s="5"/>
      <c r="D2" s="5"/>
    </row>
    <row r="5" customFormat="false" ht="39.75" hidden="false" customHeight="true" outlineLevel="0" collapsed="false">
      <c r="A5" s="12" t="s">
        <v>1518</v>
      </c>
      <c r="B5" s="12" t="s">
        <v>1519</v>
      </c>
      <c r="C5" s="12" t="s">
        <v>1520</v>
      </c>
      <c r="D5" s="12" t="s">
        <v>1521</v>
      </c>
    </row>
    <row r="6" customFormat="false" ht="25.5" hidden="false" customHeight="true" outlineLevel="0" collapsed="false">
      <c r="A6" s="32" t="s">
        <v>1522</v>
      </c>
      <c r="B6" s="32" t="s">
        <v>1523</v>
      </c>
      <c r="C6" s="32" t="s">
        <v>1524</v>
      </c>
      <c r="D6" s="56" t="s">
        <v>1525</v>
      </c>
    </row>
    <row r="7" customFormat="false" ht="42" hidden="false" customHeight="true" outlineLevel="0" collapsed="false">
      <c r="A7" s="32" t="s">
        <v>1526</v>
      </c>
      <c r="B7" s="32" t="s">
        <v>1527</v>
      </c>
      <c r="C7" s="32" t="s">
        <v>1528</v>
      </c>
      <c r="D7" s="56" t="s">
        <v>1529</v>
      </c>
    </row>
    <row r="8" customFormat="false" ht="25.5" hidden="false" customHeight="true" outlineLevel="0" collapsed="false">
      <c r="A8" s="32" t="s">
        <v>1530</v>
      </c>
      <c r="B8" s="32" t="s">
        <v>1531</v>
      </c>
      <c r="C8" s="32" t="s">
        <v>1532</v>
      </c>
      <c r="D8" s="56" t="s">
        <v>1533</v>
      </c>
    </row>
    <row r="9" customFormat="false" ht="42" hidden="false" customHeight="true" outlineLevel="0" collapsed="false">
      <c r="A9" s="32" t="s">
        <v>1534</v>
      </c>
      <c r="B9" s="32" t="s">
        <v>1527</v>
      </c>
      <c r="C9" s="32" t="s">
        <v>1535</v>
      </c>
      <c r="D9" s="56" t="s">
        <v>1536</v>
      </c>
    </row>
    <row r="10" customFormat="false" ht="25.5" hidden="false" customHeight="true" outlineLevel="0" collapsed="false">
      <c r="A10" s="32" t="s">
        <v>1537</v>
      </c>
      <c r="B10" s="32" t="s">
        <v>1531</v>
      </c>
      <c r="C10" s="32" t="s">
        <v>1532</v>
      </c>
      <c r="D10" s="56" t="s">
        <v>1538</v>
      </c>
    </row>
    <row r="11" customFormat="false" ht="25.5" hidden="false" customHeight="true" outlineLevel="0" collapsed="false">
      <c r="A11" s="32" t="s">
        <v>1539</v>
      </c>
      <c r="B11" s="32" t="s">
        <v>1531</v>
      </c>
      <c r="C11" s="32" t="s">
        <v>1540</v>
      </c>
      <c r="D11" s="56" t="s">
        <v>1541</v>
      </c>
    </row>
    <row r="12" customFormat="false" ht="25.5" hidden="false" customHeight="true" outlineLevel="0" collapsed="false">
      <c r="A12" s="32" t="s">
        <v>1542</v>
      </c>
      <c r="B12" s="32" t="s">
        <v>1531</v>
      </c>
      <c r="C12" s="32" t="s">
        <v>1543</v>
      </c>
      <c r="D12" s="56" t="s">
        <v>1544</v>
      </c>
    </row>
    <row r="13" customFormat="false" ht="42" hidden="false" customHeight="true" outlineLevel="0" collapsed="false">
      <c r="A13" s="32" t="s">
        <v>1545</v>
      </c>
      <c r="B13" s="32" t="s">
        <v>1523</v>
      </c>
      <c r="C13" s="32" t="s">
        <v>1546</v>
      </c>
      <c r="D13" s="56" t="s">
        <v>1547</v>
      </c>
    </row>
    <row r="14" customFormat="false" ht="25.5" hidden="false" customHeight="true" outlineLevel="0" collapsed="false">
      <c r="A14" s="32" t="s">
        <v>1548</v>
      </c>
      <c r="B14" s="32" t="s">
        <v>1523</v>
      </c>
      <c r="C14" s="32" t="s">
        <v>1549</v>
      </c>
      <c r="D14" s="56" t="s">
        <v>1550</v>
      </c>
    </row>
    <row r="15" customFormat="false" ht="25.5" hidden="false" customHeight="true" outlineLevel="0" collapsed="false">
      <c r="A15" s="32" t="s">
        <v>1551</v>
      </c>
      <c r="B15" s="32" t="s">
        <v>1552</v>
      </c>
      <c r="C15" s="32" t="s">
        <v>1553</v>
      </c>
      <c r="D15" s="56" t="s">
        <v>1554</v>
      </c>
    </row>
    <row r="16" customFormat="false" ht="25.5" hidden="false" customHeight="true" outlineLevel="0" collapsed="false">
      <c r="A16" s="32" t="s">
        <v>1555</v>
      </c>
      <c r="B16" s="32" t="s">
        <v>1523</v>
      </c>
      <c r="C16" s="32" t="s">
        <v>1556</v>
      </c>
      <c r="D16" s="56" t="s">
        <v>1557</v>
      </c>
    </row>
    <row r="17" customFormat="false" ht="25.5" hidden="false" customHeight="true" outlineLevel="0" collapsed="false">
      <c r="A17" s="32" t="s">
        <v>1558</v>
      </c>
      <c r="B17" s="32" t="s">
        <v>1523</v>
      </c>
      <c r="C17" s="32" t="s">
        <v>1559</v>
      </c>
      <c r="D17" s="56" t="s">
        <v>1560</v>
      </c>
    </row>
    <row r="18" customFormat="false" ht="25.5" hidden="false" customHeight="true" outlineLevel="0" collapsed="false">
      <c r="A18" s="32" t="s">
        <v>1561</v>
      </c>
      <c r="B18" s="32" t="s">
        <v>1523</v>
      </c>
      <c r="C18" s="32" t="s">
        <v>1562</v>
      </c>
      <c r="D18" s="56" t="s">
        <v>1563</v>
      </c>
    </row>
    <row r="19" customFormat="false" ht="25.5" hidden="false" customHeight="true" outlineLevel="0" collapsed="false">
      <c r="A19" s="32" t="s">
        <v>1564</v>
      </c>
      <c r="B19" s="32" t="s">
        <v>1523</v>
      </c>
      <c r="C19" s="32" t="s">
        <v>1565</v>
      </c>
      <c r="D19" s="56" t="s">
        <v>1566</v>
      </c>
    </row>
    <row r="20" customFormat="false" ht="42" hidden="false" customHeight="true" outlineLevel="0" collapsed="false">
      <c r="A20" s="32" t="s">
        <v>1567</v>
      </c>
      <c r="B20" s="32" t="s">
        <v>1568</v>
      </c>
      <c r="C20" s="32" t="s">
        <v>1569</v>
      </c>
      <c r="D20" s="56" t="s">
        <v>1570</v>
      </c>
    </row>
    <row r="21" customFormat="false" ht="42" hidden="false" customHeight="true" outlineLevel="0" collapsed="false">
      <c r="A21" s="32" t="s">
        <v>1571</v>
      </c>
      <c r="B21" s="32" t="s">
        <v>1568</v>
      </c>
      <c r="C21" s="32" t="s">
        <v>1572</v>
      </c>
      <c r="D21" s="56" t="s">
        <v>1573</v>
      </c>
    </row>
    <row r="22" customFormat="false" ht="25.5" hidden="false" customHeight="true" outlineLevel="0" collapsed="false">
      <c r="A22" s="32" t="s">
        <v>1574</v>
      </c>
      <c r="B22" s="32" t="s">
        <v>1575</v>
      </c>
      <c r="C22" s="32" t="s">
        <v>1576</v>
      </c>
      <c r="D22" s="56" t="s">
        <v>1577</v>
      </c>
    </row>
  </sheetData>
  <hyperlinks>
    <hyperlink ref="D6" r:id="rId1" display="https://bpsc.bihar.gov.in"/>
    <hyperlink ref="D7" r:id="rId2" display="https://www.drishtiias.com"/>
    <hyperlink ref="D8" r:id="rId3" display="https://www.youtube.com/results?search_query=Drishti+IAS+BPSC"/>
    <hyperlink ref="D9" r:id="rId4" display="https://visionias.in"/>
    <hyperlink ref="D10" r:id="rId5" display="https://www.youtube.com/results?search_query=Vision+IAS+BPSC"/>
    <hyperlink ref="D11" r:id="rId6" display="https://www.youtube.com/results?search_query=BPSC+Wallah+BPSC"/>
    <hyperlink ref="D12" r:id="rId7" display="https://www.youtube.com/results?search_query=EduTeria+BPSC"/>
    <hyperlink ref="D13" r:id="rId8" display="https://ncert.nic.in/textbook.php"/>
    <hyperlink ref="D14" r:id="rId9" display="https://pib.gov.in"/>
    <hyperlink ref="D15" r:id="rId10" display="https://prsindia.org"/>
    <hyperlink ref="D16" r:id="rId11" display="https://www.indiabudget.gov.in"/>
    <hyperlink ref="D17" r:id="rId12" display="https://www.rbi.org.in"/>
    <hyperlink ref="D18" r:id="rId13" display="https://www.isro.gov.in"/>
    <hyperlink ref="D19" r:id="rId14" display="https://state.bihar.gov.in"/>
    <hyperlink ref="D20" r:id="rId15" display="https://www.google.com/search?q=Bihar+Economic+Survey+latest+pdf"/>
    <hyperlink ref="D21" r:id="rId16" display="https://www.google.com/search?q=BPSC+previous+year+question+paper+prelims+pdf"/>
    <hyperlink ref="D22" r:id="rId17" display="https://www.thehindu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2026-10-14T04:31:34Z</dcterms:created>
  <dc:creator>openpyxl</dc:creator>
  <dc:description/>
  <dc:language>en-US</dc:language>
  <cp:lastModifiedBy/>
  <dcterms:modified xsi:type="dcterms:W3CDTF">2026-10-14T04:37:02Z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